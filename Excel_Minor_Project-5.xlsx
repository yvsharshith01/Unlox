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D:\UNlox\mini-projects\Minor-project-5\"/>
    </mc:Choice>
  </mc:AlternateContent>
  <xr:revisionPtr revIDLastSave="0" documentId="8_{E12E5C9C-5738-4F14-8BE2-A876EF737D36}" xr6:coauthVersionLast="47" xr6:coauthVersionMax="47" xr10:uidLastSave="{00000000-0000-0000-0000-000000000000}"/>
  <bookViews>
    <workbookView xWindow="-108" yWindow="-108" windowWidth="23256" windowHeight="13176" tabRatio="706" activeTab="1" xr2:uid="{00000000-000D-0000-FFFF-FFFF00000000}"/>
  </bookViews>
  <sheets>
    <sheet name="README" sheetId="1" r:id="rId1"/>
    <sheet name="Detail1" sheetId="14" r:id="rId2"/>
    <sheet name="Detail2" sheetId="15" r:id="rId3"/>
    <sheet name="Sheet2" sheetId="13" r:id="rId4"/>
    <sheet name="Orders" sheetId="2" r:id="rId5"/>
    <sheet name="Customers" sheetId="3" r:id="rId6"/>
    <sheet name="Products" sheetId="4" r:id="rId7"/>
    <sheet name="Sales_Reps" sheetId="5" r:id="rId8"/>
    <sheet name="Targets" sheetId="6" r:id="rId9"/>
    <sheet name="Q1_Lookups" sheetId="7" r:id="rId10"/>
    <sheet name="Q2_Cleaning" sheetId="8" r:id="rId11"/>
    <sheet name="Q3_Aggregation" sheetId="9" r:id="rId12"/>
    <sheet name="Q4_Pivot" sheetId="10" r:id="rId13"/>
    <sheet name="Q5_Advanced" sheetId="11" r:id="rId14"/>
  </sheets>
  <definedNames>
    <definedName name="_xlnm.Print_Area" localSheetId="5">Customers!$A$1:$F$301</definedName>
    <definedName name="_xlnm.Print_Area" localSheetId="4">Orders!$A$1:$K$2001</definedName>
    <definedName name="_xlnm.Print_Area" localSheetId="6">Products!$A$1:$F$61</definedName>
    <definedName name="_xlnm.Print_Area" localSheetId="7">Sales_Reps!$A$1:$E$31</definedName>
    <definedName name="_xlnm.Print_Area" localSheetId="8">Targets!$A$1:$M$31</definedName>
    <definedName name="_xlnm.Print_Titles" localSheetId="5">Customers!$1:$1</definedName>
    <definedName name="_xlnm.Print_Titles" localSheetId="4">Orders!$1:$1</definedName>
    <definedName name="_xlnm.Print_Titles" localSheetId="6">Products!$1:$1</definedName>
    <definedName name="_xlnm.Print_Titles" localSheetId="7">Sales_Reps!$1:$1</definedName>
    <definedName name="_xlnm.Print_Titles" localSheetId="8">Targets!$1:$1</definedName>
  </definedNames>
  <calcPr calcId="191029"/>
  <pivotCaches>
    <pivotCache cacheId="11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11" l="1"/>
  <c r="E8" i="11"/>
  <c r="E7" i="1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2" i="4"/>
  <c r="E6" i="11"/>
  <c r="E5" i="11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2" i="5"/>
  <c r="E9" i="10"/>
  <c r="E8" i="10"/>
  <c r="E7" i="10"/>
  <c r="E5" i="10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26" i="2"/>
  <c r="R1827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55" i="2"/>
  <c r="R1856" i="2"/>
  <c r="R1857" i="2"/>
  <c r="R1858" i="2"/>
  <c r="R1859" i="2"/>
  <c r="R1860" i="2"/>
  <c r="R1861" i="2"/>
  <c r="R1862" i="2"/>
  <c r="R1863" i="2"/>
  <c r="R1864" i="2"/>
  <c r="R1865" i="2"/>
  <c r="R1866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1" i="2"/>
  <c r="R1882" i="2"/>
  <c r="R1883" i="2"/>
  <c r="R1884" i="2"/>
  <c r="R1885" i="2"/>
  <c r="R1886" i="2"/>
  <c r="R1887" i="2"/>
  <c r="R1888" i="2"/>
  <c r="R1889" i="2"/>
  <c r="R1890" i="2"/>
  <c r="R1891" i="2"/>
  <c r="R1892" i="2"/>
  <c r="R1893" i="2"/>
  <c r="R1894" i="2"/>
  <c r="R1895" i="2"/>
  <c r="R1896" i="2"/>
  <c r="R1897" i="2"/>
  <c r="R1898" i="2"/>
  <c r="R1899" i="2"/>
  <c r="R1900" i="2"/>
  <c r="R1901" i="2"/>
  <c r="R1902" i="2"/>
  <c r="R1903" i="2"/>
  <c r="R1904" i="2"/>
  <c r="R1905" i="2"/>
  <c r="R1906" i="2"/>
  <c r="R1907" i="2"/>
  <c r="R1908" i="2"/>
  <c r="R1909" i="2"/>
  <c r="R1910" i="2"/>
  <c r="R1911" i="2"/>
  <c r="R1912" i="2"/>
  <c r="R1913" i="2"/>
  <c r="R1914" i="2"/>
  <c r="R1915" i="2"/>
  <c r="R1916" i="2"/>
  <c r="R1917" i="2"/>
  <c r="R1918" i="2"/>
  <c r="R1919" i="2"/>
  <c r="R1920" i="2"/>
  <c r="R1921" i="2"/>
  <c r="R1922" i="2"/>
  <c r="R1923" i="2"/>
  <c r="R1924" i="2"/>
  <c r="R1925" i="2"/>
  <c r="R1926" i="2"/>
  <c r="R1927" i="2"/>
  <c r="R1928" i="2"/>
  <c r="R1929" i="2"/>
  <c r="R1930" i="2"/>
  <c r="R1931" i="2"/>
  <c r="R1932" i="2"/>
  <c r="R1933" i="2"/>
  <c r="R1934" i="2"/>
  <c r="R1935" i="2"/>
  <c r="R1936" i="2"/>
  <c r="R1937" i="2"/>
  <c r="R1938" i="2"/>
  <c r="R1939" i="2"/>
  <c r="R1940" i="2"/>
  <c r="R1941" i="2"/>
  <c r="R1942" i="2"/>
  <c r="R1943" i="2"/>
  <c r="R1944" i="2"/>
  <c r="R1945" i="2"/>
  <c r="R1946" i="2"/>
  <c r="R1947" i="2"/>
  <c r="R1948" i="2"/>
  <c r="R1949" i="2"/>
  <c r="R1950" i="2"/>
  <c r="R1951" i="2"/>
  <c r="R1952" i="2"/>
  <c r="R1953" i="2"/>
  <c r="R1954" i="2"/>
  <c r="R1955" i="2"/>
  <c r="R1956" i="2"/>
  <c r="R1957" i="2"/>
  <c r="R1958" i="2"/>
  <c r="R1959" i="2"/>
  <c r="R1960" i="2"/>
  <c r="R1961" i="2"/>
  <c r="R1962" i="2"/>
  <c r="R1963" i="2"/>
  <c r="R1964" i="2"/>
  <c r="R1965" i="2"/>
  <c r="R1966" i="2"/>
  <c r="R1967" i="2"/>
  <c r="R1968" i="2"/>
  <c r="R1969" i="2"/>
  <c r="R1970" i="2"/>
  <c r="R1971" i="2"/>
  <c r="R1972" i="2"/>
  <c r="R1973" i="2"/>
  <c r="R1974" i="2"/>
  <c r="R1975" i="2"/>
  <c r="R1976" i="2"/>
  <c r="R1977" i="2"/>
  <c r="R1978" i="2"/>
  <c r="R1979" i="2"/>
  <c r="R1980" i="2"/>
  <c r="R1981" i="2"/>
  <c r="R1982" i="2"/>
  <c r="R1983" i="2"/>
  <c r="R1984" i="2"/>
  <c r="R1985" i="2"/>
  <c r="R1986" i="2"/>
  <c r="R1987" i="2"/>
  <c r="R1988" i="2"/>
  <c r="R1989" i="2"/>
  <c r="R1990" i="2"/>
  <c r="R1991" i="2"/>
  <c r="R1992" i="2"/>
  <c r="R1993" i="2"/>
  <c r="R1994" i="2"/>
  <c r="R1995" i="2"/>
  <c r="R1996" i="2"/>
  <c r="R1997" i="2"/>
  <c r="R1998" i="2"/>
  <c r="R1999" i="2"/>
  <c r="R2000" i="2"/>
  <c r="R2001" i="2"/>
  <c r="R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" i="2"/>
  <c r="E10" i="9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" i="2"/>
  <c r="E9" i="9"/>
  <c r="E8" i="9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2" i="5"/>
  <c r="E7" i="9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" i="2"/>
  <c r="E6" i="9"/>
  <c r="E5" i="9"/>
  <c r="E10" i="8"/>
  <c r="E9" i="8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" i="2"/>
  <c r="E8" i="8" a="1"/>
  <c r="E8" i="8" s="1"/>
  <c r="E7" i="8" a="1"/>
  <c r="E7" i="8" s="1"/>
  <c r="E6" i="8" a="1"/>
  <c r="E6" i="8" s="1"/>
  <c r="E5" i="8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" i="2"/>
  <c r="E12" i="7"/>
  <c r="E11" i="7"/>
  <c r="E10" i="7"/>
  <c r="E9" i="7"/>
  <c r="E7" i="7"/>
  <c r="E8" i="7"/>
  <c r="E6" i="7"/>
  <c r="E5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<sst xmlns="http://schemas.openxmlformats.org/spreadsheetml/2006/main" count="22758" uniqueCount="3048">
  <si>
    <t>THE SCENARIO</t>
  </si>
  <si>
    <t>You have just joined the analytics team at a fast-growing multi-category retailer operating across 6 Indian cities.</t>
  </si>
  <si>
    <t>you to answer a set of business questions before the leadership review tomorrow morning.</t>
  </si>
  <si>
    <t>The data is REAL-WORLD messy: duplicates, missing references, inconsistent case, invalid records, discontinued SKUs.</t>
  </si>
  <si>
    <t>sometimes the data itself is telling a story.</t>
  </si>
  <si>
    <t>RULES OF THE ASSESSMENT</t>
  </si>
  <si>
    <t>1. Write your answer in the YELLOW cells on each question sheet. Empty answer cell = 0 marks.</t>
  </si>
  <si>
    <t>2. You may use ANY Excel feature: formulas, PivotTables, PivotCharts, filters, sorting, helper columns.</t>
  </si>
  <si>
    <t>3. Formulas preferred over hardcoded values. If a data value changes, your answer should recalculate.</t>
  </si>
  <si>
    <t>5. Do not modify the DATA sheets. If cleaning is needed, use helper columns or a scratch area.</t>
  </si>
  <si>
    <t>MARKS DISTRIBUTION</t>
  </si>
  <si>
    <t>Section</t>
  </si>
  <si>
    <t>Topic</t>
  </si>
  <si>
    <t>Questions</t>
  </si>
  <si>
    <t>Marks</t>
  </si>
  <si>
    <t>Q1</t>
  </si>
  <si>
    <t>Lookup Functions (VLOOKUP, INDEX-MATCH, chained lookups)</t>
  </si>
  <si>
    <t>8</t>
  </si>
  <si>
    <t>25</t>
  </si>
  <si>
    <t>Q2</t>
  </si>
  <si>
    <t>Data Cleaning &amp; Quality Diagnostics</t>
  </si>
  <si>
    <t>6</t>
  </si>
  <si>
    <t>20</t>
  </si>
  <si>
    <t>Q3</t>
  </si>
  <si>
    <t>Conditional Aggregation (SUMIFS, COUNTIFS, IF logic)</t>
  </si>
  <si>
    <t>Q4</t>
  </si>
  <si>
    <t>Pivot Tables (2D pivots, % of total, calculated fields)</t>
  </si>
  <si>
    <t>5</t>
  </si>
  <si>
    <t>Q5</t>
  </si>
  <si>
    <t>Advanced (Ranking, Running Totals, Multi-condition)</t>
  </si>
  <si>
    <t>10</t>
  </si>
  <si>
    <t>TOTAL</t>
  </si>
  <si>
    <t>30</t>
  </si>
  <si>
    <t>100</t>
  </si>
  <si>
    <t>PERFORMANCE TIERS</t>
  </si>
  <si>
    <t>Tier</t>
  </si>
  <si>
    <t>Interview Verdict</t>
  </si>
  <si>
    <t>85 - 100</t>
  </si>
  <si>
    <t>Excellent</t>
  </si>
  <si>
    <t>70 - 84</t>
  </si>
  <si>
    <t>Good</t>
  </si>
  <si>
    <t>Round 1 clear with minor gaps</t>
  </si>
  <si>
    <t>55 - 69</t>
  </si>
  <si>
    <t>Borderline</t>
  </si>
  <si>
    <t>40 - 54</t>
  </si>
  <si>
    <t>Weak</t>
  </si>
  <si>
    <t>&lt; 40</t>
  </si>
  <si>
    <t>Insufficient</t>
  </si>
  <si>
    <t>DATA SHEETS OVERVIEW</t>
  </si>
  <si>
    <t>Sheet</t>
  </si>
  <si>
    <t>Rows</t>
  </si>
  <si>
    <t>Key Columns</t>
  </si>
  <si>
    <t>Joins to</t>
  </si>
  <si>
    <t>Orders</t>
  </si>
  <si>
    <t>~2000</t>
  </si>
  <si>
    <t>order_id, order_date, customer_id, product_id, sales_rep_id, quantity, unit_price, discount_pct, final_amount, payment_status, ship_city</t>
  </si>
  <si>
    <t>All others</t>
  </si>
  <si>
    <t>Customers</t>
  </si>
  <si>
    <t>300</t>
  </si>
  <si>
    <t>customer_id (PK), customer_name, age, city, segment, signup_date</t>
  </si>
  <si>
    <t>Orders via customer_id</t>
  </si>
  <si>
    <t>Products</t>
  </si>
  <si>
    <t>60</t>
  </si>
  <si>
    <t>product_id (PK), product_name, category, unit_cost, unit_price, is_active</t>
  </si>
  <si>
    <t>Orders via product_id</t>
  </si>
  <si>
    <t>Sales_Reps</t>
  </si>
  <si>
    <t>rep_id (PK), rep_name, region, hire_date, team_lead_id</t>
  </si>
  <si>
    <t>Orders via sales_rep_id, self-join via team_lead_id</t>
  </si>
  <si>
    <t>Targets</t>
  </si>
  <si>
    <t>30 × 12</t>
  </si>
  <si>
    <t>rep_id (PK), Jan-24 through Dec-24 monthly target values</t>
  </si>
  <si>
    <t>Sales_Reps via rep_id</t>
  </si>
  <si>
    <t>order_id</t>
  </si>
  <si>
    <t>order_date</t>
  </si>
  <si>
    <t>customer_id</t>
  </si>
  <si>
    <t>product_id</t>
  </si>
  <si>
    <t>sales_rep_id</t>
  </si>
  <si>
    <t>quantity</t>
  </si>
  <si>
    <t>unit_price</t>
  </si>
  <si>
    <t>discount_pct</t>
  </si>
  <si>
    <t>final_amount</t>
  </si>
  <si>
    <t>payment_status</t>
  </si>
  <si>
    <t>ship_city</t>
  </si>
  <si>
    <t>ORD-00001</t>
  </si>
  <si>
    <t>CUST-0243</t>
  </si>
  <si>
    <t>PROD-014</t>
  </si>
  <si>
    <t>R007</t>
  </si>
  <si>
    <t>Completed</t>
  </si>
  <si>
    <t>Pune</t>
  </si>
  <si>
    <t>ORD-00002</t>
  </si>
  <si>
    <t>CUST-0202</t>
  </si>
  <si>
    <t>PROD-020</t>
  </si>
  <si>
    <t>R005</t>
  </si>
  <si>
    <t>Pending</t>
  </si>
  <si>
    <t>Chennai</t>
  </si>
  <si>
    <t>ORD-00003</t>
  </si>
  <si>
    <t>CUST-0098</t>
  </si>
  <si>
    <t>PROD-053</t>
  </si>
  <si>
    <t>R014</t>
  </si>
  <si>
    <t>Delhi</t>
  </si>
  <si>
    <t>ORD-00004</t>
  </si>
  <si>
    <t>CUST-0071</t>
  </si>
  <si>
    <t>PROD-028</t>
  </si>
  <si>
    <t>R006</t>
  </si>
  <si>
    <t>ORD-00005</t>
  </si>
  <si>
    <t>CUST-0180</t>
  </si>
  <si>
    <t>PROD-012</t>
  </si>
  <si>
    <t>R008</t>
  </si>
  <si>
    <t>ORD-00006</t>
  </si>
  <si>
    <t>CUST-0275</t>
  </si>
  <si>
    <t>PROD-032</t>
  </si>
  <si>
    <t>R025</t>
  </si>
  <si>
    <t>Mumbai</t>
  </si>
  <si>
    <t>ORD-00007</t>
  </si>
  <si>
    <t>CUST-0293</t>
  </si>
  <si>
    <t>PROD-057</t>
  </si>
  <si>
    <t>R024</t>
  </si>
  <si>
    <t>Bengaluru</t>
  </si>
  <si>
    <t>ORD-00008</t>
  </si>
  <si>
    <t>CUST-0281</t>
  </si>
  <si>
    <t>PROD-007</t>
  </si>
  <si>
    <t>R019</t>
  </si>
  <si>
    <t>ORD-00009</t>
  </si>
  <si>
    <t>CUST-0260</t>
  </si>
  <si>
    <t>PROD-038</t>
  </si>
  <si>
    <t>ORD-00010</t>
  </si>
  <si>
    <t>CUST-0147</t>
  </si>
  <si>
    <t>PROD-030</t>
  </si>
  <si>
    <t>R028</t>
  </si>
  <si>
    <t>ORD-00011</t>
  </si>
  <si>
    <t>CUST-0204</t>
  </si>
  <si>
    <t>PROD-024</t>
  </si>
  <si>
    <t>R010</t>
  </si>
  <si>
    <t>Hyderabad</t>
  </si>
  <si>
    <t>ORD-00012</t>
  </si>
  <si>
    <t>PROD-010</t>
  </si>
  <si>
    <t>ORD-00013</t>
  </si>
  <si>
    <t>CUST-0280</t>
  </si>
  <si>
    <t>PROD-002</t>
  </si>
  <si>
    <t>R004</t>
  </si>
  <si>
    <t>Cancelled</t>
  </si>
  <si>
    <t>ORD-00014</t>
  </si>
  <si>
    <t>CUST-0008</t>
  </si>
  <si>
    <t>PROD-036</t>
  </si>
  <si>
    <t>Refunded</t>
  </si>
  <si>
    <t>ORD-00015</t>
  </si>
  <si>
    <t>CUST-0052</t>
  </si>
  <si>
    <t>PROD-060</t>
  </si>
  <si>
    <t>R003</t>
  </si>
  <si>
    <t>ORD-00016</t>
  </si>
  <si>
    <t>CUST-0184</t>
  </si>
  <si>
    <t>PROD-058</t>
  </si>
  <si>
    <t>ORD-00017</t>
  </si>
  <si>
    <t>CUST-0056</t>
  </si>
  <si>
    <t>R023</t>
  </si>
  <si>
    <t>ORD-00018</t>
  </si>
  <si>
    <t>CUST-0273</t>
  </si>
  <si>
    <t>PROD-047</t>
  </si>
  <si>
    <t>R021</t>
  </si>
  <si>
    <t>ORD-00019</t>
  </si>
  <si>
    <t>CUST-0182</t>
  </si>
  <si>
    <t>PROD-051</t>
  </si>
  <si>
    <t>ORD-00020</t>
  </si>
  <si>
    <t>CUST-0265</t>
  </si>
  <si>
    <t>PROD-040</t>
  </si>
  <si>
    <t>ORD-00021</t>
  </si>
  <si>
    <t>CUST-0159</t>
  </si>
  <si>
    <t>PROD-019</t>
  </si>
  <si>
    <t>ORD-00022</t>
  </si>
  <si>
    <t>CUST-0259</t>
  </si>
  <si>
    <t>R030</t>
  </si>
  <si>
    <t>ORD-00023</t>
  </si>
  <si>
    <t>CUST-0107</t>
  </si>
  <si>
    <t>PROD-015</t>
  </si>
  <si>
    <t>ORD-00024</t>
  </si>
  <si>
    <t>CUST-0101</t>
  </si>
  <si>
    <t>PROD-044</t>
  </si>
  <si>
    <t>ORD-00025</t>
  </si>
  <si>
    <t>CUST-0142</t>
  </si>
  <si>
    <t>PROD-043</t>
  </si>
  <si>
    <t>ORD-00026</t>
  </si>
  <si>
    <t>CUST-0250</t>
  </si>
  <si>
    <t>PROD-054</t>
  </si>
  <si>
    <t>ORD-00027</t>
  </si>
  <si>
    <t>PROD-046</t>
  </si>
  <si>
    <t>ORD-00028</t>
  </si>
  <si>
    <t>CUST-0143</t>
  </si>
  <si>
    <t>PROD-003</t>
  </si>
  <si>
    <t>R015</t>
  </si>
  <si>
    <t>ORD-00029</t>
  </si>
  <si>
    <t>CUST-0086</t>
  </si>
  <si>
    <t>PROD-048</t>
  </si>
  <si>
    <t>R020</t>
  </si>
  <si>
    <t>ORD-00030</t>
  </si>
  <si>
    <t>CUST-0006</t>
  </si>
  <si>
    <t>PROD-055</t>
  </si>
  <si>
    <t>ORD-00031</t>
  </si>
  <si>
    <t>CUST-0241</t>
  </si>
  <si>
    <t>ORD-00032</t>
  </si>
  <si>
    <t>CUST-0035</t>
  </si>
  <si>
    <t>PROD-021</t>
  </si>
  <si>
    <t>R026</t>
  </si>
  <si>
    <t>ORD-00033</t>
  </si>
  <si>
    <t>PROD-037</t>
  </si>
  <si>
    <t>R009</t>
  </si>
  <si>
    <t>ORD-00034</t>
  </si>
  <si>
    <t>CUST-0064</t>
  </si>
  <si>
    <t>ORD-00035</t>
  </si>
  <si>
    <t>CUST-0118</t>
  </si>
  <si>
    <t>ORD-00036</t>
  </si>
  <si>
    <t>CUST-0013</t>
  </si>
  <si>
    <t>ORD-00037</t>
  </si>
  <si>
    <t>CUST-0177</t>
  </si>
  <si>
    <t>ORD-00038</t>
  </si>
  <si>
    <t>CUST-0186</t>
  </si>
  <si>
    <t>R001</t>
  </si>
  <si>
    <t>ORD-00039</t>
  </si>
  <si>
    <t>CUST-0069</t>
  </si>
  <si>
    <t>ORD-00040</t>
  </si>
  <si>
    <t>CUST-0283</t>
  </si>
  <si>
    <t>ORD-00041</t>
  </si>
  <si>
    <t>CUST-9507</t>
  </si>
  <si>
    <t>ORD-00042</t>
  </si>
  <si>
    <t>CUST-0053</t>
  </si>
  <si>
    <t>ORD-00043</t>
  </si>
  <si>
    <t>CUST-0222</t>
  </si>
  <si>
    <t>PROD-031</t>
  </si>
  <si>
    <t>ORD-00044</t>
  </si>
  <si>
    <t>CUST-0095</t>
  </si>
  <si>
    <t>R029</t>
  </si>
  <si>
    <t>ORD-00045</t>
  </si>
  <si>
    <t>CUST-0152</t>
  </si>
  <si>
    <t>ORD-00046</t>
  </si>
  <si>
    <t>CUST-0291</t>
  </si>
  <si>
    <t>PROD-027</t>
  </si>
  <si>
    <t>ORD-00047</t>
  </si>
  <si>
    <t>CUST-0112</t>
  </si>
  <si>
    <t>PROD-013</t>
  </si>
  <si>
    <t>R017</t>
  </si>
  <si>
    <t>ORD-00048</t>
  </si>
  <si>
    <t>CUST-9800</t>
  </si>
  <si>
    <t>PROD-050</t>
  </si>
  <si>
    <t>ORD-00049</t>
  </si>
  <si>
    <t>ORD-00050</t>
  </si>
  <si>
    <t>CUST-0226</t>
  </si>
  <si>
    <t>PROD-022</t>
  </si>
  <si>
    <t>ORD-00051</t>
  </si>
  <si>
    <t>CUST-0234</t>
  </si>
  <si>
    <t>PROD-004</t>
  </si>
  <si>
    <t>ORD-00052</t>
  </si>
  <si>
    <t>CUST-0176</t>
  </si>
  <si>
    <t>ORD-00053</t>
  </si>
  <si>
    <t>R013</t>
  </si>
  <si>
    <t>ORD-00054</t>
  </si>
  <si>
    <t>CUST-0088</t>
  </si>
  <si>
    <t>ORD-00055</t>
  </si>
  <si>
    <t>CUST-0267</t>
  </si>
  <si>
    <t>ORD-00056</t>
  </si>
  <si>
    <t>CUST-0194</t>
  </si>
  <si>
    <t>PROD-041</t>
  </si>
  <si>
    <t>ORD-00057</t>
  </si>
  <si>
    <t>CUST-0261</t>
  </si>
  <si>
    <t>ORD-00058</t>
  </si>
  <si>
    <t>CUST-0031</t>
  </si>
  <si>
    <t>PROD-026</t>
  </si>
  <si>
    <t>ORD-00059</t>
  </si>
  <si>
    <t>CUST-0175</t>
  </si>
  <si>
    <t>PROD-009</t>
  </si>
  <si>
    <t>ORD-00060</t>
  </si>
  <si>
    <t>CUST-0263</t>
  </si>
  <si>
    <t>PROD-039</t>
  </si>
  <si>
    <t>ORD-00061</t>
  </si>
  <si>
    <t>CUST-0203</t>
  </si>
  <si>
    <t>R011</t>
  </si>
  <si>
    <t>ORD-00062</t>
  </si>
  <si>
    <t>CUST-0258</t>
  </si>
  <si>
    <t>PROD-045</t>
  </si>
  <si>
    <t>ORD-00063</t>
  </si>
  <si>
    <t>CUST-0282</t>
  </si>
  <si>
    <t>PROD-008</t>
  </si>
  <si>
    <t>ORD-00064</t>
  </si>
  <si>
    <t>CUST-0168</t>
  </si>
  <si>
    <t>PROD-005</t>
  </si>
  <si>
    <t>ORD-00065</t>
  </si>
  <si>
    <t>CUST-0040</t>
  </si>
  <si>
    <t>R022</t>
  </si>
  <si>
    <t>ORD-00066</t>
  </si>
  <si>
    <t>ORD-00067</t>
  </si>
  <si>
    <t>ORD-00068</t>
  </si>
  <si>
    <t>CUST-0161</t>
  </si>
  <si>
    <t>ORD-00069</t>
  </si>
  <si>
    <t>CUST-0033</t>
  </si>
  <si>
    <t>PROD-016</t>
  </si>
  <si>
    <t>ORD-00070</t>
  </si>
  <si>
    <t>CUST-0191</t>
  </si>
  <si>
    <t>PROD-033</t>
  </si>
  <si>
    <t>ORD-00071</t>
  </si>
  <si>
    <t>R002</t>
  </si>
  <si>
    <t>ORD-00072</t>
  </si>
  <si>
    <t>CUST-0129</t>
  </si>
  <si>
    <t>ORD-00073</t>
  </si>
  <si>
    <t>CUST-0189</t>
  </si>
  <si>
    <t>ORD-00074</t>
  </si>
  <si>
    <t>R018</t>
  </si>
  <si>
    <t>ORD-00075</t>
  </si>
  <si>
    <t>CUST-0200</t>
  </si>
  <si>
    <t>ORD-00076</t>
  </si>
  <si>
    <t>ORD-00077</t>
  </si>
  <si>
    <t>CUST-0051</t>
  </si>
  <si>
    <t>ORD-00078</t>
  </si>
  <si>
    <t>CUST-0193</t>
  </si>
  <si>
    <t>ORD-00079</t>
  </si>
  <si>
    <t>CUST-0020</t>
  </si>
  <si>
    <t>ORD-00080</t>
  </si>
  <si>
    <t>CUST-0230</t>
  </si>
  <si>
    <t>ORD-00081</t>
  </si>
  <si>
    <t>CUST-0094</t>
  </si>
  <si>
    <t>ORD-00082</t>
  </si>
  <si>
    <t>CUST-0248</t>
  </si>
  <si>
    <t>ORD-00083</t>
  </si>
  <si>
    <t>CUST-0082</t>
  </si>
  <si>
    <t>ORD-00084</t>
  </si>
  <si>
    <t>CUST-0078</t>
  </si>
  <si>
    <t>ORD-00085</t>
  </si>
  <si>
    <t>CUST-0032</t>
  </si>
  <si>
    <t>R012</t>
  </si>
  <si>
    <t>ORD-00086</t>
  </si>
  <si>
    <t>ORD-00087</t>
  </si>
  <si>
    <t>CUST-0084</t>
  </si>
  <si>
    <t>ORD-00088</t>
  </si>
  <si>
    <t>ORD-00089</t>
  </si>
  <si>
    <t>CUST-0108</t>
  </si>
  <si>
    <t>ORD-00090</t>
  </si>
  <si>
    <t>CUST-0139</t>
  </si>
  <si>
    <t>ORD-00091</t>
  </si>
  <si>
    <t>ORD-00092</t>
  </si>
  <si>
    <t>CUST-0208</t>
  </si>
  <si>
    <t>ORD-00093</t>
  </si>
  <si>
    <t>PROD-029</t>
  </si>
  <si>
    <t>ORD-00094</t>
  </si>
  <si>
    <t>CUST-0042</t>
  </si>
  <si>
    <t>ORD-00095</t>
  </si>
  <si>
    <t>CUST-0133</t>
  </si>
  <si>
    <t>R027</t>
  </si>
  <si>
    <t>ORD-00096</t>
  </si>
  <si>
    <t>CUST-0219</t>
  </si>
  <si>
    <t>R016</t>
  </si>
  <si>
    <t>ORD-00097</t>
  </si>
  <si>
    <t>ORD-00098</t>
  </si>
  <si>
    <t>ORD-00099</t>
  </si>
  <si>
    <t>CUST-0170</t>
  </si>
  <si>
    <t>PROD-025</t>
  </si>
  <si>
    <t>ORD-00100</t>
  </si>
  <si>
    <t>CUST-0164</t>
  </si>
  <si>
    <t>ORD-00101</t>
  </si>
  <si>
    <t>PROD-017</t>
  </si>
  <si>
    <t>ORD-00102</t>
  </si>
  <si>
    <t>CUST-0181</t>
  </si>
  <si>
    <t>ORD-00103</t>
  </si>
  <si>
    <t>CUST-0131</t>
  </si>
  <si>
    <t>PROD-052</t>
  </si>
  <si>
    <t>ORD-00104</t>
  </si>
  <si>
    <t>CUST-0255</t>
  </si>
  <si>
    <t>ORD-00105</t>
  </si>
  <si>
    <t>PROD-001</t>
  </si>
  <si>
    <t>ORD-00106</t>
  </si>
  <si>
    <t>CUST-0081</t>
  </si>
  <si>
    <t>PROD-023</t>
  </si>
  <si>
    <t>ORD-00107</t>
  </si>
  <si>
    <t>CUST-0102</t>
  </si>
  <si>
    <t>ORD-00108</t>
  </si>
  <si>
    <t>CUST-0070</t>
  </si>
  <si>
    <t>ORD-00109</t>
  </si>
  <si>
    <t>CUST-0012</t>
  </si>
  <si>
    <t>ORD-00110</t>
  </si>
  <si>
    <t>ORD-00111</t>
  </si>
  <si>
    <t>CUST-0145</t>
  </si>
  <si>
    <t>ORD-00112</t>
  </si>
  <si>
    <t>CUST-0287</t>
  </si>
  <si>
    <t>ORD-00113</t>
  </si>
  <si>
    <t>PROD-049</t>
  </si>
  <si>
    <t>ORD-00114</t>
  </si>
  <si>
    <t>CUST-0096</t>
  </si>
  <si>
    <t>ORD-00115</t>
  </si>
  <si>
    <t>ORD-00116</t>
  </si>
  <si>
    <t>CUST-0025</t>
  </si>
  <si>
    <t>PROD-042</t>
  </si>
  <si>
    <t>ORD-00117</t>
  </si>
  <si>
    <t>CUST-0149</t>
  </si>
  <si>
    <t>ORD-00118</t>
  </si>
  <si>
    <t>CUST-0018</t>
  </si>
  <si>
    <t>ORD-00119</t>
  </si>
  <si>
    <t>CUST-0216</t>
  </si>
  <si>
    <t>ORD-00120</t>
  </si>
  <si>
    <t>CUST-0092</t>
  </si>
  <si>
    <t>ORD-00121</t>
  </si>
  <si>
    <t>ORD-00122</t>
  </si>
  <si>
    <t>CUST-0113</t>
  </si>
  <si>
    <t>ORD-00123</t>
  </si>
  <si>
    <t>CUST-0253</t>
  </si>
  <si>
    <t>ORD-00124</t>
  </si>
  <si>
    <t>CUST-0187</t>
  </si>
  <si>
    <t>ORD-00125</t>
  </si>
  <si>
    <t>CUST-0028</t>
  </si>
  <si>
    <t>ORD-00126</t>
  </si>
  <si>
    <t>CUST-0224</t>
  </si>
  <si>
    <t>ORD-00127</t>
  </si>
  <si>
    <t>CUST-0150</t>
  </si>
  <si>
    <t>PROD-006</t>
  </si>
  <si>
    <t>ORD-00128</t>
  </si>
  <si>
    <t>ORD-00129</t>
  </si>
  <si>
    <t>CUST-0239</t>
  </si>
  <si>
    <t>ORD-00130</t>
  </si>
  <si>
    <t>CUST-0106</t>
  </si>
  <si>
    <t>ORD-00131</t>
  </si>
  <si>
    <t>ORD-00132</t>
  </si>
  <si>
    <t>CUST-0114</t>
  </si>
  <si>
    <t>ORD-00133</t>
  </si>
  <si>
    <t>CUST-0146</t>
  </si>
  <si>
    <t>ORD-00134</t>
  </si>
  <si>
    <t>CUST-0298</t>
  </si>
  <si>
    <t>ORD-00135</t>
  </si>
  <si>
    <t>CUST-0111</t>
  </si>
  <si>
    <t>ORD-01445</t>
  </si>
  <si>
    <t>ORD-00137</t>
  </si>
  <si>
    <t>CUST-0024</t>
  </si>
  <si>
    <t>ORD-00138</t>
  </si>
  <si>
    <t>CUST-0210</t>
  </si>
  <si>
    <t>ORD-00139</t>
  </si>
  <si>
    <t>CUST-0192</t>
  </si>
  <si>
    <t>ORD-00140</t>
  </si>
  <si>
    <t>ORD-00141</t>
  </si>
  <si>
    <t>ORD-00142</t>
  </si>
  <si>
    <t>ORD-00143</t>
  </si>
  <si>
    <t>CUST-0294</t>
  </si>
  <si>
    <t>ORD-00144</t>
  </si>
  <si>
    <t>ORD-00145</t>
  </si>
  <si>
    <t>ORD-00146</t>
  </si>
  <si>
    <t>CUST-9657</t>
  </si>
  <si>
    <t>ORD-00147</t>
  </si>
  <si>
    <t>CUST-0080</t>
  </si>
  <si>
    <t>ORD-00148</t>
  </si>
  <si>
    <t>CUST-0172</t>
  </si>
  <si>
    <t>PROD-034</t>
  </si>
  <si>
    <t>ORD-00149</t>
  </si>
  <si>
    <t>ORD-00150</t>
  </si>
  <si>
    <t>ORD-00151</t>
  </si>
  <si>
    <t>CUST-0137</t>
  </si>
  <si>
    <t>MUMBAI</t>
  </si>
  <si>
    <t>ORD-00152</t>
  </si>
  <si>
    <t>ORD-00153</t>
  </si>
  <si>
    <t>CUST-0117</t>
  </si>
  <si>
    <t>PROD-011</t>
  </si>
  <si>
    <t>ORD-00154</t>
  </si>
  <si>
    <t>CUST-0104</t>
  </si>
  <si>
    <t>ORD-00155</t>
  </si>
  <si>
    <t>ORD-00156</t>
  </si>
  <si>
    <t>CUST-0165</t>
  </si>
  <si>
    <t>ORD-00157</t>
  </si>
  <si>
    <t>ORD-00158</t>
  </si>
  <si>
    <t>CUST-0228</t>
  </si>
  <si>
    <t>PROD-059</t>
  </si>
  <si>
    <t>ORD-00159</t>
  </si>
  <si>
    <t>CUST-0197</t>
  </si>
  <si>
    <t>ORD-00160</t>
  </si>
  <si>
    <t>CUST-0009</t>
  </si>
  <si>
    <t>ORD-00161</t>
  </si>
  <si>
    <t>ORD-00162</t>
  </si>
  <si>
    <t>ORD-00163</t>
  </si>
  <si>
    <t>CUST-0119</t>
  </si>
  <si>
    <t>ORD-00164</t>
  </si>
  <si>
    <t>ORD-00165</t>
  </si>
  <si>
    <t>CUST-0240</t>
  </si>
  <si>
    <t>ORD-00166</t>
  </si>
  <si>
    <t>CUST-0067</t>
  </si>
  <si>
    <t>ORD-00167</t>
  </si>
  <si>
    <t>ORD-00168</t>
  </si>
  <si>
    <t>ORD-00169</t>
  </si>
  <si>
    <t>ORD-00170</t>
  </si>
  <si>
    <t>CUST-0087</t>
  </si>
  <si>
    <t>ORD-00171</t>
  </si>
  <si>
    <t>ORD-00172</t>
  </si>
  <si>
    <t>CUST-0027</t>
  </si>
  <si>
    <t>ORD-00173</t>
  </si>
  <si>
    <t>ORD-00174</t>
  </si>
  <si>
    <t>CUST-0163</t>
  </si>
  <si>
    <t>ORD-00175</t>
  </si>
  <si>
    <t>CUST-0059</t>
  </si>
  <si>
    <t>ORD-00176</t>
  </si>
  <si>
    <t>ORD-00177</t>
  </si>
  <si>
    <t>CUST-0048</t>
  </si>
  <si>
    <t>ORD-00178</t>
  </si>
  <si>
    <t>ORD-00179</t>
  </si>
  <si>
    <t>CUST-0124</t>
  </si>
  <si>
    <t>ORD-00180</t>
  </si>
  <si>
    <t>ORD-00181</t>
  </si>
  <si>
    <t>ORD-00182</t>
  </si>
  <si>
    <t>ORD-00183</t>
  </si>
  <si>
    <t>ORD-00184</t>
  </si>
  <si>
    <t>ORD-00185</t>
  </si>
  <si>
    <t>ORD-00186</t>
  </si>
  <si>
    <t>CUST-0284</t>
  </si>
  <si>
    <t>PROD-035</t>
  </si>
  <si>
    <t>ORD-00187</t>
  </si>
  <si>
    <t>CUST-0274</t>
  </si>
  <si>
    <t>ORD-00188</t>
  </si>
  <si>
    <t>ORD-00189</t>
  </si>
  <si>
    <t>CUST-0264</t>
  </si>
  <si>
    <t>ORD-00190</t>
  </si>
  <si>
    <t>ORD-00191</t>
  </si>
  <si>
    <t>CUST-0041</t>
  </si>
  <si>
    <t>ORD-00192</t>
  </si>
  <si>
    <t>CUST-0043</t>
  </si>
  <si>
    <t>ORD-00193</t>
  </si>
  <si>
    <t>ORD-00194</t>
  </si>
  <si>
    <t>PROD-056</t>
  </si>
  <si>
    <t>ORD-00195</t>
  </si>
  <si>
    <t>ORD-00196</t>
  </si>
  <si>
    <t>CUST-0047</t>
  </si>
  <si>
    <t>ORD-00197</t>
  </si>
  <si>
    <t>CUST-0162</t>
  </si>
  <si>
    <t>ORD-00198</t>
  </si>
  <si>
    <t>CUST-0121</t>
  </si>
  <si>
    <t>ORD-00199</t>
  </si>
  <si>
    <t>CUST-0075</t>
  </si>
  <si>
    <t>ORD-00200</t>
  </si>
  <si>
    <t>ORD-00201</t>
  </si>
  <si>
    <t>ORD-00202</t>
  </si>
  <si>
    <t>CUST-0251</t>
  </si>
  <si>
    <t>ORD-00203</t>
  </si>
  <si>
    <t>CUST-0125</t>
  </si>
  <si>
    <t>ORD-00204</t>
  </si>
  <si>
    <t>ORD-00205</t>
  </si>
  <si>
    <t>CUST-0068</t>
  </si>
  <si>
    <t>ORD-00206</t>
  </si>
  <si>
    <t>ORD-00207</t>
  </si>
  <si>
    <t>ORD-00208</t>
  </si>
  <si>
    <t>CUST-0077</t>
  </si>
  <si>
    <t>ORD-00209</t>
  </si>
  <si>
    <t>CUST-0232</t>
  </si>
  <si>
    <t>ORD-00210</t>
  </si>
  <si>
    <t>CUST-0277</t>
  </si>
  <si>
    <t>ORD-00211</t>
  </si>
  <si>
    <t>ORD-00212</t>
  </si>
  <si>
    <t>CUST-0178</t>
  </si>
  <si>
    <t>ORD-00213</t>
  </si>
  <si>
    <t>CUST-0246</t>
  </si>
  <si>
    <t>ORD-00214</t>
  </si>
  <si>
    <t>ORD-00215</t>
  </si>
  <si>
    <t>ORD-00216</t>
  </si>
  <si>
    <t>ORD-00217</t>
  </si>
  <si>
    <t>CUST-0079</t>
  </si>
  <si>
    <t>ORD-00218</t>
  </si>
  <si>
    <t>CUST-0173</t>
  </si>
  <si>
    <t>ORD-00219</t>
  </si>
  <si>
    <t>CUST-0050</t>
  </si>
  <si>
    <t>ORD-00220</t>
  </si>
  <si>
    <t>CUST-0097</t>
  </si>
  <si>
    <t>ORD-00221</t>
  </si>
  <si>
    <t>CUST-0026</t>
  </si>
  <si>
    <t>ORD-00222</t>
  </si>
  <si>
    <t>CUST-0185</t>
  </si>
  <si>
    <t>ORD-00223</t>
  </si>
  <si>
    <t>CUST-0135</t>
  </si>
  <si>
    <t>ORD-00224</t>
  </si>
  <si>
    <t>CUST-0010</t>
  </si>
  <si>
    <t>ORD-00225</t>
  </si>
  <si>
    <t>CUST-0271</t>
  </si>
  <si>
    <t>ORD-00226</t>
  </si>
  <si>
    <t>ORD-00227</t>
  </si>
  <si>
    <t>CUST-0296</t>
  </si>
  <si>
    <t>ORD-00228</t>
  </si>
  <si>
    <t>ORD-00229</t>
  </si>
  <si>
    <t>ORD-00230</t>
  </si>
  <si>
    <t>ORD-00231</t>
  </si>
  <si>
    <t>ORD-00232</t>
  </si>
  <si>
    <t>ORD-00233</t>
  </si>
  <si>
    <t>ORD-00234</t>
  </si>
  <si>
    <t>ORD-00235</t>
  </si>
  <si>
    <t>ORD-00236</t>
  </si>
  <si>
    <t>CUST-0073</t>
  </si>
  <si>
    <t>ORD-00237</t>
  </si>
  <si>
    <t>CUST-0242</t>
  </si>
  <si>
    <t>ORD-00238</t>
  </si>
  <si>
    <t>ORD-00239</t>
  </si>
  <si>
    <t>CUST-0085</t>
  </si>
  <si>
    <t>ORD-00240</t>
  </si>
  <si>
    <t>ORD-00241</t>
  </si>
  <si>
    <t>ORD-00242</t>
  </si>
  <si>
    <t>CUST-0171</t>
  </si>
  <si>
    <t>ORD-00243</t>
  </si>
  <si>
    <t>ORD-00244</t>
  </si>
  <si>
    <t>CUST-0285</t>
  </si>
  <si>
    <t>ORD-00245</t>
  </si>
  <si>
    <t>ORD-00246</t>
  </si>
  <si>
    <t>CUST-0295</t>
  </si>
  <si>
    <t>ORD-00247</t>
  </si>
  <si>
    <t>CUST-0218</t>
  </si>
  <si>
    <t>ORD-00248</t>
  </si>
  <si>
    <t>CUST-0090</t>
  </si>
  <si>
    <t>ORD-00249</t>
  </si>
  <si>
    <t>ORD-00250</t>
  </si>
  <si>
    <t>CUST-0231</t>
  </si>
  <si>
    <t>ORD-00251</t>
  </si>
  <si>
    <t>CUST-0055</t>
  </si>
  <si>
    <t>ORD-00252</t>
  </si>
  <si>
    <t>CUST-0262</t>
  </si>
  <si>
    <t>ORD-00253</t>
  </si>
  <si>
    <t>CUST-0155</t>
  </si>
  <si>
    <t>ORD-00254</t>
  </si>
  <si>
    <t>CUST-0169</t>
  </si>
  <si>
    <t>ORD-00255</t>
  </si>
  <si>
    <t>ORD-00256</t>
  </si>
  <si>
    <t>CUST-0249</t>
  </si>
  <si>
    <t>ORD-00257</t>
  </si>
  <si>
    <t>CUST-0151</t>
  </si>
  <si>
    <t>ORD-00258</t>
  </si>
  <si>
    <t>CUST-0115</t>
  </si>
  <si>
    <t>ORD-00259</t>
  </si>
  <si>
    <t>ORD-00260</t>
  </si>
  <si>
    <t>ORD-00261</t>
  </si>
  <si>
    <t>CUST-0198</t>
  </si>
  <si>
    <t>ORD-00262</t>
  </si>
  <si>
    <t>ORD-00263</t>
  </si>
  <si>
    <t>CUST-0110</t>
  </si>
  <si>
    <t>ORD-00264</t>
  </si>
  <si>
    <t>CUST-0134</t>
  </si>
  <si>
    <t>ORD-00265</t>
  </si>
  <si>
    <t>CUST-0141</t>
  </si>
  <si>
    <t>ORD-00266</t>
  </si>
  <si>
    <t>ORD-00267</t>
  </si>
  <si>
    <t>ORD-00268</t>
  </si>
  <si>
    <t>ORD-00269</t>
  </si>
  <si>
    <t>ORD-00270</t>
  </si>
  <si>
    <t>ORD-00271</t>
  </si>
  <si>
    <t>CUST-0238</t>
  </si>
  <si>
    <t>ORD-00272</t>
  </si>
  <si>
    <t>ORD-00273</t>
  </si>
  <si>
    <t>CUST-0167</t>
  </si>
  <si>
    <t>ORD-00274</t>
  </si>
  <si>
    <t>ORD-00275</t>
  </si>
  <si>
    <t>ORD-00276</t>
  </si>
  <si>
    <t>ORD-00277</t>
  </si>
  <si>
    <t>CUST-0183</t>
  </si>
  <si>
    <t>ORD-00278</t>
  </si>
  <si>
    <t>ORD-00279</t>
  </si>
  <si>
    <t>ORD-00280</t>
  </si>
  <si>
    <t>ORD-00281</t>
  </si>
  <si>
    <t>ORD-00282</t>
  </si>
  <si>
    <t>ORD-00283</t>
  </si>
  <si>
    <t>ORD-00284</t>
  </si>
  <si>
    <t>CUST-0297</t>
  </si>
  <si>
    <t>ORD-00285</t>
  </si>
  <si>
    <t>ORD-00286</t>
  </si>
  <si>
    <t>ORD-00287</t>
  </si>
  <si>
    <t>CUST-0160</t>
  </si>
  <si>
    <t>ORD-00288</t>
  </si>
  <si>
    <t>ORD-00289</t>
  </si>
  <si>
    <t>ORD-00290</t>
  </si>
  <si>
    <t>PROD-018</t>
  </si>
  <si>
    <t>ORD-00291</t>
  </si>
  <si>
    <t>ORD-00292</t>
  </si>
  <si>
    <t>CUST-0011</t>
  </si>
  <si>
    <t>ORD-00335</t>
  </si>
  <si>
    <t>ORD-00294</t>
  </si>
  <si>
    <t>ORD-00295</t>
  </si>
  <si>
    <t>ORD-00296</t>
  </si>
  <si>
    <t>ORD-01770</t>
  </si>
  <si>
    <t>ORD-00298</t>
  </si>
  <si>
    <t>CUST-0166</t>
  </si>
  <si>
    <t>ORD-00299</t>
  </si>
  <si>
    <t>ORD-00300</t>
  </si>
  <si>
    <t>ORD-00301</t>
  </si>
  <si>
    <t>CUST-0036</t>
  </si>
  <si>
    <t>ORD-00302</t>
  </si>
  <si>
    <t>ORD-00303</t>
  </si>
  <si>
    <t>CUST-0247</t>
  </si>
  <si>
    <t>ORD-00881</t>
  </si>
  <si>
    <t>ORD-00305</t>
  </si>
  <si>
    <t>ORD-00306</t>
  </si>
  <si>
    <t>CUST-0196</t>
  </si>
  <si>
    <t>ORD-00307</t>
  </si>
  <si>
    <t>ORD-00308</t>
  </si>
  <si>
    <t>ORD-00309</t>
  </si>
  <si>
    <t>CUST-0132</t>
  </si>
  <si>
    <t>ORD-00310</t>
  </si>
  <si>
    <t>CUST-0153</t>
  </si>
  <si>
    <t>ORD-00311</t>
  </si>
  <si>
    <t>ORD-00312</t>
  </si>
  <si>
    <t>CUST-0256</t>
  </si>
  <si>
    <t>ORD-00313</t>
  </si>
  <si>
    <t>ORD-00314</t>
  </si>
  <si>
    <t>ORD-00315</t>
  </si>
  <si>
    <t>ORD-00316</t>
  </si>
  <si>
    <t>ORD-00317</t>
  </si>
  <si>
    <t>ORD-00318</t>
  </si>
  <si>
    <t>ORD-00319</t>
  </si>
  <si>
    <t>CUST-0245</t>
  </si>
  <si>
    <t>ORD-00320</t>
  </si>
  <si>
    <t>ORD-00321</t>
  </si>
  <si>
    <t>CUST-0212</t>
  </si>
  <si>
    <t>ORD-00322</t>
  </si>
  <si>
    <t>ORD-00323</t>
  </si>
  <si>
    <t>CUST-0157</t>
  </si>
  <si>
    <t>ORD-00324</t>
  </si>
  <si>
    <t>CUST-0004</t>
  </si>
  <si>
    <t>ORD-00325</t>
  </si>
  <si>
    <t>CUST-0003</t>
  </si>
  <si>
    <t>ORD-00326</t>
  </si>
  <si>
    <t>ORD-00327</t>
  </si>
  <si>
    <t>ORD-00328</t>
  </si>
  <si>
    <t>ORD-00329</t>
  </si>
  <si>
    <t>CUST-0299</t>
  </si>
  <si>
    <t>ORD-00330</t>
  </si>
  <si>
    <t>CUST-0066</t>
  </si>
  <si>
    <t>ORD-00331</t>
  </si>
  <si>
    <t>ORD-00332</t>
  </si>
  <si>
    <t>CUST-0138</t>
  </si>
  <si>
    <t>ORD-00333</t>
  </si>
  <si>
    <t>ORD-00334</t>
  </si>
  <si>
    <t>CUST-0269</t>
  </si>
  <si>
    <t>PUNE</t>
  </si>
  <si>
    <t>ORD-00336</t>
  </si>
  <si>
    <t>ORD-00337</t>
  </si>
  <si>
    <t>ORD-00338</t>
  </si>
  <si>
    <t>CUST-0016</t>
  </si>
  <si>
    <t>ORD-00339</t>
  </si>
  <si>
    <t>ORD-00340</t>
  </si>
  <si>
    <t>ORD-00341</t>
  </si>
  <si>
    <t>CUST-0279</t>
  </si>
  <si>
    <t>ORD-00342</t>
  </si>
  <si>
    <t>ORD-00343</t>
  </si>
  <si>
    <t>ORD-00344</t>
  </si>
  <si>
    <t>ORD-00593</t>
  </si>
  <si>
    <t>ORD-00346</t>
  </si>
  <si>
    <t>CUST-0062</t>
  </si>
  <si>
    <t>ORD-00347</t>
  </si>
  <si>
    <t>ORD-00348</t>
  </si>
  <si>
    <t>CUST-0001</t>
  </si>
  <si>
    <t>ORD-00349</t>
  </si>
  <si>
    <t>ORD-00350</t>
  </si>
  <si>
    <t>CUST-0044</t>
  </si>
  <si>
    <t>ORD-00351</t>
  </si>
  <si>
    <t>ORD-00352</t>
  </si>
  <si>
    <t>CUST-0061</t>
  </si>
  <si>
    <t>ORD-00353</t>
  </si>
  <si>
    <t>ORD-00354</t>
  </si>
  <si>
    <t>ORD-00355</t>
  </si>
  <si>
    <t>ORD-00356</t>
  </si>
  <si>
    <t>ORD-00357</t>
  </si>
  <si>
    <t>ORD-00358</t>
  </si>
  <si>
    <t>ORD-00359</t>
  </si>
  <si>
    <t>CUST-0292</t>
  </si>
  <si>
    <t>ORD-00360</t>
  </si>
  <si>
    <t>ORD-00361</t>
  </si>
  <si>
    <t>ORD-00362</t>
  </si>
  <si>
    <t>ORD-00363</t>
  </si>
  <si>
    <t>CUST-0030</t>
  </si>
  <si>
    <t>ORD-00364</t>
  </si>
  <si>
    <t>CUST-0270</t>
  </si>
  <si>
    <t>ORD-00365</t>
  </si>
  <si>
    <t>ORD-00366</t>
  </si>
  <si>
    <t>CUST-0215</t>
  </si>
  <si>
    <t>ORD-00367</t>
  </si>
  <si>
    <t>CUST-0225</t>
  </si>
  <si>
    <t>ORD-00368</t>
  </si>
  <si>
    <t>ORD-00369</t>
  </si>
  <si>
    <t>ORD-00370</t>
  </si>
  <si>
    <t>CUST-0002</t>
  </si>
  <si>
    <t>ORD-00371</t>
  </si>
  <si>
    <t>CUST-0057</t>
  </si>
  <si>
    <t>ORD-00372</t>
  </si>
  <si>
    <t>ORD-00373</t>
  </si>
  <si>
    <t>ORD-00374</t>
  </si>
  <si>
    <t>ORD-00375</t>
  </si>
  <si>
    <t>ORD-00376</t>
  </si>
  <si>
    <t>ORD-00377</t>
  </si>
  <si>
    <t>ORD-00378</t>
  </si>
  <si>
    <t>ORD-00379</t>
  </si>
  <si>
    <t>CUST-0074</t>
  </si>
  <si>
    <t>ORD-00380</t>
  </si>
  <si>
    <t>CUST-0221</t>
  </si>
  <si>
    <t>ORD-00381</t>
  </si>
  <si>
    <t>ORD-00382</t>
  </si>
  <si>
    <t>ORD-00383</t>
  </si>
  <si>
    <t>CUST-0209</t>
  </si>
  <si>
    <t>pune</t>
  </si>
  <si>
    <t>ORD-00384</t>
  </si>
  <si>
    <t>ORD-00385</t>
  </si>
  <si>
    <t>ORD-00386</t>
  </si>
  <si>
    <t>ORD-00387</t>
  </si>
  <si>
    <t>ORD-00388</t>
  </si>
  <si>
    <t>ORD-00389</t>
  </si>
  <si>
    <t>ORD-00390</t>
  </si>
  <si>
    <t>ORD-00391</t>
  </si>
  <si>
    <t>CUST-0019</t>
  </si>
  <si>
    <t>ORD-00392</t>
  </si>
  <si>
    <t>CUST-0290</t>
  </si>
  <si>
    <t>ORD-00393</t>
  </si>
  <si>
    <t>CUST-9557</t>
  </si>
  <si>
    <t>ORD-00394</t>
  </si>
  <si>
    <t>ORD-00395</t>
  </si>
  <si>
    <t>CUST-0045</t>
  </si>
  <si>
    <t>ORD-00396</t>
  </si>
  <si>
    <t>ORD-00397</t>
  </si>
  <si>
    <t>ORD-00398</t>
  </si>
  <si>
    <t>ORD-00399</t>
  </si>
  <si>
    <t>CUST-0154</t>
  </si>
  <si>
    <t>ORD-00400</t>
  </si>
  <si>
    <t>ORD-00401</t>
  </si>
  <si>
    <t>CUST-9654</t>
  </si>
  <si>
    <t>ORD-00402</t>
  </si>
  <si>
    <t>ORD-00403</t>
  </si>
  <si>
    <t>ORD-00404</t>
  </si>
  <si>
    <t>ORD-00405</t>
  </si>
  <si>
    <t>ORD-00406</t>
  </si>
  <si>
    <t>CUST-0093</t>
  </si>
  <si>
    <t>ORD-00407</t>
  </si>
  <si>
    <t>ORD-00408</t>
  </si>
  <si>
    <t>ORD-00409</t>
  </si>
  <si>
    <t>ORD-00410</t>
  </si>
  <si>
    <t>ORD-00411</t>
  </si>
  <si>
    <t>ORD-00412</t>
  </si>
  <si>
    <t>CUST-0148</t>
  </si>
  <si>
    <t>ORD-00413</t>
  </si>
  <si>
    <t>ORD-00414</t>
  </si>
  <si>
    <t>ORD-00415</t>
  </si>
  <si>
    <t>ORD-00416</t>
  </si>
  <si>
    <t>CUST-0190</t>
  </si>
  <si>
    <t>ORD-00417</t>
  </si>
  <si>
    <t>ORD-00418</t>
  </si>
  <si>
    <t>ORD-00419</t>
  </si>
  <si>
    <t>ORD-00420</t>
  </si>
  <si>
    <t>ORD-00421</t>
  </si>
  <si>
    <t>ORD-00422</t>
  </si>
  <si>
    <t>CUST-0037</t>
  </si>
  <si>
    <t>ORD-00423</t>
  </si>
  <si>
    <t>CUST-0039</t>
  </si>
  <si>
    <t>ORD-00424</t>
  </si>
  <si>
    <t>ORD-00425</t>
  </si>
  <si>
    <t>ORD-00426</t>
  </si>
  <si>
    <t>CUST-0130</t>
  </si>
  <si>
    <t>ORD-00427</t>
  </si>
  <si>
    <t>ORD-00428</t>
  </si>
  <si>
    <t>ORD-00429</t>
  </si>
  <si>
    <t>ORD-00430</t>
  </si>
  <si>
    <t>ORD-00431</t>
  </si>
  <si>
    <t>ORD-00432</t>
  </si>
  <si>
    <t>ORD-00433</t>
  </si>
  <si>
    <t>ORD-00434</t>
  </si>
  <si>
    <t>CUST-0136</t>
  </si>
  <si>
    <t>ORD-00435</t>
  </si>
  <si>
    <t>ORD-00436</t>
  </si>
  <si>
    <t>ORD-00437</t>
  </si>
  <si>
    <t>ORD-00438</t>
  </si>
  <si>
    <t>ORD-00439</t>
  </si>
  <si>
    <t>CUST-0217</t>
  </si>
  <si>
    <t>ORD-00440</t>
  </si>
  <si>
    <t>ORD-00441</t>
  </si>
  <si>
    <t>ORD-00442</t>
  </si>
  <si>
    <t>ORD-00443</t>
  </si>
  <si>
    <t>ORD-00444</t>
  </si>
  <si>
    <t>ORD-00445</t>
  </si>
  <si>
    <t>CUST-9626</t>
  </si>
  <si>
    <t>ORD-00446</t>
  </si>
  <si>
    <t>ORD-00447</t>
  </si>
  <si>
    <t>ORD-00448</t>
  </si>
  <si>
    <t>ORD-00449</t>
  </si>
  <si>
    <t>CUST-0017</t>
  </si>
  <si>
    <t>ORD-00450</t>
  </si>
  <si>
    <t>CUST-0007</t>
  </si>
  <si>
    <t>ORD-00451</t>
  </si>
  <si>
    <t>CUST-0054</t>
  </si>
  <si>
    <t>ORD-00452</t>
  </si>
  <si>
    <t>CUST-0038</t>
  </si>
  <si>
    <t>ORD-00453</t>
  </si>
  <si>
    <t>ORD-00454</t>
  </si>
  <si>
    <t>ORD-00455</t>
  </si>
  <si>
    <t>CUST-0072</t>
  </si>
  <si>
    <t>ORD-00456</t>
  </si>
  <si>
    <t>ORD-00457</t>
  </si>
  <si>
    <t>ORD-00458</t>
  </si>
  <si>
    <t>CUST-0214</t>
  </si>
  <si>
    <t>CUST-0236</t>
  </si>
  <si>
    <t>ORD-00460</t>
  </si>
  <si>
    <t>ORD-00461</t>
  </si>
  <si>
    <t>CUST-0123</t>
  </si>
  <si>
    <t>ORD-00462</t>
  </si>
  <si>
    <t>ORD-00463</t>
  </si>
  <si>
    <t>ORD-00464</t>
  </si>
  <si>
    <t>ORD-00465</t>
  </si>
  <si>
    <t>ORD-00466</t>
  </si>
  <si>
    <t>ORD-00467</t>
  </si>
  <si>
    <t>ORD-00468</t>
  </si>
  <si>
    <t>ORD-00469</t>
  </si>
  <si>
    <t>CUST-0223</t>
  </si>
  <si>
    <t>ORD-00470</t>
  </si>
  <si>
    <t>ORD-00471</t>
  </si>
  <si>
    <t>ORD-00472</t>
  </si>
  <si>
    <t>ORD-00473</t>
  </si>
  <si>
    <t>CUST-0254</t>
  </si>
  <si>
    <t>ORD-00474</t>
  </si>
  <si>
    <t>CUST-0126</t>
  </si>
  <si>
    <t>ORD-00475</t>
  </si>
  <si>
    <t>ORD-00476</t>
  </si>
  <si>
    <t>CUST-0089</t>
  </si>
  <si>
    <t>ORD-00477</t>
  </si>
  <si>
    <t>ORD-00478</t>
  </si>
  <si>
    <t>CUST-0201</t>
  </si>
  <si>
    <t>ORD-01195</t>
  </si>
  <si>
    <t>CUST-0091</t>
  </si>
  <si>
    <t>ORD-00480</t>
  </si>
  <si>
    <t>ORD-00481</t>
  </si>
  <si>
    <t>ORD-00482</t>
  </si>
  <si>
    <t>ORD-00483</t>
  </si>
  <si>
    <t>ORD-00484</t>
  </si>
  <si>
    <t>ORD-00485</t>
  </si>
  <si>
    <t>ORD-00486</t>
  </si>
  <si>
    <t>ORD-00487</t>
  </si>
  <si>
    <t>ORD-00488</t>
  </si>
  <si>
    <t>ORD-00489</t>
  </si>
  <si>
    <t>CUST-0195</t>
  </si>
  <si>
    <t>ORD-00490</t>
  </si>
  <si>
    <t>ORD-00491</t>
  </si>
  <si>
    <t>ORD-00492</t>
  </si>
  <si>
    <t>ORD-00493</t>
  </si>
  <si>
    <t>ORD-00494</t>
  </si>
  <si>
    <t>ORD-00495</t>
  </si>
  <si>
    <t>ORD-00496</t>
  </si>
  <si>
    <t>ORD-00497</t>
  </si>
  <si>
    <t>ORD-00498</t>
  </si>
  <si>
    <t>ORD-00499</t>
  </si>
  <si>
    <t>ORD-00500</t>
  </si>
  <si>
    <t>ORD-00501</t>
  </si>
  <si>
    <t>ORD-00502</t>
  </si>
  <si>
    <t>ORD-00503</t>
  </si>
  <si>
    <t>ORD-00504</t>
  </si>
  <si>
    <t>ORD-00505</t>
  </si>
  <si>
    <t>ORD-00506</t>
  </si>
  <si>
    <t>ORD-00507</t>
  </si>
  <si>
    <t>ORD-00508</t>
  </si>
  <si>
    <t>ORD-00509</t>
  </si>
  <si>
    <t>ORD-00510</t>
  </si>
  <si>
    <t>CUST-0103</t>
  </si>
  <si>
    <t>ORD-00511</t>
  </si>
  <si>
    <t>CUST-0174</t>
  </si>
  <si>
    <t>ORD-00512</t>
  </si>
  <si>
    <t>ORD-00513</t>
  </si>
  <si>
    <t>CUST-0266</t>
  </si>
  <si>
    <t>ORD-00514</t>
  </si>
  <si>
    <t>ORD-00515</t>
  </si>
  <si>
    <t>ORD-00516</t>
  </si>
  <si>
    <t>CUST-0128</t>
  </si>
  <si>
    <t>ORD-00517</t>
  </si>
  <si>
    <t>ORD-00518</t>
  </si>
  <si>
    <t>ORD-00519</t>
  </si>
  <si>
    <t>CUST-0237</t>
  </si>
  <si>
    <t>ORD-00520</t>
  </si>
  <si>
    <t>ORD-00521</t>
  </si>
  <si>
    <t>CUST-0233</t>
  </si>
  <si>
    <t>ORD-00522</t>
  </si>
  <si>
    <t>ORD-00523</t>
  </si>
  <si>
    <t>ORD-00524</t>
  </si>
  <si>
    <t>CUST-0235</t>
  </si>
  <si>
    <t>ORD-00525</t>
  </si>
  <si>
    <t>ORD-00526</t>
  </si>
  <si>
    <t>CUST-0199</t>
  </si>
  <si>
    <t>ORD-00527</t>
  </si>
  <si>
    <t>CUST-0034</t>
  </si>
  <si>
    <t>ORD-00528</t>
  </si>
  <si>
    <t>CUST-0206</t>
  </si>
  <si>
    <t>ORD-00529</t>
  </si>
  <si>
    <t>ORD-00530</t>
  </si>
  <si>
    <t>ORD-00531</t>
  </si>
  <si>
    <t>ORD-00532</t>
  </si>
  <si>
    <t>ORD-00533</t>
  </si>
  <si>
    <t>ORD-00534</t>
  </si>
  <si>
    <t>CUST-0205</t>
  </si>
  <si>
    <t>ORD-00535</t>
  </si>
  <si>
    <t>ORD-00536</t>
  </si>
  <si>
    <t>ORD-00537</t>
  </si>
  <si>
    <t>ORD-00538</t>
  </si>
  <si>
    <t>ORD-00539</t>
  </si>
  <si>
    <t>CUST-0127</t>
  </si>
  <si>
    <t>ORD-00540</t>
  </si>
  <si>
    <t>ORD-00541</t>
  </si>
  <si>
    <t>CUST-0005</t>
  </si>
  <si>
    <t>ORD-00542</t>
  </si>
  <si>
    <t>ORD-00543</t>
  </si>
  <si>
    <t>ORD-00544</t>
  </si>
  <si>
    <t>CUST-0244</t>
  </si>
  <si>
    <t>ORD-00545</t>
  </si>
  <si>
    <t>ORD-00546</t>
  </si>
  <si>
    <t>ORD-00547</t>
  </si>
  <si>
    <t>ORD-00548</t>
  </si>
  <si>
    <t>ORD-00549</t>
  </si>
  <si>
    <t>ORD-00550</t>
  </si>
  <si>
    <t>ORD-00551</t>
  </si>
  <si>
    <t>ORD-00552</t>
  </si>
  <si>
    <t>ORD-00553</t>
  </si>
  <si>
    <t>CUST-0252</t>
  </si>
  <si>
    <t>ORD-00554</t>
  </si>
  <si>
    <t>ORD-00555</t>
  </si>
  <si>
    <t>CUST-0046</t>
  </si>
  <si>
    <t>ORD-00556</t>
  </si>
  <si>
    <t>ORD-00557</t>
  </si>
  <si>
    <t>CUST-0227</t>
  </si>
  <si>
    <t>ORD-00558</t>
  </si>
  <si>
    <t>ORD-00559</t>
  </si>
  <si>
    <t>ORD-00560</t>
  </si>
  <si>
    <t>ORD-00561</t>
  </si>
  <si>
    <t>ORD-00562</t>
  </si>
  <si>
    <t>ORD-00563</t>
  </si>
  <si>
    <t>ORD-00564</t>
  </si>
  <si>
    <t>ORD-00565</t>
  </si>
  <si>
    <t>ORD-00566</t>
  </si>
  <si>
    <t>CUST-0058</t>
  </si>
  <si>
    <t>ORD-00567</t>
  </si>
  <si>
    <t>ORD-00568</t>
  </si>
  <si>
    <t>ORD-00569</t>
  </si>
  <si>
    <t>ORD-00570</t>
  </si>
  <si>
    <t>ORD-00571</t>
  </si>
  <si>
    <t>ORD-00572</t>
  </si>
  <si>
    <t>ORD-00573</t>
  </si>
  <si>
    <t>ORD-00574</t>
  </si>
  <si>
    <t>ORD-00575</t>
  </si>
  <si>
    <t>ORD-00576</t>
  </si>
  <si>
    <t>CUST-0272</t>
  </si>
  <si>
    <t>ORD-00577</t>
  </si>
  <si>
    <t>ORD-00578</t>
  </si>
  <si>
    <t>ORD-00579</t>
  </si>
  <si>
    <t>ORD-00580</t>
  </si>
  <si>
    <t>ORD-00581</t>
  </si>
  <si>
    <t>ORD-00582</t>
  </si>
  <si>
    <t>ORD-00583</t>
  </si>
  <si>
    <t>ORD-00584</t>
  </si>
  <si>
    <t>CUST-0156</t>
  </si>
  <si>
    <t>ORD-00585</t>
  </si>
  <si>
    <t>CUST-0022</t>
  </si>
  <si>
    <t>ORD-00586</t>
  </si>
  <si>
    <t>ORD-00587</t>
  </si>
  <si>
    <t>ORD-00588</t>
  </si>
  <si>
    <t>ORD-00589</t>
  </si>
  <si>
    <t>ORD-00590</t>
  </si>
  <si>
    <t>ORD-00591</t>
  </si>
  <si>
    <t>ORD-00592</t>
  </si>
  <si>
    <t>ORD-00594</t>
  </si>
  <si>
    <t>CUST-0278</t>
  </si>
  <si>
    <t>ORD-00595</t>
  </si>
  <si>
    <t>ORD-00596</t>
  </si>
  <si>
    <t>ORD-00597</t>
  </si>
  <si>
    <t>CUST-0289</t>
  </si>
  <si>
    <t>ORD-00598</t>
  </si>
  <si>
    <t>ORD-00599</t>
  </si>
  <si>
    <t>ORD-00600</t>
  </si>
  <si>
    <t>CUST-0213</t>
  </si>
  <si>
    <t>ORD-00601</t>
  </si>
  <si>
    <t>ORD-00602</t>
  </si>
  <si>
    <t>ORD-00603</t>
  </si>
  <si>
    <t>ORD-00604</t>
  </si>
  <si>
    <t>ORD-00605</t>
  </si>
  <si>
    <t>ORD-00606</t>
  </si>
  <si>
    <t>CUST-0179</t>
  </si>
  <si>
    <t>ORD-00607</t>
  </si>
  <si>
    <t>ORD-00608</t>
  </si>
  <si>
    <t>CUST-0144</t>
  </si>
  <si>
    <t>ORD-00609</t>
  </si>
  <si>
    <t>ORD-00610</t>
  </si>
  <si>
    <t>ORD-00611</t>
  </si>
  <si>
    <t>ORD-00612</t>
  </si>
  <si>
    <t>ORD-00613</t>
  </si>
  <si>
    <t>ORD-00614</t>
  </si>
  <si>
    <t>CUST-0063</t>
  </si>
  <si>
    <t>ORD-00615</t>
  </si>
  <si>
    <t>ORD-00616</t>
  </si>
  <si>
    <t>ORD-00617</t>
  </si>
  <si>
    <t>ORD-00618</t>
  </si>
  <si>
    <t>ORD-00619</t>
  </si>
  <si>
    <t>ORD-00620</t>
  </si>
  <si>
    <t>ORD-00621</t>
  </si>
  <si>
    <t>ORD-00622</t>
  </si>
  <si>
    <t>ORD-00623</t>
  </si>
  <si>
    <t>ORD-00624</t>
  </si>
  <si>
    <t>ORD-00625</t>
  </si>
  <si>
    <t>ORD-00626</t>
  </si>
  <si>
    <t>ORD-00627</t>
  </si>
  <si>
    <t>ORD-00628</t>
  </si>
  <si>
    <t>ORD-00629</t>
  </si>
  <si>
    <t>ORD-00630</t>
  </si>
  <si>
    <t>ORD-00631</t>
  </si>
  <si>
    <t>ORD-00632</t>
  </si>
  <si>
    <t>ORD-00633</t>
  </si>
  <si>
    <t>ORD-00634</t>
  </si>
  <si>
    <t>ORD-00635</t>
  </si>
  <si>
    <t>ORD-00636</t>
  </si>
  <si>
    <t>ORD-00637</t>
  </si>
  <si>
    <t>CUST-0158</t>
  </si>
  <si>
    <t>ORD-00638</t>
  </si>
  <si>
    <t>ORD-00639</t>
  </si>
  <si>
    <t>ORD-00640</t>
  </si>
  <si>
    <t>ORD-00641</t>
  </si>
  <si>
    <t>ORD-00642</t>
  </si>
  <si>
    <t>ORD-00643</t>
  </si>
  <si>
    <t>ORD-00644</t>
  </si>
  <si>
    <t>CUST-0083</t>
  </si>
  <si>
    <t>ORD-00645</t>
  </si>
  <si>
    <t>ORD-00646</t>
  </si>
  <si>
    <t>ORD-00647</t>
  </si>
  <si>
    <t>ORD-00648</t>
  </si>
  <si>
    <t>ORD-00649</t>
  </si>
  <si>
    <t>ORD-00650</t>
  </si>
  <si>
    <t>ORD-00651</t>
  </si>
  <si>
    <t>DELHI</t>
  </si>
  <si>
    <t>ORD-00652</t>
  </si>
  <si>
    <t>ORD-00653</t>
  </si>
  <si>
    <t>ORD-00654</t>
  </si>
  <si>
    <t>ORD-00655</t>
  </si>
  <si>
    <t>ORD-00656</t>
  </si>
  <si>
    <t>ORD-00657</t>
  </si>
  <si>
    <t>ORD-00658</t>
  </si>
  <si>
    <t>ORD-00659</t>
  </si>
  <si>
    <t>CUST-0257</t>
  </si>
  <si>
    <t>ORD-00660</t>
  </si>
  <si>
    <t>ORD-00661</t>
  </si>
  <si>
    <t>ORD-00662</t>
  </si>
  <si>
    <t>ORD-00663</t>
  </si>
  <si>
    <t>ORD-00664</t>
  </si>
  <si>
    <t>ORD-00665</t>
  </si>
  <si>
    <t>ORD-00666</t>
  </si>
  <si>
    <t>ORD-00667</t>
  </si>
  <si>
    <t>ORD-00668</t>
  </si>
  <si>
    <t>ORD-00669</t>
  </si>
  <si>
    <t>ORD-00670</t>
  </si>
  <si>
    <t>ORD-00671</t>
  </si>
  <si>
    <t>ORD-00672</t>
  </si>
  <si>
    <t>ORD-00673</t>
  </si>
  <si>
    <t>ORD-00674</t>
  </si>
  <si>
    <t>ORD-00675</t>
  </si>
  <si>
    <t>ORD-00676</t>
  </si>
  <si>
    <t>ORD-00677</t>
  </si>
  <si>
    <t>ORD-00678</t>
  </si>
  <si>
    <t>ORD-00679</t>
  </si>
  <si>
    <t>ORD-00680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</si>
  <si>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</si>
  <si>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</si>
  <si>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</si>
  <si>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</si>
  <si>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</si>
  <si>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</si>
  <si>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</si>
  <si>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</si>
  <si>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</si>
  <si>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ORD-00690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</si>
  <si>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</si>
  <si>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</si>
  <si>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</si>
  <si>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</si>
  <si>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</si>
  <si>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</si>
  <si>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</si>
  <si>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</si>
  <si>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</si>
  <si>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ORD-00700</t>
  </si>
  <si>
    <t>ORD-01185</t>
  </si>
  <si>
    <t>ORD-00702</t>
  </si>
  <si>
    <t>ORD-00703</t>
  </si>
  <si>
    <t>ORD-00704</t>
  </si>
  <si>
    <t>ORD-00705</t>
  </si>
  <si>
    <t>ORD-00706</t>
  </si>
  <si>
    <t>ORD-00707</t>
  </si>
  <si>
    <t>ORD-00708</t>
  </si>
  <si>
    <t>ORD-00709</t>
  </si>
  <si>
    <t>CUST-0060</t>
  </si>
  <si>
    <t>ORD-00710</t>
  </si>
  <si>
    <t>ORD-00711</t>
  </si>
  <si>
    <t>ORD-00712</t>
  </si>
  <si>
    <t>ORD-00713</t>
  </si>
  <si>
    <t>ORD-00714</t>
  </si>
  <si>
    <t>ORD-00715</t>
  </si>
  <si>
    <t>ORD-00716</t>
  </si>
  <si>
    <t>CUST-0065</t>
  </si>
  <si>
    <t>ORD-00717</t>
  </si>
  <si>
    <t>ORD-00718</t>
  </si>
  <si>
    <t>ORD-00719</t>
  </si>
  <si>
    <t>ORD-00720</t>
  </si>
  <si>
    <t>ORD-00721</t>
  </si>
  <si>
    <t>ORD-00722</t>
  </si>
  <si>
    <t>ORD-00723</t>
  </si>
  <si>
    <t>ORD-00724</t>
  </si>
  <si>
    <t>ORD-00725</t>
  </si>
  <si>
    <t>ORD-00726</t>
  </si>
  <si>
    <t>CUST-0211</t>
  </si>
  <si>
    <t>ORD-00727</t>
  </si>
  <si>
    <t>CUST-0229</t>
  </si>
  <si>
    <t>ORD-00728</t>
  </si>
  <si>
    <t>ORD-00729</t>
  </si>
  <si>
    <t>ORD-00730</t>
  </si>
  <si>
    <t>ORD-00731</t>
  </si>
  <si>
    <t>ORD-00732</t>
  </si>
  <si>
    <t>ORD-00733</t>
  </si>
  <si>
    <t>CUST-9846</t>
  </si>
  <si>
    <t>ORD-00734</t>
  </si>
  <si>
    <t>ORD-00735</t>
  </si>
  <si>
    <t>ORD-00736</t>
  </si>
  <si>
    <t>ORD-00737</t>
  </si>
  <si>
    <t>ORD-00738</t>
  </si>
  <si>
    <t>ORD-00739</t>
  </si>
  <si>
    <t>ORD-00740</t>
  </si>
  <si>
    <t>ORD-00741</t>
  </si>
  <si>
    <t>ORD-00742</t>
  </si>
  <si>
    <t>ORD-00743</t>
  </si>
  <si>
    <t>ORD-00744</t>
  </si>
  <si>
    <t>ORD-00745</t>
  </si>
  <si>
    <t>ORD-00746</t>
  </si>
  <si>
    <t>ORD-00747</t>
  </si>
  <si>
    <t>ORD-00748</t>
  </si>
  <si>
    <t>ORD-00749</t>
  </si>
  <si>
    <t>CUST-0122</t>
  </si>
  <si>
    <t>ORD-00750</t>
  </si>
  <si>
    <t>ORD-00751</t>
  </si>
  <si>
    <t>ORD-00752</t>
  </si>
  <si>
    <t>ORD-00753</t>
  </si>
  <si>
    <t>ORD-00754</t>
  </si>
  <si>
    <t>ORD-00755</t>
  </si>
  <si>
    <t>ORD-00756</t>
  </si>
  <si>
    <t>ORD-00757</t>
  </si>
  <si>
    <t>ORD-00758</t>
  </si>
  <si>
    <t>ORD-00759</t>
  </si>
  <si>
    <t>ORD-00760</t>
  </si>
  <si>
    <t>ORD-00761</t>
  </si>
  <si>
    <t>ORD-00762</t>
  </si>
  <si>
    <t>CUST-0109</t>
  </si>
  <si>
    <t>ORD-00763</t>
  </si>
  <si>
    <t>ORD-00764</t>
  </si>
  <si>
    <t>CUST-0120</t>
  </si>
  <si>
    <t>ORD-00765</t>
  </si>
  <si>
    <t>ORD-00766</t>
  </si>
  <si>
    <t>ORD-00767</t>
  </si>
  <si>
    <t>ORD-00768</t>
  </si>
  <si>
    <t>ORD-00769</t>
  </si>
  <si>
    <t>ORD-00770</t>
  </si>
  <si>
    <t>ORD-00771</t>
  </si>
  <si>
    <t>ORD-00772</t>
  </si>
  <si>
    <t>ORD-00773</t>
  </si>
  <si>
    <t>ORD-00774</t>
  </si>
  <si>
    <t>ORD-00775</t>
  </si>
  <si>
    <t>ORD-00776</t>
  </si>
  <si>
    <t>ORD-00777</t>
  </si>
  <si>
    <t>ORD-00778</t>
  </si>
  <si>
    <t>ORD-00779</t>
  </si>
  <si>
    <t>CUST-0021</t>
  </si>
  <si>
    <t>ORD-00780</t>
  </si>
  <si>
    <t>ORD-00781</t>
  </si>
  <si>
    <t>ORD-00782</t>
  </si>
  <si>
    <t>ORD-00783</t>
  </si>
  <si>
    <t>ORD-00784</t>
  </si>
  <si>
    <t>ORD-00785</t>
  </si>
  <si>
    <t>ORD-00786</t>
  </si>
  <si>
    <t>ORD-00787</t>
  </si>
  <si>
    <t>ORD-00788</t>
  </si>
  <si>
    <t>ORD-00789</t>
  </si>
  <si>
    <t>CUST-0188</t>
  </si>
  <si>
    <t>ORD-00790</t>
  </si>
  <si>
    <t>ORD-00791</t>
  </si>
  <si>
    <t>ORD-00792</t>
  </si>
  <si>
    <t>ORD-00793</t>
  </si>
  <si>
    <t>CUST-9568</t>
  </si>
  <si>
    <t>ORD-00794</t>
  </si>
  <si>
    <t>ORD-00795</t>
  </si>
  <si>
    <t>ORD-00796</t>
  </si>
  <si>
    <t>ORD-00797</t>
  </si>
  <si>
    <t>ORD-00798</t>
  </si>
  <si>
    <t>ORD-00799</t>
  </si>
  <si>
    <t>ORD-00800</t>
  </si>
  <si>
    <t>ORD-00801</t>
  </si>
  <si>
    <t>ORD-00802</t>
  </si>
  <si>
    <t>ORD-00803</t>
  </si>
  <si>
    <t>ORD-00804</t>
  </si>
  <si>
    <t>ORD-00805</t>
  </si>
  <si>
    <t>ORD-00806</t>
  </si>
  <si>
    <t>ORD-00807</t>
  </si>
  <si>
    <t>ORD-00808</t>
  </si>
  <si>
    <t>ORD-00809</t>
  </si>
  <si>
    <t>ORD-00810</t>
  </si>
  <si>
    <t>ORD-00811</t>
  </si>
  <si>
    <t>ORD-00812</t>
  </si>
  <si>
    <t>ORD-00813</t>
  </si>
  <si>
    <t>ORD-00814</t>
  </si>
  <si>
    <t>ORD-01052</t>
  </si>
  <si>
    <t>ORD-00816</t>
  </si>
  <si>
    <t>ORD-01136</t>
  </si>
  <si>
    <t>ORD-00818</t>
  </si>
  <si>
    <t>ORD-00819</t>
  </si>
  <si>
    <t>ORD-00820</t>
  </si>
  <si>
    <t>CUST-0023</t>
  </si>
  <si>
    <t>ORD-00821</t>
  </si>
  <si>
    <t>ORD-00822</t>
  </si>
  <si>
    <t>CUST-0300</t>
  </si>
  <si>
    <t>ORD-00823</t>
  </si>
  <si>
    <t>CUST-9578</t>
  </si>
  <si>
    <t>ORD-00824</t>
  </si>
  <si>
    <t>ORD-00825</t>
  </si>
  <si>
    <t>ORD-00826</t>
  </si>
  <si>
    <t>ORD-00827</t>
  </si>
  <si>
    <t>ORD-00828</t>
  </si>
  <si>
    <t>ORD-00829</t>
  </si>
  <si>
    <t>ORD-00830</t>
  </si>
  <si>
    <t>ORD-00831</t>
  </si>
  <si>
    <t>CUST-0105</t>
  </si>
  <si>
    <t>ORD-00832</t>
  </si>
  <si>
    <t>ORD-00833</t>
  </si>
  <si>
    <t>ORD-00834</t>
  </si>
  <si>
    <t>ORD-00835</t>
  </si>
  <si>
    <t>ORD-00836</t>
  </si>
  <si>
    <t>ORD-00837</t>
  </si>
  <si>
    <t>ORD-00838</t>
  </si>
  <si>
    <t>ORD-00839</t>
  </si>
  <si>
    <t>ORD-00840</t>
  </si>
  <si>
    <t>ORD-00841</t>
  </si>
  <si>
    <t>ORD-00842</t>
  </si>
  <si>
    <t>ORD-00843</t>
  </si>
  <si>
    <t>ORD-00844</t>
  </si>
  <si>
    <t>ORD-00845</t>
  </si>
  <si>
    <t>ORD-00846</t>
  </si>
  <si>
    <t>ORD-00847</t>
  </si>
  <si>
    <t>ORD-00848</t>
  </si>
  <si>
    <t>ORD-00849</t>
  </si>
  <si>
    <t>ORD-00850</t>
  </si>
  <si>
    <t>ORD-00851</t>
  </si>
  <si>
    <t>ORD-00852</t>
  </si>
  <si>
    <t>ORD-00853</t>
  </si>
  <si>
    <t>ORD-00854</t>
  </si>
  <si>
    <t>ORD-00855</t>
  </si>
  <si>
    <t>ORD-00856</t>
  </si>
  <si>
    <t>ORD-00857</t>
  </si>
  <si>
    <t>ORD-00858</t>
  </si>
  <si>
    <t>ORD-00859</t>
  </si>
  <si>
    <t>ORD-00860</t>
  </si>
  <si>
    <t>ORD-00861</t>
  </si>
  <si>
    <t>ORD-00862</t>
  </si>
  <si>
    <t>ORD-00863</t>
  </si>
  <si>
    <t>ORD-00864</t>
  </si>
  <si>
    <t>ORD-00865</t>
  </si>
  <si>
    <t>ORD-00866</t>
  </si>
  <si>
    <t>ORD-00867</t>
  </si>
  <si>
    <t>ORD-00868</t>
  </si>
  <si>
    <t>ORD-00869</t>
  </si>
  <si>
    <t>ORD-00870</t>
  </si>
  <si>
    <t>CUST-9833</t>
  </si>
  <si>
    <t>ORD-00871</t>
  </si>
  <si>
    <t>CUST-0076</t>
  </si>
  <si>
    <t>ORD-00872</t>
  </si>
  <si>
    <t>ORD-00873</t>
  </si>
  <si>
    <t>ORD-00874</t>
  </si>
  <si>
    <t>ORD-00875</t>
  </si>
  <si>
    <t>ORD-00876</t>
  </si>
  <si>
    <t>ORD-00877</t>
  </si>
  <si>
    <t>ORD-00878</t>
  </si>
  <si>
    <t>CUST-0049</t>
  </si>
  <si>
    <t>ORD-00879</t>
  </si>
  <si>
    <t>ORD-00880</t>
  </si>
  <si>
    <t>CUST-0220</t>
  </si>
  <si>
    <t>ORD-00882</t>
  </si>
  <si>
    <t>ORD-00883</t>
  </si>
  <si>
    <t>ORD-00884</t>
  </si>
  <si>
    <t>ORD-00885</t>
  </si>
  <si>
    <t>ORD-00886</t>
  </si>
  <si>
    <t>ORD-00887</t>
  </si>
  <si>
    <t>ORD-00888</t>
  </si>
  <si>
    <t>ORD-00889</t>
  </si>
  <si>
    <t>ORD-00890</t>
  </si>
  <si>
    <t>ORD-00891</t>
  </si>
  <si>
    <t>ORD-00892</t>
  </si>
  <si>
    <t>ORD-00893</t>
  </si>
  <si>
    <t>ORD-00894</t>
  </si>
  <si>
    <t>ORD-00895</t>
  </si>
  <si>
    <t>ORD-00896</t>
  </si>
  <si>
    <t>ORD-00898</t>
  </si>
  <si>
    <t>CUST-9607</t>
  </si>
  <si>
    <t>ORD-00899</t>
  </si>
  <si>
    <t>ORD-00900</t>
  </si>
  <si>
    <t>ORD-00901</t>
  </si>
  <si>
    <t>ORD-00902</t>
  </si>
  <si>
    <t>ORD-00903</t>
  </si>
  <si>
    <t>ORD-00904</t>
  </si>
  <si>
    <t>ORD-00905</t>
  </si>
  <si>
    <t>ORD-00906</t>
  </si>
  <si>
    <t>ORD-00907</t>
  </si>
  <si>
    <t>ORD-00908</t>
  </si>
  <si>
    <t>ORD-00909</t>
  </si>
  <si>
    <t>ORD-00910</t>
  </si>
  <si>
    <t>ORD-00911</t>
  </si>
  <si>
    <t>ORD-00912</t>
  </si>
  <si>
    <t>ORD-00913</t>
  </si>
  <si>
    <t>ORD-00914</t>
  </si>
  <si>
    <t>ORD-00915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</si>
  <si>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</si>
  <si>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</si>
  <si>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</si>
  <si>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</si>
  <si>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</si>
  <si>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</si>
  <si>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</si>
  <si>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</si>
  <si>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</si>
  <si>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</si>
  <si>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</si>
  <si>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</si>
  <si>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</si>
  <si>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</si>
  <si>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</si>
  <si>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</si>
  <si>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</si>
  <si>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ORD-00933</t>
  </si>
  <si>
    <t>ORD-00934</t>
  </si>
  <si>
    <t>ORD-00935</t>
  </si>
  <si>
    <t>ORD-00936</t>
  </si>
  <si>
    <t>ORD-00937</t>
  </si>
  <si>
    <t>ORD-00938</t>
  </si>
  <si>
    <t>ORD-00939</t>
  </si>
  <si>
    <t>ORD-00940</t>
  </si>
  <si>
    <t>ORD-00941</t>
  </si>
  <si>
    <t>ORD-00942</t>
  </si>
  <si>
    <t>ORD-00943</t>
  </si>
  <si>
    <t>ORD-00944</t>
  </si>
  <si>
    <t>ORD-00945</t>
  </si>
  <si>
    <t>ORD-00946</t>
  </si>
  <si>
    <t>ORD-00947</t>
  </si>
  <si>
    <t>ORD-00948</t>
  </si>
  <si>
    <t>ORD-00949</t>
  </si>
  <si>
    <t>ORD-00950</t>
  </si>
  <si>
    <t xml:space="preserve"> Delhi </t>
  </si>
  <si>
    <t>ORD-00951</t>
  </si>
  <si>
    <t>ORD-00952</t>
  </si>
  <si>
    <t>ORD-00953</t>
  </si>
  <si>
    <t>ORD-00954</t>
  </si>
  <si>
    <t>ORD-00955</t>
  </si>
  <si>
    <t>ORD-00956</t>
  </si>
  <si>
    <t>ORD-00957</t>
  </si>
  <si>
    <t>ORD-00958</t>
  </si>
  <si>
    <t>ORD-00959</t>
  </si>
  <si>
    <t>ORD-00960</t>
  </si>
  <si>
    <t>ORD-00961</t>
  </si>
  <si>
    <t>ORD-00962</t>
  </si>
  <si>
    <t>ORD-00963</t>
  </si>
  <si>
    <t>ORD-00964</t>
  </si>
  <si>
    <t>ORD-00965</t>
  </si>
  <si>
    <t>ORD-00966</t>
  </si>
  <si>
    <t>ORD-00967</t>
  </si>
  <si>
    <t>ORD-00968</t>
  </si>
  <si>
    <t>ORD-00969</t>
  </si>
  <si>
    <t>CUST-9555</t>
  </si>
  <si>
    <t>ORD-00970</t>
  </si>
  <si>
    <t>ORD-00971</t>
  </si>
  <si>
    <t>ORD-00972</t>
  </si>
  <si>
    <t>ORD-00973</t>
  </si>
  <si>
    <t>ORD-00974</t>
  </si>
  <si>
    <t>ORD-00975</t>
  </si>
  <si>
    <t>ORD-01662</t>
  </si>
  <si>
    <t>ORD-00977</t>
  </si>
  <si>
    <t>ORD-00978</t>
  </si>
  <si>
    <t>ORD-00979</t>
  </si>
  <si>
    <t>CUST-9927</t>
  </si>
  <si>
    <t>ORD-00980</t>
  </si>
  <si>
    <t>ORD-00981</t>
  </si>
  <si>
    <t>ORD-00983</t>
  </si>
  <si>
    <t>ORD-00984</t>
  </si>
  <si>
    <t>ORD-00985</t>
  </si>
  <si>
    <t>ORD-00986</t>
  </si>
  <si>
    <t>ORD-00987</t>
  </si>
  <si>
    <t>ORD-00988</t>
  </si>
  <si>
    <t>ORD-00989</t>
  </si>
  <si>
    <t>ORD-00990</t>
  </si>
  <si>
    <t>ORD-00991</t>
  </si>
  <si>
    <t>ORD-00992</t>
  </si>
  <si>
    <t>ORD-00993</t>
  </si>
  <si>
    <t>ORD-00994</t>
  </si>
  <si>
    <t>ORD-00995</t>
  </si>
  <si>
    <t>ORD-00996</t>
  </si>
  <si>
    <t>ORD-00997</t>
  </si>
  <si>
    <t>ORD-00998</t>
  </si>
  <si>
    <t>ORD-00999</t>
  </si>
  <si>
    <t>ORD-01000</t>
  </si>
  <si>
    <t>ORD-01001</t>
  </si>
  <si>
    <t>ORD-01002</t>
  </si>
  <si>
    <t>ORD-01003</t>
  </si>
  <si>
    <t>ORD-01004</t>
  </si>
  <si>
    <t>ORD-01005</t>
  </si>
  <si>
    <t>ORD-01006</t>
  </si>
  <si>
    <t>ORD-01007</t>
  </si>
  <si>
    <t>ORD-01008</t>
  </si>
  <si>
    <t>ORD-01009</t>
  </si>
  <si>
    <t>ORD-01010</t>
  </si>
  <si>
    <t>ORD-01011</t>
  </si>
  <si>
    <t>ORD-01012</t>
  </si>
  <si>
    <t>ORD-01013</t>
  </si>
  <si>
    <t>ORD-01014</t>
  </si>
  <si>
    <t>ORD-01015</t>
  </si>
  <si>
    <t>ORD-01016</t>
  </si>
  <si>
    <t>CUST-0276</t>
  </si>
  <si>
    <t>ORD-01017</t>
  </si>
  <si>
    <t>ORD-01018</t>
  </si>
  <si>
    <t>ORD-01019</t>
  </si>
  <si>
    <t>ORD-01020</t>
  </si>
  <si>
    <t>ORD-01021</t>
  </si>
  <si>
    <t>ORD-01022</t>
  </si>
  <si>
    <t>ORD-01023</t>
  </si>
  <si>
    <t>ORD-01024</t>
  </si>
  <si>
    <t>ORD-01025</t>
  </si>
  <si>
    <t>ORD-01026</t>
  </si>
  <si>
    <t>ORD-01027</t>
  </si>
  <si>
    <t>ORD-01028</t>
  </si>
  <si>
    <t>ORD-01029</t>
  </si>
  <si>
    <t>ORD-01030</t>
  </si>
  <si>
    <t>ORD-01031</t>
  </si>
  <si>
    <t>ORD-01032</t>
  </si>
  <si>
    <t>ORD-01033</t>
  </si>
  <si>
    <t>ORD-01034</t>
  </si>
  <si>
    <t>ORD-01035</t>
  </si>
  <si>
    <t>ORD-01036</t>
  </si>
  <si>
    <t>ORD-01037</t>
  </si>
  <si>
    <t>ORD-01038</t>
  </si>
  <si>
    <t>ORD-01039</t>
  </si>
  <si>
    <t>ORD-01040</t>
  </si>
  <si>
    <t>ORD-01041</t>
  </si>
  <si>
    <t>ORD-01042</t>
  </si>
  <si>
    <t>ORD-01043</t>
  </si>
  <si>
    <t>ORD-01044</t>
  </si>
  <si>
    <t>ORD-01045</t>
  </si>
  <si>
    <t>CUST-0015</t>
  </si>
  <si>
    <t>ORD-01046</t>
  </si>
  <si>
    <t>ORD-01047</t>
  </si>
  <si>
    <t>ORD-01048</t>
  </si>
  <si>
    <t>ORD-01049</t>
  </si>
  <si>
    <t>CUST-0288</t>
  </si>
  <si>
    <t>ORD-01050</t>
  </si>
  <si>
    <t>ORD-01051</t>
  </si>
  <si>
    <t>ORD-01053</t>
  </si>
  <si>
    <t>ORD-01054</t>
  </si>
  <si>
    <t>ORD-01055</t>
  </si>
  <si>
    <t>ORD-01056</t>
  </si>
  <si>
    <t>ORD-01057</t>
  </si>
  <si>
    <t>ORD-01058</t>
  </si>
  <si>
    <t>ORD-01059</t>
  </si>
  <si>
    <t>ORD-01060</t>
  </si>
  <si>
    <t>ORD-01061</t>
  </si>
  <si>
    <t>ORD-01062</t>
  </si>
  <si>
    <t>ORD-01063</t>
  </si>
  <si>
    <t>ORD-01064</t>
  </si>
  <si>
    <t>ORD-01065</t>
  </si>
  <si>
    <t>ORD-01066</t>
  </si>
  <si>
    <t>ORD-01067</t>
  </si>
  <si>
    <t>ORD-01068</t>
  </si>
  <si>
    <t>ORD-01069</t>
  </si>
  <si>
    <t>ORD-01070</t>
  </si>
  <si>
    <t>ORD-01071</t>
  </si>
  <si>
    <t>ORD-01072</t>
  </si>
  <si>
    <t>ORD-01073</t>
  </si>
  <si>
    <t>ORD-01074</t>
  </si>
  <si>
    <t>ORD-01075</t>
  </si>
  <si>
    <t>CUST-9754</t>
  </si>
  <si>
    <t>ORD-01076</t>
  </si>
  <si>
    <t>ORD-01077</t>
  </si>
  <si>
    <t>ORD-01078</t>
  </si>
  <si>
    <t>ORD-01079</t>
  </si>
  <si>
    <t>ORD-01080</t>
  </si>
  <si>
    <t>ORD-01081</t>
  </si>
  <si>
    <t>ORD-01082</t>
  </si>
  <si>
    <t>ORD-01083</t>
  </si>
  <si>
    <t>ORD-01084</t>
  </si>
  <si>
    <t>ORD-01085</t>
  </si>
  <si>
    <t>ORD-01086</t>
  </si>
  <si>
    <t>ORD-01087</t>
  </si>
  <si>
    <t>ORD-01088</t>
  </si>
  <si>
    <t>ORD-01089</t>
  </si>
  <si>
    <t>CUST-0100</t>
  </si>
  <si>
    <t>ORD-01090</t>
  </si>
  <si>
    <t>ORD-01091</t>
  </si>
  <si>
    <t>ORD-01092</t>
  </si>
  <si>
    <t>ORD-01093</t>
  </si>
  <si>
    <t>ORD-01094</t>
  </si>
  <si>
    <t>ORD-01095</t>
  </si>
  <si>
    <t>ORD-01096</t>
  </si>
  <si>
    <t>ORD-01097</t>
  </si>
  <si>
    <t>ORD-01098</t>
  </si>
  <si>
    <t>ORD-01099</t>
  </si>
  <si>
    <t>ORD-01100</t>
  </si>
  <si>
    <t>ORD-01101</t>
  </si>
  <si>
    <t>ORD-01102</t>
  </si>
  <si>
    <t>ORD-01103</t>
  </si>
  <si>
    <t>ORD-01104</t>
  </si>
  <si>
    <t>ORD-01105</t>
  </si>
  <si>
    <t>ORD-01106</t>
  </si>
  <si>
    <t>ORD-01107</t>
  </si>
  <si>
    <t>ORD-01108</t>
  </si>
  <si>
    <t>ORD-01109</t>
  </si>
  <si>
    <t>ORD-01110</t>
  </si>
  <si>
    <t>ORD-01111</t>
  </si>
  <si>
    <t>ORD-01112</t>
  </si>
  <si>
    <t>ORD-01113</t>
  </si>
  <si>
    <t>ORD-01114</t>
  </si>
  <si>
    <t>ORD-01115</t>
  </si>
  <si>
    <t>ORD-01116</t>
  </si>
  <si>
    <t>ORD-01117</t>
  </si>
  <si>
    <t>ORD-01118</t>
  </si>
  <si>
    <t>ORD-01119</t>
  </si>
  <si>
    <t>ORD-01120</t>
  </si>
  <si>
    <t>ORD-01121</t>
  </si>
  <si>
    <t>ORD-01122</t>
  </si>
  <si>
    <t>ORD-01123</t>
  </si>
  <si>
    <t>ORD-01124</t>
  </si>
  <si>
    <t>ORD-01125</t>
  </si>
  <si>
    <t>ORD-01126</t>
  </si>
  <si>
    <t>ORD-01127</t>
  </si>
  <si>
    <t>ORD-01128</t>
  </si>
  <si>
    <t>ORD-01129</t>
  </si>
  <si>
    <t>ORD-01130</t>
  </si>
  <si>
    <t>ORD-01131</t>
  </si>
  <si>
    <t>ORD-01132</t>
  </si>
  <si>
    <t>ORD-01133</t>
  </si>
  <si>
    <t>ORD-01134</t>
  </si>
  <si>
    <t>ORD-01135</t>
  </si>
  <si>
    <t>ORD-01137</t>
  </si>
  <si>
    <t>CUST-0116</t>
  </si>
  <si>
    <t>ORD-01138</t>
  </si>
  <si>
    <t>ORD-01139</t>
  </si>
  <si>
    <t>ORD-01140</t>
  </si>
  <si>
    <t>ORD-01141</t>
  </si>
  <si>
    <t>CUST-0268</t>
  </si>
  <si>
    <t>ORD-01142</t>
  </si>
  <si>
    <t>ORD-01143</t>
  </si>
  <si>
    <t>ORD-01144</t>
  </si>
  <si>
    <t>ORD-01145</t>
  </si>
  <si>
    <t>ORD-01146</t>
  </si>
  <si>
    <t>ORD-01147</t>
  </si>
  <si>
    <t>ORD-01148</t>
  </si>
  <si>
    <t>ORD-01149</t>
  </si>
  <si>
    <t>ORD-01150</t>
  </si>
  <si>
    <t>ORD-01151</t>
  </si>
  <si>
    <t>ORD-01152</t>
  </si>
  <si>
    <t>ORD-01153</t>
  </si>
  <si>
    <t>ORD-01154</t>
  </si>
  <si>
    <t>ORD-01155</t>
  </si>
  <si>
    <t>ORD-01156</t>
  </si>
  <si>
    <t>ORD-01157</t>
  </si>
  <si>
    <t>ORD-01158</t>
  </si>
  <si>
    <t>ORD-01159</t>
  </si>
  <si>
    <t>ORD-01160</t>
  </si>
  <si>
    <t>ORD-01161</t>
  </si>
  <si>
    <t>ORD-01162</t>
  </si>
  <si>
    <t>ORD-01163</t>
  </si>
  <si>
    <t>ORD-01164</t>
  </si>
  <si>
    <t>ORD-01165</t>
  </si>
  <si>
    <t>ORD-01166</t>
  </si>
  <si>
    <t>ORD-01167</t>
  </si>
  <si>
    <t>ORD-01168</t>
  </si>
  <si>
    <t>ORD-01169</t>
  </si>
  <si>
    <t>ORD-01170</t>
  </si>
  <si>
    <t>ORD-01171</t>
  </si>
  <si>
    <t>ORD-01172</t>
  </si>
  <si>
    <t>ORD-01173</t>
  </si>
  <si>
    <t>ORD-01174</t>
  </si>
  <si>
    <t>ORD-01175</t>
  </si>
  <si>
    <t>ORD-01176</t>
  </si>
  <si>
    <t>CUST-0014</t>
  </si>
  <si>
    <t>ORD-01177</t>
  </si>
  <si>
    <t>ORD-01178</t>
  </si>
  <si>
    <t>ORD-01179</t>
  </si>
  <si>
    <t>ORD-01180</t>
  </si>
  <si>
    <t>ORD-01181</t>
  </si>
  <si>
    <t>ORD-01182</t>
  </si>
  <si>
    <t>ORD-01183</t>
  </si>
  <si>
    <t>ORD-01184</t>
  </si>
  <si>
    <t>ORD-01186</t>
  </si>
  <si>
    <t>ORD-01187</t>
  </si>
  <si>
    <t>ORD-01188</t>
  </si>
  <si>
    <t>ORD-01189</t>
  </si>
  <si>
    <t>ORD-01190</t>
  </si>
  <si>
    <t>ORD-01191</t>
  </si>
  <si>
    <t>ORD-01192</t>
  </si>
  <si>
    <t>ORD-01193</t>
  </si>
  <si>
    <t>ORD-01194</t>
  </si>
  <si>
    <t>ORD-01196</t>
  </si>
  <si>
    <t>ORD-01197</t>
  </si>
  <si>
    <t>ORD-01198</t>
  </si>
  <si>
    <t>ORD-01199</t>
  </si>
  <si>
    <t>ORD-01200</t>
  </si>
  <si>
    <t>ORD-01201</t>
  </si>
  <si>
    <t>ORD-01202</t>
  </si>
  <si>
    <t>ORD-01203</t>
  </si>
  <si>
    <t>ORD-01204</t>
  </si>
  <si>
    <t>ORD-01205</t>
  </si>
  <si>
    <t>ORD-01206</t>
  </si>
  <si>
    <t>ORD-01207</t>
  </si>
  <si>
    <t>ORD-01208</t>
  </si>
  <si>
    <t>ORD-01209</t>
  </si>
  <si>
    <t>ORD-01210</t>
  </si>
  <si>
    <t>ORD-01211</t>
  </si>
  <si>
    <t>ORD-01212</t>
  </si>
  <si>
    <t>ORD-01213</t>
  </si>
  <si>
    <t>ORD-01214</t>
  </si>
  <si>
    <t>ORD-01215</t>
  </si>
  <si>
    <t>ORD-01216</t>
  </si>
  <si>
    <t>ORD-01217</t>
  </si>
  <si>
    <t>ORD-01218</t>
  </si>
  <si>
    <t>ORD-01219</t>
  </si>
  <si>
    <t>ORD-01220</t>
  </si>
  <si>
    <t>ORD-01221</t>
  </si>
  <si>
    <t>ORD-01222</t>
  </si>
  <si>
    <t>ORD-01223</t>
  </si>
  <si>
    <t>ORD-01224</t>
  </si>
  <si>
    <t>ORD-01225</t>
  </si>
  <si>
    <t>ORD-01226</t>
  </si>
  <si>
    <t>ORD-01227</t>
  </si>
  <si>
    <t>ORD-01228</t>
  </si>
  <si>
    <t>ORD-01229</t>
  </si>
  <si>
    <t>ORD-01230</t>
  </si>
  <si>
    <t>ORD-01231</t>
  </si>
  <si>
    <t>ORD-01232</t>
  </si>
  <si>
    <t>ORD-01233</t>
  </si>
  <si>
    <t>ORD-01234</t>
  </si>
  <si>
    <t>ORD-01235</t>
  </si>
  <si>
    <t>ORD-01236</t>
  </si>
  <si>
    <t>ORD-01237</t>
  </si>
  <si>
    <t>CUST-0099</t>
  </si>
  <si>
    <t>ORD-01239</t>
  </si>
  <si>
    <t>ORD-01240</t>
  </si>
  <si>
    <t>ORD-01241</t>
  </si>
  <si>
    <t>ORD-01365</t>
  </si>
  <si>
    <t>ORD-01243</t>
  </si>
  <si>
    <t>ORD-01244</t>
  </si>
  <si>
    <t>ORD-01245</t>
  </si>
  <si>
    <t>ORD-01246</t>
  </si>
  <si>
    <t>ORD-01247</t>
  </si>
  <si>
    <t>ORD-01248</t>
  </si>
  <si>
    <t>ORD-01249</t>
  </si>
  <si>
    <t>ORD-01250</t>
  </si>
  <si>
    <t>ORD-01251</t>
  </si>
  <si>
    <t>ORD-01252</t>
  </si>
  <si>
    <t>ORD-01253</t>
  </si>
  <si>
    <t>ORD-01254</t>
  </si>
  <si>
    <t>ORD-01255</t>
  </si>
  <si>
    <t>ORD-01256</t>
  </si>
  <si>
    <t>ORD-01257</t>
  </si>
  <si>
    <t>ORD-01258</t>
  </si>
  <si>
    <t>ORD-01259</t>
  </si>
  <si>
    <t>ORD-01260</t>
  </si>
  <si>
    <t>ORD-01261</t>
  </si>
  <si>
    <t>ORD-01262</t>
  </si>
  <si>
    <t>ORD-01263</t>
  </si>
  <si>
    <t>ORD-01264</t>
  </si>
  <si>
    <t>ORD-01265</t>
  </si>
  <si>
    <t>ORD-01266</t>
  </si>
  <si>
    <t>ORD-01267</t>
  </si>
  <si>
    <t>CUST-9684</t>
  </si>
  <si>
    <t>ORD-01268</t>
  </si>
  <si>
    <t>ORD-01269</t>
  </si>
  <si>
    <t>ORD-01270</t>
  </si>
  <si>
    <t>ORD-01271</t>
  </si>
  <si>
    <t>ORD-01272</t>
  </si>
  <si>
    <t>ORD-01273</t>
  </si>
  <si>
    <t>ORD-01274</t>
  </si>
  <si>
    <t>ORD-01275</t>
  </si>
  <si>
    <t>ORD-01276</t>
  </si>
  <si>
    <t>ORD-01277</t>
  </si>
  <si>
    <t>ORD-01278</t>
  </si>
  <si>
    <t>ORD-01279</t>
  </si>
  <si>
    <t>ORD-01280</t>
  </si>
  <si>
    <t>ORD-01281</t>
  </si>
  <si>
    <t>ORD-01282</t>
  </si>
  <si>
    <t>ORD-01283</t>
  </si>
  <si>
    <t>ORD-01284</t>
  </si>
  <si>
    <t>ORD-01285</t>
  </si>
  <si>
    <t>ORD-01286</t>
  </si>
  <si>
    <t>ORD-01287</t>
  </si>
  <si>
    <t>ORD-01288</t>
  </si>
  <si>
    <t>ORD-01289</t>
  </si>
  <si>
    <t>ORD-01290</t>
  </si>
  <si>
    <t>ORD-01291</t>
  </si>
  <si>
    <t>ORD-01292</t>
  </si>
  <si>
    <t>ORD-01293</t>
  </si>
  <si>
    <t>ORD-01294</t>
  </si>
  <si>
    <t>ORD-01295</t>
  </si>
  <si>
    <t>ORD-01296</t>
  </si>
  <si>
    <t>ORD-01297</t>
  </si>
  <si>
    <t>ORD-01298</t>
  </si>
  <si>
    <t>ORD-01299</t>
  </si>
  <si>
    <t>ORD-01300</t>
  </si>
  <si>
    <t>ORD-01301</t>
  </si>
  <si>
    <t>ORD-01302</t>
  </si>
  <si>
    <t>ORD-01303</t>
  </si>
  <si>
    <t>ORD-01304</t>
  </si>
  <si>
    <t>ORD-01305</t>
  </si>
  <si>
    <t>ORD-01306</t>
  </si>
  <si>
    <t>ORD-01307</t>
  </si>
  <si>
    <t>ORD-01308</t>
  </si>
  <si>
    <t>ORD-01309</t>
  </si>
  <si>
    <t>ORD-01310</t>
  </si>
  <si>
    <t>ORD-01311</t>
  </si>
  <si>
    <t>ORD-01312</t>
  </si>
  <si>
    <t>ORD-01313</t>
  </si>
  <si>
    <t>ORD-01314</t>
  </si>
  <si>
    <t>ORD-01315</t>
  </si>
  <si>
    <t>ORD-01316</t>
  </si>
  <si>
    <t>ORD-01317</t>
  </si>
  <si>
    <t>ORD-01318</t>
  </si>
  <si>
    <t>ORD-01319</t>
  </si>
  <si>
    <t>ORD-01320</t>
  </si>
  <si>
    <t>ORD-01321</t>
  </si>
  <si>
    <t>ORD-01322</t>
  </si>
  <si>
    <t>ORD-01323</t>
  </si>
  <si>
    <t>ORD-01324</t>
  </si>
  <si>
    <t>ORD-01325</t>
  </si>
  <si>
    <t>ORD-01326</t>
  </si>
  <si>
    <t>ORD-01327</t>
  </si>
  <si>
    <t>ORD-01328</t>
  </si>
  <si>
    <t>CUST-0286</t>
  </si>
  <si>
    <t>ORD-01329</t>
  </si>
  <si>
    <t>ORD-01330</t>
  </si>
  <si>
    <t>ORD-01331</t>
  </si>
  <si>
    <t>ORD-01332</t>
  </si>
  <si>
    <t>HYDERABAD</t>
  </si>
  <si>
    <t>ORD-01333</t>
  </si>
  <si>
    <t>ORD-01334</t>
  </si>
  <si>
    <t>ORD-01335</t>
  </si>
  <si>
    <t>ORD-01336</t>
  </si>
  <si>
    <t>ORD-01337</t>
  </si>
  <si>
    <t>ORD-01338</t>
  </si>
  <si>
    <t>CUST-9595</t>
  </si>
  <si>
    <t>ORD-01339</t>
  </si>
  <si>
    <t>ORD-01340</t>
  </si>
  <si>
    <t>ORD-01341</t>
  </si>
  <si>
    <t>ORD-01342</t>
  </si>
  <si>
    <t>ORD-01343</t>
  </si>
  <si>
    <t>ORD-01344</t>
  </si>
  <si>
    <t>ORD-01345</t>
  </si>
  <si>
    <t>ORD-01346</t>
  </si>
  <si>
    <t>ORD-01347</t>
  </si>
  <si>
    <t>ORD-01348</t>
  </si>
  <si>
    <t>ORD-01349</t>
  </si>
  <si>
    <t>ORD-01350</t>
  </si>
  <si>
    <t>ORD-01351</t>
  </si>
  <si>
    <t>ORD-01352</t>
  </si>
  <si>
    <t>ORD-01353</t>
  </si>
  <si>
    <t>ORD-01354</t>
  </si>
  <si>
    <t>ORD-01355</t>
  </si>
  <si>
    <t>ORD-01356</t>
  </si>
  <si>
    <t>ORD-01357</t>
  </si>
  <si>
    <t>ORD-01358</t>
  </si>
  <si>
    <t>ORD-01359</t>
  </si>
  <si>
    <t>ORD-01360</t>
  </si>
  <si>
    <t>ORD-01361</t>
  </si>
  <si>
    <t>ORD-01362</t>
  </si>
  <si>
    <t>ORD-01363</t>
  </si>
  <si>
    <t>ORD-01364</t>
  </si>
  <si>
    <t>ORD-01366</t>
  </si>
  <si>
    <t>ORD-01367</t>
  </si>
  <si>
    <t>ORD-01368</t>
  </si>
  <si>
    <t>ORD-01369</t>
  </si>
  <si>
    <t>ORD-01370</t>
  </si>
  <si>
    <t>ORD-01371</t>
  </si>
  <si>
    <t>ORD-01372</t>
  </si>
  <si>
    <t>ORD-01373</t>
  </si>
  <si>
    <t>ORD-01374</t>
  </si>
  <si>
    <t>ORD-01375</t>
  </si>
  <si>
    <t>ORD-01376</t>
  </si>
  <si>
    <t>ORD-01377</t>
  </si>
  <si>
    <t>ORD-01378</t>
  </si>
  <si>
    <t>ORD-01379</t>
  </si>
  <si>
    <t>ORD-01380</t>
  </si>
  <si>
    <t>ORD-01381</t>
  </si>
  <si>
    <t>ORD-01382</t>
  </si>
  <si>
    <t>ORD-01383</t>
  </si>
  <si>
    <t>ORD-01384</t>
  </si>
  <si>
    <t>ORD-01385</t>
  </si>
  <si>
    <t>CUST-0029</t>
  </si>
  <si>
    <t>ORD-01386</t>
  </si>
  <si>
    <t>ORD-01388</t>
  </si>
  <si>
    <t>ORD-01389</t>
  </si>
  <si>
    <t>ORD-01390</t>
  </si>
  <si>
    <t>ORD-01391</t>
  </si>
  <si>
    <t>ORD-01392</t>
  </si>
  <si>
    <t>ORD-01393</t>
  </si>
  <si>
    <t>ORD-01394</t>
  </si>
  <si>
    <t>ORD-01395</t>
  </si>
  <si>
    <t>ORD-01396</t>
  </si>
  <si>
    <t>ORD-01397</t>
  </si>
  <si>
    <t>ORD-01398</t>
  </si>
  <si>
    <t>ORD-01399</t>
  </si>
  <si>
    <t>ORD-01400</t>
  </si>
  <si>
    <t>CUST-0207</t>
  </si>
  <si>
    <t>ORD-01401</t>
  </si>
  <si>
    <t>ORD-01402</t>
  </si>
  <si>
    <t>ORD-01403</t>
  </si>
  <si>
    <t>ORD-01404</t>
  </si>
  <si>
    <t>ORD-01405</t>
  </si>
  <si>
    <t>ORD-01406</t>
  </si>
  <si>
    <t>ORD-01407</t>
  </si>
  <si>
    <t>ORD-01408</t>
  </si>
  <si>
    <t>ORD-01409</t>
  </si>
  <si>
    <t>ORD-01410</t>
  </si>
  <si>
    <t>ORD-01411</t>
  </si>
  <si>
    <t>ORD-01412</t>
  </si>
  <si>
    <t>ORD-01413</t>
  </si>
  <si>
    <t>ORD-01414</t>
  </si>
  <si>
    <t>ORD-01415</t>
  </si>
  <si>
    <t>ORD-01416</t>
  </si>
  <si>
    <t>ORD-01417</t>
  </si>
  <si>
    <t>ORD-01418</t>
  </si>
  <si>
    <t>ORD-01419</t>
  </si>
  <si>
    <t>ORD-01420</t>
  </si>
  <si>
    <t>ORD-01421</t>
  </si>
  <si>
    <t>ORD-01422</t>
  </si>
  <si>
    <t>ORD-01423</t>
  </si>
  <si>
    <t>ORD-01424</t>
  </si>
  <si>
    <t>ORD-01425</t>
  </si>
  <si>
    <t>ORD-01426</t>
  </si>
  <si>
    <t>ORD-01427</t>
  </si>
  <si>
    <t>ORD-01428</t>
  </si>
  <si>
    <t>ORD-01429</t>
  </si>
  <si>
    <t>ORD-01430</t>
  </si>
  <si>
    <t>ORD-01431</t>
  </si>
  <si>
    <t>ORD-01432</t>
  </si>
  <si>
    <t>ORD-01433</t>
  </si>
  <si>
    <t>ORD-01434</t>
  </si>
  <si>
    <t>CUST-9889</t>
  </si>
  <si>
    <t>ORD-01435</t>
  </si>
  <si>
    <t>ORD-01436</t>
  </si>
  <si>
    <t>ORD-01437</t>
  </si>
  <si>
    <t>ORD-01438</t>
  </si>
  <si>
    <t>ORD-01439</t>
  </si>
  <si>
    <t>ORD-01440</t>
  </si>
  <si>
    <t>ORD-01441</t>
  </si>
  <si>
    <t>ORD-01442</t>
  </si>
  <si>
    <t>ORD-01443</t>
  </si>
  <si>
    <t>ORD-01444</t>
  </si>
  <si>
    <t>ORD-01446</t>
  </si>
  <si>
    <t>ORD-01447</t>
  </si>
  <si>
    <t>ORD-01448</t>
  </si>
  <si>
    <t>ORD-01449</t>
  </si>
  <si>
    <t>ORD-01450</t>
  </si>
  <si>
    <t>ORD-01451</t>
  </si>
  <si>
    <t>ORD-01452</t>
  </si>
  <si>
    <t>ORD-01453</t>
  </si>
  <si>
    <t>ORD-01454</t>
  </si>
  <si>
    <t>ORD-01455</t>
  </si>
  <si>
    <t>ORD-01456</t>
  </si>
  <si>
    <t>ORD-01457</t>
  </si>
  <si>
    <t>ORD-01458</t>
  </si>
  <si>
    <t>ORD-01459</t>
  </si>
  <si>
    <t>ORD-01460</t>
  </si>
  <si>
    <t>ORD-01461</t>
  </si>
  <si>
    <t>ORD-01462</t>
  </si>
  <si>
    <t>ORD-01463</t>
  </si>
  <si>
    <t>ORD-01464</t>
  </si>
  <si>
    <t>ORD-01465</t>
  </si>
  <si>
    <t>CUST-9851</t>
  </si>
  <si>
    <t>ORD-01466</t>
  </si>
  <si>
    <t>ORD-01467</t>
  </si>
  <si>
    <t>ORD-01468</t>
  </si>
  <si>
    <t>ORD-01469</t>
  </si>
  <si>
    <t>ORD-01470</t>
  </si>
  <si>
    <t>ORD-01471</t>
  </si>
  <si>
    <t>ORD-01472</t>
  </si>
  <si>
    <t>ORD-01473</t>
  </si>
  <si>
    <t>ORD-01474</t>
  </si>
  <si>
    <t>ORD-01475</t>
  </si>
  <si>
    <t>ORD-01476</t>
  </si>
  <si>
    <t>ORD-01477</t>
  </si>
  <si>
    <t>ORD-01478</t>
  </si>
  <si>
    <t>ORD-01479</t>
  </si>
  <si>
    <t>ORD-01480</t>
  </si>
  <si>
    <t>ORD-01481</t>
  </si>
  <si>
    <t>ORD-01482</t>
  </si>
  <si>
    <t>ORD-01483</t>
  </si>
  <si>
    <t>ORD-01484</t>
  </si>
  <si>
    <t>CUST-9844</t>
  </si>
  <si>
    <t>ORD-01485</t>
  </si>
  <si>
    <t>ORD-01486</t>
  </si>
  <si>
    <t>ORD-01487</t>
  </si>
  <si>
    <t>ORD-01488</t>
  </si>
  <si>
    <t>ORD-01489</t>
  </si>
  <si>
    <t>ORD-01490</t>
  </si>
  <si>
    <t>ORD-01491</t>
  </si>
  <si>
    <t>ORD-01492</t>
  </si>
  <si>
    <t>ORD-01493</t>
  </si>
  <si>
    <t>ORD-01494</t>
  </si>
  <si>
    <t>ORD-01495</t>
  </si>
  <si>
    <t>ORD-01496</t>
  </si>
  <si>
    <t>ORD-01497</t>
  </si>
  <si>
    <t>ORD-01498</t>
  </si>
  <si>
    <t>ORD-01499</t>
  </si>
  <si>
    <t>ORD-01500</t>
  </si>
  <si>
    <t>ORD-01501</t>
  </si>
  <si>
    <t>ORD-01502</t>
  </si>
  <si>
    <t>ORD-01503</t>
  </si>
  <si>
    <t>ORD-01504</t>
  </si>
  <si>
    <t>ORD-01505</t>
  </si>
  <si>
    <t>ORD-01506</t>
  </si>
  <si>
    <t>ORD-01507</t>
  </si>
  <si>
    <t>ORD-01508</t>
  </si>
  <si>
    <t>ORD-01509</t>
  </si>
  <si>
    <t>ORD-01510</t>
  </si>
  <si>
    <t>ORD-01511</t>
  </si>
  <si>
    <t>CUST-9582</t>
  </si>
  <si>
    <t>ORD-01512</t>
  </si>
  <si>
    <t>ORD-01513</t>
  </si>
  <si>
    <t>CUST-9565</t>
  </si>
  <si>
    <t>ORD-01514</t>
  </si>
  <si>
    <t>ORD-01515</t>
  </si>
  <si>
    <t>ORD-01516</t>
  </si>
  <si>
    <t>ORD-01517</t>
  </si>
  <si>
    <t>ORD-01518</t>
  </si>
  <si>
    <t>ORD-01519</t>
  </si>
  <si>
    <t>ORD-01520</t>
  </si>
  <si>
    <t>ORD-01521</t>
  </si>
  <si>
    <t>ORD-01522</t>
  </si>
  <si>
    <t>ORD-01523</t>
  </si>
  <si>
    <t>ORD-01524</t>
  </si>
  <si>
    <t>ORD-01525</t>
  </si>
  <si>
    <t>ORD-01526</t>
  </si>
  <si>
    <t>ORD-01527</t>
  </si>
  <si>
    <t>ORD-01528</t>
  </si>
  <si>
    <t>ORD-01529</t>
  </si>
  <si>
    <t>ORD-01530</t>
  </si>
  <si>
    <t>ORD-01821</t>
  </si>
  <si>
    <t>ORD-01532</t>
  </si>
  <si>
    <t>ORD-01533</t>
  </si>
  <si>
    <t>ORD-01534</t>
  </si>
  <si>
    <t>ORD-01535</t>
  </si>
  <si>
    <t>ORD-01536</t>
  </si>
  <si>
    <t>ORD-01537</t>
  </si>
  <si>
    <t>ORD-01538</t>
  </si>
  <si>
    <t>ORD-01539</t>
  </si>
  <si>
    <t>ORD-01540</t>
  </si>
  <si>
    <t>ORD-01541</t>
  </si>
  <si>
    <t>ORD-01542</t>
  </si>
  <si>
    <t>ORD-01543</t>
  </si>
  <si>
    <t>ORD-01544</t>
  </si>
  <si>
    <t>ORD-01545</t>
  </si>
  <si>
    <t>ORD-01546</t>
  </si>
  <si>
    <t>ORD-01547</t>
  </si>
  <si>
    <t>ORD-01548</t>
  </si>
  <si>
    <t>ORD-01549</t>
  </si>
  <si>
    <t>ORD-01550</t>
  </si>
  <si>
    <t>ORD-01551</t>
  </si>
  <si>
    <t>ORD-01552</t>
  </si>
  <si>
    <t>ORD-01553</t>
  </si>
  <si>
    <t>ORD-01554</t>
  </si>
  <si>
    <t>ORD-01555</t>
  </si>
  <si>
    <t>CUST-9841</t>
  </si>
  <si>
    <t>ORD-01556</t>
  </si>
  <si>
    <t>ORD-01557</t>
  </si>
  <si>
    <t>CUST-0140</t>
  </si>
  <si>
    <t>ORD-01558</t>
  </si>
  <si>
    <t>ORD-01559</t>
  </si>
  <si>
    <t>ORD-01560</t>
  </si>
  <si>
    <t>ORD-01561</t>
  </si>
  <si>
    <t>ORD-01562</t>
  </si>
  <si>
    <t>ORD-01563</t>
  </si>
  <si>
    <t>ORD-01564</t>
  </si>
  <si>
    <t>ORD-01565</t>
  </si>
  <si>
    <t>ORD-01566</t>
  </si>
  <si>
    <t>ORD-01567</t>
  </si>
  <si>
    <t>ORD-01568</t>
  </si>
  <si>
    <t>ORD-01569</t>
  </si>
  <si>
    <t>ORD-01570</t>
  </si>
  <si>
    <t>ORD-01571</t>
  </si>
  <si>
    <t>ORD-01572</t>
  </si>
  <si>
    <t>ORD-01573</t>
  </si>
  <si>
    <t>ORD-01574</t>
  </si>
  <si>
    <t>ORD-01575</t>
  </si>
  <si>
    <t>ORD-01576</t>
  </si>
  <si>
    <t>ORD-01577</t>
  </si>
  <si>
    <t>ORD-01578</t>
  </si>
  <si>
    <t>ORD-01579</t>
  </si>
  <si>
    <t>ORD-01580</t>
  </si>
  <si>
    <t>ORD-01581</t>
  </si>
  <si>
    <t>ORD-01582</t>
  </si>
  <si>
    <t>ORD-01583</t>
  </si>
  <si>
    <t>ORD-01584</t>
  </si>
  <si>
    <t>ORD-01585</t>
  </si>
  <si>
    <t>ORD-01586</t>
  </si>
  <si>
    <t>ORD-01587</t>
  </si>
  <si>
    <t>ORD-01588</t>
  </si>
  <si>
    <t>ORD-01589</t>
  </si>
  <si>
    <t>ORD-01590</t>
  </si>
  <si>
    <t>ORD-01591</t>
  </si>
  <si>
    <t>ORD-01592</t>
  </si>
  <si>
    <t>ORD-01593</t>
  </si>
  <si>
    <t>ORD-01594</t>
  </si>
  <si>
    <t>ORD-01595</t>
  </si>
  <si>
    <t>CHENNAI</t>
  </si>
  <si>
    <t>ORD-01596</t>
  </si>
  <si>
    <t>ORD-01597</t>
  </si>
  <si>
    <t>ORD-01598</t>
  </si>
  <si>
    <t>ORD-01599</t>
  </si>
  <si>
    <t>ORD-01600</t>
  </si>
  <si>
    <t>ORD-01601</t>
  </si>
  <si>
    <t>ORD-01602</t>
  </si>
  <si>
    <t>ORD-01603</t>
  </si>
  <si>
    <t>ORD-01604</t>
  </si>
  <si>
    <t>ORD-01605</t>
  </si>
  <si>
    <t>ORD-01606</t>
  </si>
  <si>
    <t>ORD-01607</t>
  </si>
  <si>
    <t>ORD-01608</t>
  </si>
  <si>
    <t>ORD-01609</t>
  </si>
  <si>
    <t>ORD-01610</t>
  </si>
  <si>
    <t>ORD-01611</t>
  </si>
  <si>
    <t>ORD-01612</t>
  </si>
  <si>
    <t>ORD-01613</t>
  </si>
  <si>
    <t>ORD-01614</t>
  </si>
  <si>
    <t>ORD-01615</t>
  </si>
  <si>
    <t>ORD-01616</t>
  </si>
  <si>
    <t>ORD-01617</t>
  </si>
  <si>
    <t>ORD-01618</t>
  </si>
  <si>
    <t>ORD-01619</t>
  </si>
  <si>
    <t>ORD-01620</t>
  </si>
  <si>
    <t>ORD-01621</t>
  </si>
  <si>
    <t>ORD-01622</t>
  </si>
  <si>
    <t>ORD-01624</t>
  </si>
  <si>
    <t>ORD-01625</t>
  </si>
  <si>
    <t>ORD-01626</t>
  </si>
  <si>
    <t>ORD-01627</t>
  </si>
  <si>
    <t>ORD-01628</t>
  </si>
  <si>
    <t>ORD-01629</t>
  </si>
  <si>
    <t>ORD-01630</t>
  </si>
  <si>
    <t>ORD-01631</t>
  </si>
  <si>
    <t>ORD-01632</t>
  </si>
  <si>
    <t>ORD-01633</t>
  </si>
  <si>
    <t>ORD-01634</t>
  </si>
  <si>
    <t>ORD-01635</t>
  </si>
  <si>
    <t>ORD-01636</t>
  </si>
  <si>
    <t>ORD-01637</t>
  </si>
  <si>
    <t>ORD-01638</t>
  </si>
  <si>
    <t>ORD-01639</t>
  </si>
  <si>
    <t>ORD-01640</t>
  </si>
  <si>
    <t>ORD-01641</t>
  </si>
  <si>
    <t>ORD-01642</t>
  </si>
  <si>
    <t>ORD-01643</t>
  </si>
  <si>
    <t>ORD-01644</t>
  </si>
  <si>
    <t>ORD-01645</t>
  </si>
  <si>
    <t>ORD-01646</t>
  </si>
  <si>
    <t>ORD-01647</t>
  </si>
  <si>
    <t>ORD-01648</t>
  </si>
  <si>
    <t>ORD-01649</t>
  </si>
  <si>
    <t>ORD-01650</t>
  </si>
  <si>
    <t>ORD-01651</t>
  </si>
  <si>
    <t>ORD-01652</t>
  </si>
  <si>
    <t>ORD-01653</t>
  </si>
  <si>
    <t>ORD-01654</t>
  </si>
  <si>
    <t>CUST-9719</t>
  </si>
  <si>
    <t>ORD-01655</t>
  </si>
  <si>
    <t>ORD-01656</t>
  </si>
  <si>
    <t>ORD-01657</t>
  </si>
  <si>
    <t>ORD-01658</t>
  </si>
  <si>
    <t>ORD-01659</t>
  </si>
  <si>
    <t>ORD-01660</t>
  </si>
  <si>
    <t>ORD-01661</t>
  </si>
  <si>
    <t>ORD-01663</t>
  </si>
  <si>
    <t>ORD-01664</t>
  </si>
  <si>
    <t>ORD-01665</t>
  </si>
  <si>
    <t>ORD-01666</t>
  </si>
  <si>
    <t>ORD-01667</t>
  </si>
  <si>
    <t>ORD-01668</t>
  </si>
  <si>
    <t>ORD-01669</t>
  </si>
  <si>
    <t>CUST-9765</t>
  </si>
  <si>
    <t>ORD-01670</t>
  </si>
  <si>
    <t>ORD-01671</t>
  </si>
  <si>
    <t>ORD-01672</t>
  </si>
  <si>
    <t>CUST-9552</t>
  </si>
  <si>
    <t>ORD-01673</t>
  </si>
  <si>
    <t>ORD-01674</t>
  </si>
  <si>
    <t>ORD-01675</t>
  </si>
  <si>
    <t>ORD-01676</t>
  </si>
  <si>
    <t>ORD-01677</t>
  </si>
  <si>
    <t>ORD-01678</t>
  </si>
  <si>
    <t>ORD-01679</t>
  </si>
  <si>
    <t>ORD-01680</t>
  </si>
  <si>
    <t>ORD-01681</t>
  </si>
  <si>
    <t>ORD-01682</t>
  </si>
  <si>
    <t>ORD-01683</t>
  </si>
  <si>
    <t>ORD-01684</t>
  </si>
  <si>
    <t>ORD-01685</t>
  </si>
  <si>
    <t>CUST-9740</t>
  </si>
  <si>
    <t>ORD-01686</t>
  </si>
  <si>
    <t>ORD-01687</t>
  </si>
  <si>
    <t>ORD-01688</t>
  </si>
  <si>
    <t>ORD-01689</t>
  </si>
  <si>
    <t>ORD-01690</t>
  </si>
  <si>
    <t>ORD-01691</t>
  </si>
  <si>
    <t>ORD-01692</t>
  </si>
  <si>
    <t>ORD-01693</t>
  </si>
  <si>
    <t>ORD-01694</t>
  </si>
  <si>
    <t>ORD-01695</t>
  </si>
  <si>
    <t>ORD-01696</t>
  </si>
  <si>
    <t>ORD-01697</t>
  </si>
  <si>
    <t>ORD-01698</t>
  </si>
  <si>
    <t>ORD-01699</t>
  </si>
  <si>
    <t>ORD-01700</t>
  </si>
  <si>
    <t>ORD-01701</t>
  </si>
  <si>
    <t>ORD-01702</t>
  </si>
  <si>
    <t>ORD-01703</t>
  </si>
  <si>
    <t>ORD-01704</t>
  </si>
  <si>
    <t>ORD-01705</t>
  </si>
  <si>
    <t>ORD-01706</t>
  </si>
  <si>
    <t>ORD-01707</t>
  </si>
  <si>
    <t>ORD-01708</t>
  </si>
  <si>
    <t>ORD-01709</t>
  </si>
  <si>
    <t>ORD-01710</t>
  </si>
  <si>
    <t>ORD-01711</t>
  </si>
  <si>
    <t>ORD-01712</t>
  </si>
  <si>
    <t>ORD-01713</t>
  </si>
  <si>
    <t>ORD-01714</t>
  </si>
  <si>
    <t>ORD-01715</t>
  </si>
  <si>
    <t>ORD-01716</t>
  </si>
  <si>
    <t>ORD-01717</t>
  </si>
  <si>
    <t>ORD-01718</t>
  </si>
  <si>
    <t>ORD-01719</t>
  </si>
  <si>
    <t>ORD-01720</t>
  </si>
  <si>
    <t>ORD-01721</t>
  </si>
  <si>
    <t>ORD-01722</t>
  </si>
  <si>
    <t>ORD-01723</t>
  </si>
  <si>
    <t>ORD-01724</t>
  </si>
  <si>
    <t>ORD-01725</t>
  </si>
  <si>
    <t>ORD-01726</t>
  </si>
  <si>
    <t>ORD-01727</t>
  </si>
  <si>
    <t>ORD-01728</t>
  </si>
  <si>
    <t>ORD-01729</t>
  </si>
  <si>
    <t>ORD-01730</t>
  </si>
  <si>
    <t>ORD-01731</t>
  </si>
  <si>
    <t>ORD-01732</t>
  </si>
  <si>
    <t>ORD-01733</t>
  </si>
  <si>
    <t>ORD-01734</t>
  </si>
  <si>
    <t>ORD-01735</t>
  </si>
  <si>
    <t>ORD-01736</t>
  </si>
  <si>
    <t>ORD-01737</t>
  </si>
  <si>
    <t>ORD-01738</t>
  </si>
  <si>
    <t>ORD-01739</t>
  </si>
  <si>
    <t>ORD-01740</t>
  </si>
  <si>
    <t>ORD-01741</t>
  </si>
  <si>
    <t>ORD-01742</t>
  </si>
  <si>
    <t>ORD-01743</t>
  </si>
  <si>
    <t>ORD-01744</t>
  </si>
  <si>
    <t>ORD-01745</t>
  </si>
  <si>
    <t>ORD-01746</t>
  </si>
  <si>
    <t>ORD-01747</t>
  </si>
  <si>
    <t>ORD-01748</t>
  </si>
  <si>
    <t>ORD-01749</t>
  </si>
  <si>
    <t>ORD-01750</t>
  </si>
  <si>
    <t>ORD-01751</t>
  </si>
  <si>
    <t>ORD-01752</t>
  </si>
  <si>
    <t>ORD-01753</t>
  </si>
  <si>
    <t>ORD-01754</t>
  </si>
  <si>
    <t>ORD-01755</t>
  </si>
  <si>
    <t>ORD-01756</t>
  </si>
  <si>
    <t>ORD-01757</t>
  </si>
  <si>
    <t>ORD-01758</t>
  </si>
  <si>
    <t>ORD-01759</t>
  </si>
  <si>
    <t>ORD-01760</t>
  </si>
  <si>
    <t>ORD-01761</t>
  </si>
  <si>
    <t>ORD-01762</t>
  </si>
  <si>
    <t>ORD-01763</t>
  </si>
  <si>
    <t>ORD-01764</t>
  </si>
  <si>
    <t>ORD-01765</t>
  </si>
  <si>
    <t>ORD-01766</t>
  </si>
  <si>
    <t>ORD-01767</t>
  </si>
  <si>
    <t>ORD-01768</t>
  </si>
  <si>
    <t>ORD-01769</t>
  </si>
  <si>
    <t>ORD-01771</t>
  </si>
  <si>
    <t>ORD-01772</t>
  </si>
  <si>
    <t>ORD-01773</t>
  </si>
  <si>
    <t>ORD-01774</t>
  </si>
  <si>
    <t>ORD-01775</t>
  </si>
  <si>
    <t>ORD-01776</t>
  </si>
  <si>
    <t>ORD-01777</t>
  </si>
  <si>
    <t>ORD-01778</t>
  </si>
  <si>
    <t>ORD-01779</t>
  </si>
  <si>
    <t>ORD-01780</t>
  </si>
  <si>
    <t>ORD-01781</t>
  </si>
  <si>
    <t>ORD-01782</t>
  </si>
  <si>
    <t>ORD-01783</t>
  </si>
  <si>
    <t>ORD-01784</t>
  </si>
  <si>
    <t>ORD-01785</t>
  </si>
  <si>
    <t>ORD-01786</t>
  </si>
  <si>
    <t>ORD-01787</t>
  </si>
  <si>
    <t>ORD-01788</t>
  </si>
  <si>
    <t>ORD-01789</t>
  </si>
  <si>
    <t>ORD-01790</t>
  </si>
  <si>
    <t>ORD-01792</t>
  </si>
  <si>
    <t>ORD-01793</t>
  </si>
  <si>
    <t>ORD-01794</t>
  </si>
  <si>
    <t>ORD-01795</t>
  </si>
  <si>
    <t>ORD-01796</t>
  </si>
  <si>
    <t>ORD-01797</t>
  </si>
  <si>
    <t>ORD-01798</t>
  </si>
  <si>
    <t>ORD-01799</t>
  </si>
  <si>
    <t>ORD-01800</t>
  </si>
  <si>
    <t>ORD-01801</t>
  </si>
  <si>
    <t>ORD-01802</t>
  </si>
  <si>
    <t>ORD-01803</t>
  </si>
  <si>
    <t>ORD-01804</t>
  </si>
  <si>
    <t>ORD-01805</t>
  </si>
  <si>
    <t>CUST-9725</t>
  </si>
  <si>
    <t>ORD-01806</t>
  </si>
  <si>
    <t>ORD-01807</t>
  </si>
  <si>
    <t>ORD-01808</t>
  </si>
  <si>
    <t>ORD-01809</t>
  </si>
  <si>
    <t>ORD-01810</t>
  </si>
  <si>
    <t>ORD-01811</t>
  </si>
  <si>
    <t>ORD-01812</t>
  </si>
  <si>
    <t>ORD-01813</t>
  </si>
  <si>
    <t>ORD-01814</t>
  </si>
  <si>
    <t>ORD-01815</t>
  </si>
  <si>
    <t>CUST-9630</t>
  </si>
  <si>
    <t>ORD-01816</t>
  </si>
  <si>
    <t>ORD-01817</t>
  </si>
  <si>
    <t>ORD-01818</t>
  </si>
  <si>
    <t>ORD-01819</t>
  </si>
  <si>
    <t>ORD-01820</t>
  </si>
  <si>
    <t>ORD-01822</t>
  </si>
  <si>
    <t>ORD-01823</t>
  </si>
  <si>
    <t>ORD-01824</t>
  </si>
  <si>
    <t>ORD-01825</t>
  </si>
  <si>
    <t>ORD-01826</t>
  </si>
  <si>
    <t>ORD-01827</t>
  </si>
  <si>
    <t>ORD-01828</t>
  </si>
  <si>
    <t>ORD-01829</t>
  </si>
  <si>
    <t>ORD-01830</t>
  </si>
  <si>
    <t>ORD-01831</t>
  </si>
  <si>
    <t>ORD-01832</t>
  </si>
  <si>
    <t>ORD-01833</t>
  </si>
  <si>
    <t>ORD-01834</t>
  </si>
  <si>
    <t>ORD-01835</t>
  </si>
  <si>
    <t>ORD-01836</t>
  </si>
  <si>
    <t>ORD-01837</t>
  </si>
  <si>
    <t>ORD-01838</t>
  </si>
  <si>
    <t>ORD-01839</t>
  </si>
  <si>
    <t>ORD-01840</t>
  </si>
  <si>
    <t>ORD-01841</t>
  </si>
  <si>
    <t>ORD-01842</t>
  </si>
  <si>
    <t>ORD-01843</t>
  </si>
  <si>
    <t>ORD-01844</t>
  </si>
  <si>
    <t>ORD-01845</t>
  </si>
  <si>
    <t>ORD-01846</t>
  </si>
  <si>
    <t>ORD-01847</t>
  </si>
  <si>
    <t>ORD-01848</t>
  </si>
  <si>
    <t>ORD-01849</t>
  </si>
  <si>
    <t>ORD-01850</t>
  </si>
  <si>
    <t>ORD-01851</t>
  </si>
  <si>
    <t>ORD-01852</t>
  </si>
  <si>
    <t>ORD-01853</t>
  </si>
  <si>
    <t>ORD-01854</t>
  </si>
  <si>
    <t>ORD-01855</t>
  </si>
  <si>
    <t>ORD-01856</t>
  </si>
  <si>
    <t>ORD-01857</t>
  </si>
  <si>
    <t>ORD-01858</t>
  </si>
  <si>
    <t>ORD-01859</t>
  </si>
  <si>
    <t>ORD-01860</t>
  </si>
  <si>
    <t>ORD-01861</t>
  </si>
  <si>
    <t>ORD-01862</t>
  </si>
  <si>
    <t>ORD-01863</t>
  </si>
  <si>
    <t>ORD-01864</t>
  </si>
  <si>
    <t>ORD-01865</t>
  </si>
  <si>
    <t>ORD-01866</t>
  </si>
  <si>
    <t>ORD-01867</t>
  </si>
  <si>
    <t>ORD-01868</t>
  </si>
  <si>
    <t>ORD-01869</t>
  </si>
  <si>
    <t>ORD-01870</t>
  </si>
  <si>
    <t>ORD-01871</t>
  </si>
  <si>
    <t>ORD-01872</t>
  </si>
  <si>
    <t>ORD-01874</t>
  </si>
  <si>
    <t>ORD-01875</t>
  </si>
  <si>
    <t>ORD-01876</t>
  </si>
  <si>
    <t>ORD-01877</t>
  </si>
  <si>
    <t>ORD-01878</t>
  </si>
  <si>
    <t>ORD-01879</t>
  </si>
  <si>
    <t>ORD-01880</t>
  </si>
  <si>
    <t>ORD-01881</t>
  </si>
  <si>
    <t>ORD-01882</t>
  </si>
  <si>
    <t>ORD-01883</t>
  </si>
  <si>
    <t>ORD-01884</t>
  </si>
  <si>
    <t>CUST-9967</t>
  </si>
  <si>
    <t>ORD-01885</t>
  </si>
  <si>
    <t>ORD-01886</t>
  </si>
  <si>
    <t>ORD-01887</t>
  </si>
  <si>
    <t>ORD-01888</t>
  </si>
  <si>
    <t>ORD-01889</t>
  </si>
  <si>
    <t>ORD-01890</t>
  </si>
  <si>
    <t>ORD-01891</t>
  </si>
  <si>
    <t>ORD-01892</t>
  </si>
  <si>
    <t>ORD-01893</t>
  </si>
  <si>
    <t>ORD-01894</t>
  </si>
  <si>
    <t>ORD-01895</t>
  </si>
  <si>
    <t>ORD-01896</t>
  </si>
  <si>
    <t>ORD-01897</t>
  </si>
  <si>
    <t>ORD-01898</t>
  </si>
  <si>
    <t>ORD-01899</t>
  </si>
  <si>
    <t>ORD-01900</t>
  </si>
  <si>
    <t>ORD-01901</t>
  </si>
  <si>
    <t>ORD-01902</t>
  </si>
  <si>
    <t>ORD-01903</t>
  </si>
  <si>
    <t>ORD-01904</t>
  </si>
  <si>
    <t>ORD-01905</t>
  </si>
  <si>
    <t>ORD-01906</t>
  </si>
  <si>
    <t>ORD-01907</t>
  </si>
  <si>
    <t>ORD-01908</t>
  </si>
  <si>
    <t>ORD-01909</t>
  </si>
  <si>
    <t>ORD-01910</t>
  </si>
  <si>
    <t>ORD-01911</t>
  </si>
  <si>
    <t>ORD-01912</t>
  </si>
  <si>
    <t>ORD-01913</t>
  </si>
  <si>
    <t>ORD-01914</t>
  </si>
  <si>
    <t>ORD-01915</t>
  </si>
  <si>
    <t>ORD-01916</t>
  </si>
  <si>
    <t>ORD-01917</t>
  </si>
  <si>
    <t>ORD-01918</t>
  </si>
  <si>
    <t>ORD-01919</t>
  </si>
  <si>
    <t xml:space="preserve"> Chennai </t>
  </si>
  <si>
    <t>ORD-01920</t>
  </si>
  <si>
    <t>ORD-01921</t>
  </si>
  <si>
    <t>ORD-01922</t>
  </si>
  <si>
    <t>ORD-01923</t>
  </si>
  <si>
    <t>ORD-01924</t>
  </si>
  <si>
    <t>ORD-01925</t>
  </si>
  <si>
    <t>ORD-01926</t>
  </si>
  <si>
    <t>ORD-01927</t>
  </si>
  <si>
    <t>ORD-01928</t>
  </si>
  <si>
    <t>ORD-01929</t>
  </si>
  <si>
    <t>ORD-01930</t>
  </si>
  <si>
    <t>CUST-9905</t>
  </si>
  <si>
    <t>ORD-01931</t>
  </si>
  <si>
    <t>ORD-01932</t>
  </si>
  <si>
    <t>ORD-01933</t>
  </si>
  <si>
    <t>ORD-01934</t>
  </si>
  <si>
    <t>ORD-01935</t>
  </si>
  <si>
    <t>ORD-01936</t>
  </si>
  <si>
    <t>ORD-01937</t>
  </si>
  <si>
    <t>ORD-01938</t>
  </si>
  <si>
    <t>ORD-01939</t>
  </si>
  <si>
    <t>ORD-01940</t>
  </si>
  <si>
    <t>ORD-01941</t>
  </si>
  <si>
    <t>ORD-01942</t>
  </si>
  <si>
    <t>ORD-01943</t>
  </si>
  <si>
    <t>ORD-01944</t>
  </si>
  <si>
    <t>ORD-01945</t>
  </si>
  <si>
    <t>ORD-01946</t>
  </si>
  <si>
    <t>ORD-01947</t>
  </si>
  <si>
    <t>ORD-01948</t>
  </si>
  <si>
    <t>ORD-01949</t>
  </si>
  <si>
    <t>ORD-01950</t>
  </si>
  <si>
    <t>ORD-01951</t>
  </si>
  <si>
    <t>ORD-01952</t>
  </si>
  <si>
    <t>ORD-01953</t>
  </si>
  <si>
    <t>ORD-01954</t>
  </si>
  <si>
    <t>ORD-01955</t>
  </si>
  <si>
    <t>ORD-01956</t>
  </si>
  <si>
    <t>ORD-01957</t>
  </si>
  <si>
    <t>ORD-01958</t>
  </si>
  <si>
    <t>ORD-01959</t>
  </si>
  <si>
    <t>ORD-01960</t>
  </si>
  <si>
    <t>ORD-01961</t>
  </si>
  <si>
    <t>ORD-01962</t>
  </si>
  <si>
    <t>ORD-01963</t>
  </si>
  <si>
    <t>ORD-01964</t>
  </si>
  <si>
    <t>ORD-01965</t>
  </si>
  <si>
    <t>ORD-01966</t>
  </si>
  <si>
    <t>ORD-01967</t>
  </si>
  <si>
    <t>ORD-01968</t>
  </si>
  <si>
    <t>ORD-01969</t>
  </si>
  <si>
    <t>ORD-01970</t>
  </si>
  <si>
    <t>ORD-01971</t>
  </si>
  <si>
    <t>ORD-01972</t>
  </si>
  <si>
    <t>ORD-01973</t>
  </si>
  <si>
    <t>ORD-01974</t>
  </si>
  <si>
    <t>ORD-01975</t>
  </si>
  <si>
    <t>ORD-01976</t>
  </si>
  <si>
    <t>ORD-01977</t>
  </si>
  <si>
    <t>ORD-01978</t>
  </si>
  <si>
    <t>ORD-01979</t>
  </si>
  <si>
    <t>ORD-01980</t>
  </si>
  <si>
    <t>ORD-01981</t>
  </si>
  <si>
    <t>ORD-01982</t>
  </si>
  <si>
    <t>ORD-01983</t>
  </si>
  <si>
    <t>ORD-01984</t>
  </si>
  <si>
    <t>ORD-01985</t>
  </si>
  <si>
    <t>ORD-01986</t>
  </si>
  <si>
    <t>ORD-01987</t>
  </si>
  <si>
    <t>ORD-01988</t>
  </si>
  <si>
    <t>ORD-01989</t>
  </si>
  <si>
    <t>ORD-01990</t>
  </si>
  <si>
    <t>ORD-01991</t>
  </si>
  <si>
    <t>ORD-01992</t>
  </si>
  <si>
    <t>ORD-01993</t>
  </si>
  <si>
    <t>ORD-01994</t>
  </si>
  <si>
    <t>ORD-01995</t>
  </si>
  <si>
    <t>ORD-01996</t>
  </si>
  <si>
    <t>ORD-01997</t>
  </si>
  <si>
    <t>ORD-01998</t>
  </si>
  <si>
    <t>ORD-01999</t>
  </si>
  <si>
    <t>ORD-02000</t>
  </si>
  <si>
    <t>customer_name</t>
  </si>
  <si>
    <t>age</t>
  </si>
  <si>
    <t>city</t>
  </si>
  <si>
    <t>segment</t>
  </si>
  <si>
    <t>signup_date</t>
  </si>
  <si>
    <t>Amit Agarwal</t>
  </si>
  <si>
    <t>Retail</t>
  </si>
  <si>
    <t>Vihaan Malhotra</t>
  </si>
  <si>
    <t>Corporate</t>
  </si>
  <si>
    <t>Navya Malhotra</t>
  </si>
  <si>
    <t>Aaradhya Mehta</t>
  </si>
  <si>
    <t>delhi</t>
  </si>
  <si>
    <t>Myra Malhotra</t>
  </si>
  <si>
    <t>Shaurya Iyer</t>
  </si>
  <si>
    <t>SMB</t>
  </si>
  <si>
    <t>Dhruv Joshi</t>
  </si>
  <si>
    <t>Kavita Malhotra</t>
  </si>
  <si>
    <t>Neha Malhotra</t>
  </si>
  <si>
    <t>Aaradhya Gupta</t>
  </si>
  <si>
    <t>Diya Menon</t>
  </si>
  <si>
    <t>Prisha Desai</t>
  </si>
  <si>
    <t>Aryan Chopra</t>
  </si>
  <si>
    <t>Priya Malhotra</t>
  </si>
  <si>
    <t>Aadhya Bhatt</t>
  </si>
  <si>
    <t>Vivaan Nair</t>
  </si>
  <si>
    <t>Pranav Reddy</t>
  </si>
  <si>
    <t>Ahana Agarwal</t>
  </si>
  <si>
    <t>Myra Shah</t>
  </si>
  <si>
    <t>Dhruv Iyer</t>
  </si>
  <si>
    <t>Aditya Shah</t>
  </si>
  <si>
    <t>Kavya Sharma</t>
  </si>
  <si>
    <t>Rohan Kapoor</t>
  </si>
  <si>
    <t>Angel Gupta</t>
  </si>
  <si>
    <t>Anika Menon</t>
  </si>
  <si>
    <t xml:space="preserve">Diya Sharma   </t>
  </si>
  <si>
    <t>Navya Reddy</t>
  </si>
  <si>
    <t>Aarav Chopra</t>
  </si>
  <si>
    <t>Ananya Agarwal</t>
  </si>
  <si>
    <t>Advik Joshi</t>
  </si>
  <si>
    <t>Vijay Kumar</t>
  </si>
  <si>
    <t>Rohit Kumar</t>
  </si>
  <si>
    <t>Pari Shah</t>
  </si>
  <si>
    <t>Rahul Rao</t>
  </si>
  <si>
    <t>Aaradhya Desai</t>
  </si>
  <si>
    <t>Rohit Singh</t>
  </si>
  <si>
    <t>Iraa Mehta</t>
  </si>
  <si>
    <t>Rudra Verma</t>
  </si>
  <si>
    <t>Shaurya Menon</t>
  </si>
  <si>
    <t>Aarav Nair</t>
  </si>
  <si>
    <t>Pranav Gupta</t>
  </si>
  <si>
    <t xml:space="preserve">Rohan Reddy   </t>
  </si>
  <si>
    <t>Advik Kumar</t>
  </si>
  <si>
    <t>Myra Reddy</t>
  </si>
  <si>
    <t>Rohan Bhatt</t>
  </si>
  <si>
    <t>Rudra Agarwal</t>
  </si>
  <si>
    <t>Prisha Kumar</t>
  </si>
  <si>
    <t>Prisha Chopra</t>
  </si>
  <si>
    <t>Aadhya Reddy</t>
  </si>
  <si>
    <t>Myra Singh</t>
  </si>
  <si>
    <t>Rahul Kumar</t>
  </si>
  <si>
    <t>Pari Kumar</t>
  </si>
  <si>
    <t>Vivaan Shah</t>
  </si>
  <si>
    <t>Aarohi Patel</t>
  </si>
  <si>
    <t>Vivaan Verma</t>
  </si>
  <si>
    <t>Kavya Iyer</t>
  </si>
  <si>
    <t>Riya Mehta</t>
  </si>
  <si>
    <t>Priya Mehta</t>
  </si>
  <si>
    <t>Rahul Joshi</t>
  </si>
  <si>
    <t>Prisha Malhotra</t>
  </si>
  <si>
    <t>Kartik Chopra</t>
  </si>
  <si>
    <t>Rudra Singh</t>
  </si>
  <si>
    <t>Kabir Singh</t>
  </si>
  <si>
    <t>Aaradhya Bhatt</t>
  </si>
  <si>
    <t>Kiara Rao</t>
  </si>
  <si>
    <t>Kavya Chopra</t>
  </si>
  <si>
    <t>Kavita Menon</t>
  </si>
  <si>
    <t>Diya Shah</t>
  </si>
  <si>
    <t>Neha Menon</t>
  </si>
  <si>
    <t xml:space="preserve"> Anvi Kumar </t>
  </si>
  <si>
    <t>Pranav Malhotra</t>
  </si>
  <si>
    <t>Kabir Nair</t>
  </si>
  <si>
    <t>Vihaan Bhatt</t>
  </si>
  <si>
    <t>Rudra Desai</t>
  </si>
  <si>
    <t>Diya Patel</t>
  </si>
  <si>
    <t xml:space="preserve">Myra Gupta   </t>
  </si>
  <si>
    <t>Kiara Chopra</t>
  </si>
  <si>
    <t>Amit Iyer</t>
  </si>
  <si>
    <t>Amit Kumar</t>
  </si>
  <si>
    <t>Aditya Bhatt</t>
  </si>
  <si>
    <t>Meera Reddy</t>
  </si>
  <si>
    <t>Shaurya Bhatt</t>
  </si>
  <si>
    <t>Riya Patel</t>
  </si>
  <si>
    <t>Shaurya Reddy</t>
  </si>
  <si>
    <t>Aditya Kumar</t>
  </si>
  <si>
    <t>Ishaan Chopra</t>
  </si>
  <si>
    <t>Vijay Reddy</t>
  </si>
  <si>
    <t>Ahana Singh</t>
  </si>
  <si>
    <t>Kabir Chopra</t>
  </si>
  <si>
    <t>Dhruv Nair</t>
  </si>
  <si>
    <t>Suresh Mehta</t>
  </si>
  <si>
    <t>Kabir Shah</t>
  </si>
  <si>
    <t xml:space="preserve">  Pari Malhotra</t>
  </si>
  <si>
    <t>Riya Singh</t>
  </si>
  <si>
    <t>Iraa Kapoor</t>
  </si>
  <si>
    <t>Anika Malhotra</t>
  </si>
  <si>
    <t>Angel Sharma</t>
  </si>
  <si>
    <t>Myra Gupta</t>
  </si>
  <si>
    <t>Rudra Kapoor</t>
  </si>
  <si>
    <t>Advik Nair</t>
  </si>
  <si>
    <t>Pooja Singh</t>
  </si>
  <si>
    <t>Kiara Shah</t>
  </si>
  <si>
    <t>Aryan Agarwal</t>
  </si>
  <si>
    <t>Navya Mehta</t>
  </si>
  <si>
    <t xml:space="preserve">Ishaan Kapoor   </t>
  </si>
  <si>
    <t>Angel Shah</t>
  </si>
  <si>
    <t>Dhruv Gupta</t>
  </si>
  <si>
    <t>Ayaan Reddy</t>
  </si>
  <si>
    <t>Anika Shah</t>
  </si>
  <si>
    <t>Anvi Reddy</t>
  </si>
  <si>
    <t>Reyansh Patel</t>
  </si>
  <si>
    <t>Ritvik Kapoor</t>
  </si>
  <si>
    <t>BENGALURU</t>
  </si>
  <si>
    <t>Rohan Rao</t>
  </si>
  <si>
    <t>Myra Patel</t>
  </si>
  <si>
    <t>Aaradhya Joshi</t>
  </si>
  <si>
    <t>Vihaan Chopra</t>
  </si>
  <si>
    <t>Rohit Shah</t>
  </si>
  <si>
    <t xml:space="preserve"> Priya Kumar </t>
  </si>
  <si>
    <t>Pari Joshi</t>
  </si>
  <si>
    <t>Shaurya Agarwal</t>
  </si>
  <si>
    <t>Aryan Desai</t>
  </si>
  <si>
    <t>Neha Agarwal</t>
  </si>
  <si>
    <t>Angel Joshi</t>
  </si>
  <si>
    <t>Rohit Iyer</t>
  </si>
  <si>
    <t>hyderabad</t>
  </si>
  <si>
    <t>Kabir Kapoor</t>
  </si>
  <si>
    <t>Krishna Kapoor</t>
  </si>
  <si>
    <t xml:space="preserve">  Ishaan Joshi</t>
  </si>
  <si>
    <t>Iraa Kumar</t>
  </si>
  <si>
    <t>Ritvik Shah</t>
  </si>
  <si>
    <t>Aarohi Mehta</t>
  </si>
  <si>
    <t>Arjun Shah</t>
  </si>
  <si>
    <t>Riya Desai</t>
  </si>
  <si>
    <t>Aadhya Kumar</t>
  </si>
  <si>
    <t>Kavya Kumar</t>
  </si>
  <si>
    <t>Ishaan Verma</t>
  </si>
  <si>
    <t>chennai</t>
  </si>
  <si>
    <t>Karan Gupta</t>
  </si>
  <si>
    <t xml:space="preserve">  Kavita Shah</t>
  </si>
  <si>
    <t>Anika Bhatt</t>
  </si>
  <si>
    <t xml:space="preserve">Riya Kapoor   </t>
  </si>
  <si>
    <t>Aarohi Iyer</t>
  </si>
  <si>
    <t>Advik Menon</t>
  </si>
  <si>
    <t>Sanvi Menon</t>
  </si>
  <si>
    <t>Suresh Bhatt</t>
  </si>
  <si>
    <t>Aaradhya Verma</t>
  </si>
  <si>
    <t>Ayaan Chopra</t>
  </si>
  <si>
    <t>Pari Desai</t>
  </si>
  <si>
    <t>Anvi Patel</t>
  </si>
  <si>
    <t>Vihaan Kapoor</t>
  </si>
  <si>
    <t xml:space="preserve">Dhruv Kumar   </t>
  </si>
  <si>
    <t>Pooja Reddy</t>
  </si>
  <si>
    <t>Anaya Chopra</t>
  </si>
  <si>
    <t>Priya Joshi</t>
  </si>
  <si>
    <t>Krishna Reddy</t>
  </si>
  <si>
    <t>Meera Malhotra</t>
  </si>
  <si>
    <t>Neha Kumar</t>
  </si>
  <si>
    <t>Kartik Patel</t>
  </si>
  <si>
    <t>Vivaan Kumar</t>
  </si>
  <si>
    <t>Reyansh Verma</t>
  </si>
  <si>
    <t>Vihaan Gupta</t>
  </si>
  <si>
    <t>Aarav Iyer</t>
  </si>
  <si>
    <t>Aarav Singh</t>
  </si>
  <si>
    <t>Aditya Chopra</t>
  </si>
  <si>
    <t>Kiara Singh</t>
  </si>
  <si>
    <t>Sanvi Agarwal</t>
  </si>
  <si>
    <t>Suresh Nair</t>
  </si>
  <si>
    <t>Sara Desai</t>
  </si>
  <si>
    <t>Vivaan Gupta</t>
  </si>
  <si>
    <t>Amit Chopra</t>
  </si>
  <si>
    <t>Kabir Desai</t>
  </si>
  <si>
    <t>Aaradhya Malhotra</t>
  </si>
  <si>
    <t>Anika Mehta</t>
  </si>
  <si>
    <t>Aadhya Kapoor</t>
  </si>
  <si>
    <t>Advik Agarwal</t>
  </si>
  <si>
    <t>Navya Rao</t>
  </si>
  <si>
    <t>Rohit Chopra</t>
  </si>
  <si>
    <t>Kabir Joshi</t>
  </si>
  <si>
    <t>Kartik Kumar</t>
  </si>
  <si>
    <t>Riya Verma</t>
  </si>
  <si>
    <t>Anaya Sharma</t>
  </si>
  <si>
    <t>Aryan Menon</t>
  </si>
  <si>
    <t xml:space="preserve"> Shaurya Rao </t>
  </si>
  <si>
    <t>Rahul Singh</t>
  </si>
  <si>
    <t>Vijay Shah</t>
  </si>
  <si>
    <t>Karan Agarwal</t>
  </si>
  <si>
    <t>Sara Malhotra</t>
  </si>
  <si>
    <t>Myra Kapoor</t>
  </si>
  <si>
    <t>Kavya Mehta</t>
  </si>
  <si>
    <t>Reyansh Gupta</t>
  </si>
  <si>
    <t>Ishaan Mehta</t>
  </si>
  <si>
    <t>Krishna Mehta</t>
  </si>
  <si>
    <t>Aadhya Shah</t>
  </si>
  <si>
    <t>Ritvik Agarwal</t>
  </si>
  <si>
    <t>Aryan Singh</t>
  </si>
  <si>
    <t>Ayaan Joshi</t>
  </si>
  <si>
    <t>Ayaan Singh</t>
  </si>
  <si>
    <t>Anika Rao</t>
  </si>
  <si>
    <t>Shaurya Kumar</t>
  </si>
  <si>
    <t>Priya Chopra</t>
  </si>
  <si>
    <t>Pari Verma</t>
  </si>
  <si>
    <t>Anvi Malhotra</t>
  </si>
  <si>
    <t>Kavita Bhatt</t>
  </si>
  <si>
    <t>Krishna Menon</t>
  </si>
  <si>
    <t>Pooja Kumar</t>
  </si>
  <si>
    <t xml:space="preserve">Anika Singh   </t>
  </si>
  <si>
    <t>Kavita Sharma</t>
  </si>
  <si>
    <t>Suresh Kumar</t>
  </si>
  <si>
    <t>Aarav Mehta</t>
  </si>
  <si>
    <t>Aaradhya Iyer</t>
  </si>
  <si>
    <t>Karan Singh</t>
  </si>
  <si>
    <t>Aadhya Singh</t>
  </si>
  <si>
    <t>Aarav Menon</t>
  </si>
  <si>
    <t>Kiara Agarwal</t>
  </si>
  <si>
    <t>Ahana Patel</t>
  </si>
  <si>
    <t>Iraa Shah</t>
  </si>
  <si>
    <t>Rohit Kapoor</t>
  </si>
  <si>
    <t>Kavita Agarwal</t>
  </si>
  <si>
    <t>Rudra Gupta</t>
  </si>
  <si>
    <t>Dhruv Verma</t>
  </si>
  <si>
    <t>Ananya Verma</t>
  </si>
  <si>
    <t>Aditya Nair</t>
  </si>
  <si>
    <t>Pari Kapoor</t>
  </si>
  <si>
    <t>Prisha Patel</t>
  </si>
  <si>
    <t>Aryan Iyer</t>
  </si>
  <si>
    <t xml:space="preserve">Kavita Shah   </t>
  </si>
  <si>
    <t>Pari Patel</t>
  </si>
  <si>
    <t>Aadhya Mehta</t>
  </si>
  <si>
    <t>Ananya Malhotra</t>
  </si>
  <si>
    <t>Anika Joshi</t>
  </si>
  <si>
    <t>Neha Patel</t>
  </si>
  <si>
    <t>Sanvi Shah</t>
  </si>
  <si>
    <t>Navya Menon</t>
  </si>
  <si>
    <t>Neha Mehta</t>
  </si>
  <si>
    <t>Sara Joshi</t>
  </si>
  <si>
    <t>Diya Reddy</t>
  </si>
  <si>
    <t>Kabir Menon</t>
  </si>
  <si>
    <t>Rahul Desai</t>
  </si>
  <si>
    <t>Arjun Kapoor</t>
  </si>
  <si>
    <t>Riya Kapoor</t>
  </si>
  <si>
    <t xml:space="preserve">  Ishaan Kumar</t>
  </si>
  <si>
    <t>Ishaan Kumar</t>
  </si>
  <si>
    <t>Aarohi Gupta</t>
  </si>
  <si>
    <t>Aditya Patel</t>
  </si>
  <si>
    <t>Ananya Menon</t>
  </si>
  <si>
    <t>Myra Bhatt</t>
  </si>
  <si>
    <t>Pranav Bhatt</t>
  </si>
  <si>
    <t>Kavita Mehta</t>
  </si>
  <si>
    <t>Aadhya Desai</t>
  </si>
  <si>
    <t>Myra Kumar</t>
  </si>
  <si>
    <t>Kartik Malhotra</t>
  </si>
  <si>
    <t>Kavita Patel</t>
  </si>
  <si>
    <t>Kabir Gupta</t>
  </si>
  <si>
    <t>Dhruv Reddy</t>
  </si>
  <si>
    <t>Arjun Singh</t>
  </si>
  <si>
    <t>Rohan Sharma</t>
  </si>
  <si>
    <t>Aarohi Nair</t>
  </si>
  <si>
    <t>Anaya Joshi</t>
  </si>
  <si>
    <t>Ayaan Verma</t>
  </si>
  <si>
    <t>Krishna Desai</t>
  </si>
  <si>
    <t>Meera Chopra</t>
  </si>
  <si>
    <t>Rohan Menon</t>
  </si>
  <si>
    <t>Neha Desai</t>
  </si>
  <si>
    <t>Rohan Agarwal</t>
  </si>
  <si>
    <t>Navya Sharma</t>
  </si>
  <si>
    <t>Vivaan Agarwal</t>
  </si>
  <si>
    <t>Rahul Iyer</t>
  </si>
  <si>
    <t>Rohit Nair</t>
  </si>
  <si>
    <t>product_name</t>
  </si>
  <si>
    <t>category</t>
  </si>
  <si>
    <t>unit_cost</t>
  </si>
  <si>
    <t>is_active</t>
  </si>
  <si>
    <t>Smartphone Pro</t>
  </si>
  <si>
    <t>Electronics</t>
  </si>
  <si>
    <t>Wireless Earbuds</t>
  </si>
  <si>
    <t>Smart Watch</t>
  </si>
  <si>
    <t>Laptop Bag</t>
  </si>
  <si>
    <t>Power Bank</t>
  </si>
  <si>
    <t>Bluetooth Speaker</t>
  </si>
  <si>
    <t>USB-C Cable</t>
  </si>
  <si>
    <t>Wireless Mouse</t>
  </si>
  <si>
    <t>Mechanical Keyboard</t>
  </si>
  <si>
    <t>Tablet Stand</t>
  </si>
  <si>
    <t>Cotton T-Shirt</t>
  </si>
  <si>
    <t>Apparel</t>
  </si>
  <si>
    <t>Denim Jeans</t>
  </si>
  <si>
    <t>Formal Shirt</t>
  </si>
  <si>
    <t>Winter Jacket</t>
  </si>
  <si>
    <t>Sports Shoes</t>
  </si>
  <si>
    <t>Casual Sneakers</t>
  </si>
  <si>
    <t>Silk Saree</t>
  </si>
  <si>
    <t>Kurta Set</t>
  </si>
  <si>
    <t>Track Pants</t>
  </si>
  <si>
    <t>Woolen Sweater</t>
  </si>
  <si>
    <t>Basmati Rice 5kg</t>
  </si>
  <si>
    <t>Grocery</t>
  </si>
  <si>
    <t>Wheat Flour 10kg</t>
  </si>
  <si>
    <t>Cooking Oil 5L</t>
  </si>
  <si>
    <t>Turmeric Powder 500g</t>
  </si>
  <si>
    <t>Chili Powder 500g</t>
  </si>
  <si>
    <t>Sugar 5kg</t>
  </si>
  <si>
    <t>Tea Leaves 1kg</t>
  </si>
  <si>
    <t>Coffee Beans 500g</t>
  </si>
  <si>
    <t>Ghee 1L</t>
  </si>
  <si>
    <t>Salt 1kg</t>
  </si>
  <si>
    <t>Bed Sheet Set</t>
  </si>
  <si>
    <t>Home</t>
  </si>
  <si>
    <t>Pillow Cover Pair</t>
  </si>
  <si>
    <t>Curtain Set</t>
  </si>
  <si>
    <t>Kitchen Towel Set</t>
  </si>
  <si>
    <t>Doormat</t>
  </si>
  <si>
    <t>Wall Clock</t>
  </si>
  <si>
    <t>Table Lamp</t>
  </si>
  <si>
    <t>Storage Box</t>
  </si>
  <si>
    <t>Photo Frame</t>
  </si>
  <si>
    <t>Cushion Cover</t>
  </si>
  <si>
    <t>Face Wash 100ml</t>
  </si>
  <si>
    <t>Beauty</t>
  </si>
  <si>
    <t>Moisturizer 200ml</t>
  </si>
  <si>
    <t>Shampoo 500ml</t>
  </si>
  <si>
    <t>Conditioner 500ml</t>
  </si>
  <si>
    <t>Body Lotion 400ml</t>
  </si>
  <si>
    <t>Sunscreen SPF50</t>
  </si>
  <si>
    <t>Lipstick</t>
  </si>
  <si>
    <t>Kajal</t>
  </si>
  <si>
    <t>Hair Oil 200ml</t>
  </si>
  <si>
    <t>Perfume 100ml</t>
  </si>
  <si>
    <t>Yoga Mat</t>
  </si>
  <si>
    <t>Sports</t>
  </si>
  <si>
    <t>Dumbbells 5kg</t>
  </si>
  <si>
    <t>Skipping Rope</t>
  </si>
  <si>
    <t>Cricket Bat</t>
  </si>
  <si>
    <t>Football Size 5</t>
  </si>
  <si>
    <t>Badminton Racket</t>
  </si>
  <si>
    <t>Tennis Ball Pack</t>
  </si>
  <si>
    <t>Cycling Helmet</t>
  </si>
  <si>
    <t>Water Bottle 1L</t>
  </si>
  <si>
    <t>Gym Gloves</t>
  </si>
  <si>
    <t>rep_id</t>
  </si>
  <si>
    <t>rep_name</t>
  </si>
  <si>
    <t>region</t>
  </si>
  <si>
    <t>hire_date</t>
  </si>
  <si>
    <t>team_lead_id</t>
  </si>
  <si>
    <t>Rajesh Malhotra</t>
  </si>
  <si>
    <t>North</t>
  </si>
  <si>
    <t>Sunita Malhotra</t>
  </si>
  <si>
    <t>Amit Singh</t>
  </si>
  <si>
    <t>Priya Singh</t>
  </si>
  <si>
    <t>Vikram Patel</t>
  </si>
  <si>
    <t>Suresh Menon</t>
  </si>
  <si>
    <t>Manoj Patel</t>
  </si>
  <si>
    <t>South</t>
  </si>
  <si>
    <t>Divya Rao</t>
  </si>
  <si>
    <t>Anil Verma</t>
  </si>
  <si>
    <t>Pooja Nair</t>
  </si>
  <si>
    <t>Sanjay Kapoor</t>
  </si>
  <si>
    <t>Ritu Menon</t>
  </si>
  <si>
    <t>Deepak Shah</t>
  </si>
  <si>
    <t>Anjali Chopra</t>
  </si>
  <si>
    <t>Naveen Singh</t>
  </si>
  <si>
    <t>East</t>
  </si>
  <si>
    <t>Shalini Patel</t>
  </si>
  <si>
    <t>Prakash Shah</t>
  </si>
  <si>
    <t>Meera Iyer</t>
  </si>
  <si>
    <t>Gaurav Desai</t>
  </si>
  <si>
    <t>Nisha Menon</t>
  </si>
  <si>
    <t>Vinod Kumar</t>
  </si>
  <si>
    <t>Rekha Chopra</t>
  </si>
  <si>
    <t>West</t>
  </si>
  <si>
    <t>Ashok Reddy</t>
  </si>
  <si>
    <t>Sonia Malhotra</t>
  </si>
  <si>
    <t>Ramesh Bhatt</t>
  </si>
  <si>
    <t>Preeti Shah</t>
  </si>
  <si>
    <t>Arun Iyer</t>
  </si>
  <si>
    <t>Kiran Bhatt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</si>
  <si>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</si>
  <si>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</si>
  <si>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</si>
  <si>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</si>
  <si>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</si>
  <si>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</si>
  <si>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</si>
  <si>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</si>
  <si>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</si>
  <si>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</si>
  <si>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</si>
  <si>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</si>
  <si>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VLOOKUP · INDEX-MATCH · Two-way lookup · Chain lookup · Approximate lookup · Self-join</t>
  </si>
  <si>
    <t>Q#</t>
  </si>
  <si>
    <t>Question</t>
  </si>
  <si>
    <t>Hint</t>
  </si>
  <si>
    <t>Your Answer</t>
  </si>
  <si>
    <t>Format</t>
  </si>
  <si>
    <t>Q1.1</t>
  </si>
  <si>
    <t>For order ORD-00234, what is the customer_id?</t>
  </si>
  <si>
    <t>Simple VLOOKUP on Orders sheet.</t>
  </si>
  <si>
    <t>CUST-####</t>
  </si>
  <si>
    <t>Q1.2</t>
  </si>
  <si>
    <t>For order ORD-00456, what is the product_name? (You will need to look up the product_id first, then find its name in Products.)</t>
  </si>
  <si>
    <t>Two-step lookup, or nested VLOOKUP.</t>
  </si>
  <si>
    <t>Text</t>
  </si>
  <si>
    <t>Q1.3</t>
  </si>
  <si>
    <t>For order ORD-00987, what is the rep_name of the sales rep? Note: the rep_name is in a column that appears to the LEFT of what you might look up first.</t>
  </si>
  <si>
    <t>Q1.4</t>
  </si>
  <si>
    <t>From the Targets sheet, what is the target value for rep R012 in the month Mar-24?</t>
  </si>
  <si>
    <t>Two-way lookup: row = rep_id, column = month.</t>
  </si>
  <si>
    <t>Whole number</t>
  </si>
  <si>
    <t>Q1.5</t>
  </si>
  <si>
    <t>For order ORD-01500, what is the CATEGORY of the product ordered? (Chain: order → product_id → category)</t>
  </si>
  <si>
    <t>Multi-hop lookup across sheets.</t>
  </si>
  <si>
    <t>Q1.6</t>
  </si>
  <si>
    <t>For order ORD-00789, which DISCOUNT SLAB does it fall in? Use the slab table below (rows 20-24). Slab breakpoints are the LOWER bound of each range.</t>
  </si>
  <si>
    <t>Approximate-match VLOOKUP (sort ascending, TRUE / omit last arg).</t>
  </si>
  <si>
    <t>Q1.7</t>
  </si>
  <si>
    <t>Two lookups joined with &amp; or CONCATENATE.</t>
  </si>
  <si>
    <t>Q1.8</t>
  </si>
  <si>
    <t>Look up the team_lead_id, then look up THAT id's rep_name.</t>
  </si>
  <si>
    <t>DISCOUNT SLAB REFERENCE TABLE (use for Q1.6)</t>
  </si>
  <si>
    <t>Discount % (Lower)</t>
  </si>
  <si>
    <t>Slab</t>
  </si>
  <si>
    <t>Bronze</t>
  </si>
  <si>
    <t>Silver</t>
  </si>
  <si>
    <t>Gold</t>
  </si>
  <si>
    <t>Platinum</t>
  </si>
  <si>
    <t>Duplicates · Whitespace · Case Inconsistency · Referential Integrity · Discontinued SKUs · Anomaly Patterns</t>
  </si>
  <si>
    <t>Q2.1</t>
  </si>
  <si>
    <t>How many DUPLICATE rows exist in the Orders sheet (i.e., how many order_id values appear more than once)? Count each duplicate as ONE (not the extras).</t>
  </si>
  <si>
    <t>Q2.2</t>
  </si>
  <si>
    <t>How many customers in the Customers sheet have LEADING or TRAILING whitespace in their customer_name?</t>
  </si>
  <si>
    <t>Compare LEN vs LEN(TRIM). Or use SUMPRODUCT with a boolean.</t>
  </si>
  <si>
    <t>Q2.3</t>
  </si>
  <si>
    <t>The Customers sheet has some cities in inconsistent case (e.g., "mumbai", "MUMBAI", "Mumbai"). How many DISTINCT cities exist AFTER standardizing case?</t>
  </si>
  <si>
    <t>Combine PROPER/UPPER with a de-dup count. SUMPRODUCT + 1/COUNTIF trick works.</t>
  </si>
  <si>
    <t>Q2.4</t>
  </si>
  <si>
    <t>How many orders reference a customer_id that DOES NOT EXIST in the Customers sheet? (Broken foreign key)</t>
  </si>
  <si>
    <t>Use MATCH with ISNA/ISERROR, then count.</t>
  </si>
  <si>
    <t>Q2.5</t>
  </si>
  <si>
    <t>How many orders reference a product that is currently DISCONTINUED (is_active = FALSE in the Products sheet)?</t>
  </si>
  <si>
    <t>VLOOKUP the is_active flag, then count where FALSE.</t>
  </si>
  <si>
    <t>Q2.6</t>
  </si>
  <si>
    <t>COUNTIFS with two criteria.</t>
  </si>
  <si>
    <t>SUMIFS · COUNTIFS · AVERAGEIFS · Nested IF logic · Multi-sheet aggregation · Top-N logic</t>
  </si>
  <si>
    <t>Q3.1</t>
  </si>
  <si>
    <t>What is the TOTAL REVENUE (sum of final_amount) for orders in Q3 2024 (Jul-Sep) where ship_city is Mumbai?</t>
  </si>
  <si>
    <t>SUMIFS with 3 conditions: date &gt;= start, date &lt;= end, city = Mumbai. Beware case issues.</t>
  </si>
  <si>
    <t>Currency</t>
  </si>
  <si>
    <t>Q3.2</t>
  </si>
  <si>
    <t>How many orders have discount_pct &gt; 15% AND payment_status = "Completed"?</t>
  </si>
  <si>
    <t>COUNTIFS with two conditions.</t>
  </si>
  <si>
    <t>Q3.3</t>
  </si>
  <si>
    <t>Helper columns in Orders: VLOOKUP category from Products, VLOOKUP segment from Customers. Then AVERAGEIFS.</t>
  </si>
  <si>
    <t>Q3.4</t>
  </si>
  <si>
    <t>What is the COMBINED REVENUE of the TOP 3 reps by total revenue? (Sum of the 3 highest rep totals.)</t>
  </si>
  <si>
    <t>Compute per-rep totals, then use SUMPRODUCT with LARGE, or sort and sum top 3.</t>
  </si>
  <si>
    <t>Q3.5</t>
  </si>
  <si>
    <t>For rep R015 in Nov-24: compute the actual revenue and compare to the target (from Targets sheet). Report the PERFORMANCE TIER using: &lt;80% → "Below", 80-120% → "On Track", &gt;120% → "Exceeds". Return only the tier text.</t>
  </si>
  <si>
    <t>Nested IF (or IFS): compute actual/target ratio, then classify.</t>
  </si>
  <si>
    <t>Q3.6</t>
  </si>
  <si>
    <t>What is the TOTAL revenue from Corporate segment customers aged between 30 and 40 (both inclusive)?</t>
  </si>
  <si>
    <t>Helper columns for age and segment. Then SUMIFS with numeric range.</t>
  </si>
  <si>
    <t>2D Pivots · Filters · % of Row Total · Date Grouping · Calculated Fields · Cross-Sheet Data</t>
  </si>
  <si>
    <t>Q4.1</t>
  </si>
  <si>
    <t>Build a pivot with sales_region as rows and product category as columns, values = SUM of final_amount. What value appears at the intersection of "South" and "Electronics"?</t>
  </si>
  <si>
    <t>You need to add category (from Products) and region (from Sales_Reps) as columns to Orders first. Insert PivotTable from combined data.</t>
  </si>
  <si>
    <t>Q4.2</t>
  </si>
  <si>
    <t>Build a pivot: rows = order month (Jan-24 through Dec-24), columns = sales_rep_id, values = SUM of final_amount. What is the HIGHEST single value in the entire pivot? (One number.)</t>
  </si>
  <si>
    <t>After building, use MAX() over the pivot data range, or scan visually.</t>
  </si>
  <si>
    <t>Q4.3</t>
  </si>
  <si>
    <t>For the North sales_region only: what PERCENTAGE of total revenue comes from the Apparel category? Configure the pivot with Show Values As → % of Row Total.</t>
  </si>
  <si>
    <t>Pivot: rows=region, cols=category, values=sum(final_amount), Show Values As = % of Row Total.</t>
  </si>
  <si>
    <t>Percentage</t>
  </si>
  <si>
    <t>Q4.4</t>
  </si>
  <si>
    <t>Group order dates by QUARTER in a pivot. What is the total revenue for Q4 2024 (Oct-Dec)?</t>
  </si>
  <si>
    <t>PivotTable → Group By → Quarter. Or SUMIFS with date range.</t>
  </si>
  <si>
    <t>Q4.5</t>
  </si>
  <si>
    <t>Create a CALCULATED FIELD in the pivot: profit_margin = (unit_price - unit_cost) / unit_price. What is the AVERAGE profit_margin for orders shipped to Delhi? Give as a percentage.</t>
  </si>
  <si>
    <t>Add unit_cost via VLOOKUP as helper column. Create pivot calculated field, filter to Delhi.</t>
  </si>
  <si>
    <t>RANK · Running Totals · TEXTJOIN · LARGE + INDEX/MATCH · Multi-condition top-N</t>
  </si>
  <si>
    <t>Q5.1</t>
  </si>
  <si>
    <t>Rank all sales reps by total revenue (highest = rank 1). Who (name) is at RANK #7?</t>
  </si>
  <si>
    <t>Per-rep totals, then use RANK.EQ, or sort. Return the rep_name at position 7.</t>
  </si>
  <si>
    <t>Q5.2</t>
  </si>
  <si>
    <t>What is the CUMULATIVE revenue from Jan 2024 through the end of Aug 2024? (Sum of final_amount where order_date &lt;= 31-Aug-2024.)</t>
  </si>
  <si>
    <t>SUMIFS with date &lt;=.</t>
  </si>
  <si>
    <t>Q5.3</t>
  </si>
  <si>
    <t>Among orders where the sales rep is in the WEST region: which product (by name) has the 2nd highest total revenue?</t>
  </si>
  <si>
    <t>Helper: sales_region on orders. Filter/pivot to West, sum by product, rank, get #2, VLOOKUP product name.</t>
  </si>
  <si>
    <t>Q5.4</t>
  </si>
  <si>
    <t>Concatenate the names of the top 5 reps by revenue into a single cell, separated by " | " (space-pipe-space).</t>
  </si>
  <si>
    <t>TEXTJOIN with delimiter " | ". Combine with LARGE to pull top 5.</t>
  </si>
  <si>
    <t>Q5.5</t>
  </si>
  <si>
    <t>What is the HIGHEST single order value (final_amount) where ship_city = "Bengaluru" AND the product's category = "Grocery"?</t>
  </si>
  <si>
    <t>MAXIFS with a category helper column, or nested MAX(IF()).</t>
  </si>
  <si>
    <t>THE UNLOX ACADEMY - DA/DS TRACK</t>
  </si>
  <si>
    <t>Excel Minor Project - Sales Operations Analytics</t>
  </si>
  <si>
    <t>Interview-Grade Data Analytics Assessment · 100 Marks</t>
  </si>
  <si>
    <t>The head of sales has handed you 5 raw data files - Orders, Customers, Products, Sales Reps, and Targets - and asked</t>
  </si>
  <si>
    <t>Part of the assessment is spotting and handling these issues correctly. A wrong-looking answer isn't always wrong -</t>
  </si>
  <si>
    <t>4. Partial credit is awarded - a right approach with a small error scores more than a blank cell.</t>
  </si>
  <si>
    <t>6. Time management matters - attempt every section, perfect none if needed.</t>
  </si>
  <si>
    <t>Round 1 clear - Excel not a concern</t>
  </si>
  <si>
    <t>Round 1 uncertain - needs revision</t>
  </si>
  <si>
    <t>Round 1 likely reject - 2 weeks of practice needed</t>
  </si>
  <si>
    <t>Round 1 reject - foundational gaps</t>
  </si>
  <si>
    <t>VLOOKUP has directional limits - INDEX/MATCH does not.</t>
  </si>
  <si>
    <t>For order ORD-01234, in one cell produce the string:  "&lt;rep_name&gt; (&lt;sales_region&gt;)"  - e.g. "Amit Singh (South)".</t>
  </si>
  <si>
    <t>What is the rep_name of the TEAM LEAD for rep R017? (The Sales_Reps sheet has team_lead_id - you need to self-join to find that person's name.)</t>
  </si>
  <si>
    <t>Find the "suspicious pattern": how many orders have payment_status = "Cancelled" AND a discount_pct &gt; 20%? (This pattern often indicates promo abuse - a real-world diagnostic query.)</t>
  </si>
  <si>
    <t>COUNTIF &gt; 1, then count. Watch what you're counting - rows or IDs.</t>
  </si>
  <si>
    <t>What is the AVERAGE final_amount for orders where the product CATEGORY is "Electronics" AND the customer SEGMENT is "Corporate"? Note: Both fields come from OTHER sheets - you'll need helper columns.</t>
  </si>
  <si>
    <t>Q1 - LOOKUP FUNCTIONS  (25 marks total)</t>
  </si>
  <si>
    <t>Q2 - DATA CLEANING &amp; QUALITY DIAGNOSTICS  (20 marks total)</t>
  </si>
  <si>
    <t>Q3 - CONDITIONAL AGGREGATION  (25 marks total)</t>
  </si>
  <si>
    <t>Q4 - PIVOT TABLES  (20 marks total)</t>
  </si>
  <si>
    <t>Q5 - ADVANCED  (10 marks total)</t>
  </si>
  <si>
    <t>dup_flag</t>
  </si>
  <si>
    <t>total_revenue</t>
  </si>
  <si>
    <t>Row Labels</t>
  </si>
  <si>
    <t>Grand Total</t>
  </si>
  <si>
    <t>Column Labels</t>
  </si>
  <si>
    <t>Sum of final_amount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</si>
  <si>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</si>
  <si>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</si>
  <si>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</si>
  <si>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</si>
  <si>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</si>
  <si>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</si>
  <si>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</si>
  <si>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</si>
  <si>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</si>
  <si>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</si>
  <si>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</si>
  <si>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</si>
  <si>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Details for Sum of final_amount - Quarters (order_date): Qtr4</t>
  </si>
  <si>
    <t>rank</t>
  </si>
  <si>
    <t>west_revenue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</si>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</sst>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6" x14ac:knownFonts="1">
    <font>
      <sz val="11"/>
      <color theme="1"/>
      <name val="Calibri"/>
      <family val="2"/>
      <scheme val="minor"/>
    </font>
    <font>
      <b/>
      <sz val="16"/>
      <color rgb="FF1F4E79"/>
      <name val="Arial"/>
    </font>
    <font>
      <b/>
      <sz val="13"/>
      <color rgb="FF1F4E79"/>
      <name val="Arial"/>
    </font>
    <font>
      <i/>
      <sz val="10"/>
      <color rgb="FF595959"/>
      <name val="Arial"/>
    </font>
    <font>
      <b/>
      <sz val="12"/>
      <color rgb="FF1F4E79"/>
      <name val="Arial"/>
    </font>
    <font>
      <sz val="10"/>
      <name val="Arial"/>
    </font>
    <font>
      <b/>
      <sz val="11"/>
      <color rgb="FFFFFFFF"/>
      <name val="Arial"/>
    </font>
    <font>
      <sz val="10"/>
      <color rgb="FF000000"/>
      <name val="Arial"/>
    </font>
    <font>
      <b/>
      <sz val="10"/>
      <name val="Arial"/>
    </font>
    <font>
      <b/>
      <sz val="16"/>
      <color rgb="FFFFFFFF"/>
      <name val="Arial"/>
    </font>
    <font>
      <i/>
      <sz val="10"/>
      <color rgb="FF1F4E79"/>
      <name val="Arial"/>
    </font>
    <font>
      <b/>
      <sz val="10"/>
      <color rgb="FF1F4E79"/>
      <name val="Arial"/>
    </font>
    <font>
      <i/>
      <sz val="9"/>
      <color rgb="FF595959"/>
      <name val="Arial"/>
    </font>
    <font>
      <b/>
      <sz val="11"/>
      <color rgb="FF1F4E79"/>
      <name val="Arial"/>
    </font>
    <font>
      <b/>
      <sz val="10"/>
      <color rgb="FFFFFFFF"/>
      <name val="Arial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E699"/>
        <bgColor rgb="FFFFE699"/>
      </patternFill>
    </fill>
    <fill>
      <patternFill patternType="solid">
        <fgColor rgb="FFFFF2CC"/>
        <bgColor rgb="FFFFF2CC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/>
    </xf>
    <xf numFmtId="164" fontId="7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0" fontId="1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1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2" xfId="0" applyBorder="1"/>
    <xf numFmtId="0" fontId="6" fillId="2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 wrapText="1"/>
    </xf>
    <xf numFmtId="0" fontId="8" fillId="4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5" fillId="0" borderId="0" xfId="0" applyFont="1"/>
    <xf numFmtId="0" fontId="0" fillId="0" borderId="0" xfId="0"/>
    <xf numFmtId="0" fontId="4" fillId="0" borderId="0" xfId="0" applyFont="1"/>
    <xf numFmtId="0" fontId="10" fillId="0" borderId="2" xfId="0" applyFont="1" applyBorder="1" applyAlignment="1">
      <alignment horizontal="center" vertical="center"/>
    </xf>
    <xf numFmtId="0" fontId="0" fillId="0" borderId="2" xfId="0" applyBorder="1"/>
    <xf numFmtId="0" fontId="9" fillId="2" borderId="2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/>
    <xf numFmtId="0" fontId="15" fillId="0" borderId="0" xfId="0" applyFont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51.859471990741" createdVersion="8" refreshedVersion="8" minRefreshableVersion="3" recordCount="2000" xr:uid="{82AFF636-E1DC-4D15-AAF7-B09F8ABE9874}">
  <cacheSource type="worksheet">
    <worksheetSource ref="A1:R2001" sheet="Orders"/>
  </cacheSource>
  <cacheFields count="19">
    <cacheField name="order_id" numFmtId="0">
      <sharedItems/>
    </cacheField>
    <cacheField name="order_date" numFmtId="164">
      <sharedItems containsSemiMixedTypes="0" containsNonDate="0" containsDate="1" containsString="0" minDate="2024-01-01T00:00:00" maxDate="2024-12-31T00:00:00" count="365">
        <d v="2024-09-14T00:00:00"/>
        <d v="2024-02-18T00:00:00"/>
        <d v="2024-03-20T00:00:00"/>
        <d v="2024-05-01T00:00:00"/>
        <d v="2024-11-15T00:00:00"/>
        <d v="2024-04-24T00:00:00"/>
        <d v="2024-06-12T00:00:00"/>
        <d v="2024-11-21T00:00:00"/>
        <d v="2024-04-14T00:00:00"/>
        <d v="2024-09-25T00:00:00"/>
        <d v="2024-02-10T00:00:00"/>
        <d v="2024-08-03T00:00:00"/>
        <d v="2024-06-23T00:00:00"/>
        <d v="2024-03-14T00:00:00"/>
        <d v="2024-09-11T00:00:00"/>
        <d v="2024-08-08T00:00:00"/>
        <d v="2024-12-28T00:00:00"/>
        <d v="2024-11-30T00:00:00"/>
        <d v="2024-04-12T00:00:00"/>
        <d v="2024-06-27T00:00:00"/>
        <d v="2024-03-03T00:00:00"/>
        <d v="2024-08-26T00:00:00"/>
        <d v="2024-06-29T00:00:00"/>
        <d v="2024-10-05T00:00:00"/>
        <d v="2024-04-19T00:00:00"/>
        <d v="2024-08-13T00:00:00"/>
        <d v="2024-03-12T00:00:00"/>
        <d v="2024-03-16T00:00:00"/>
        <d v="2024-10-04T00:00:00"/>
        <d v="2024-12-15T00:00:00"/>
        <d v="2024-02-21T00:00:00"/>
        <d v="2024-10-11T00:00:00"/>
        <d v="2024-06-19T00:00:00"/>
        <d v="2024-05-30T00:00:00"/>
        <d v="2024-12-20T00:00:00"/>
        <d v="2024-07-05T00:00:00"/>
        <d v="2024-03-04T00:00:00"/>
        <d v="2024-11-03T00:00:00"/>
        <d v="2024-11-10T00:00:00"/>
        <d v="2024-05-20T00:00:00"/>
        <d v="2024-04-10T00:00:00"/>
        <d v="2024-03-22T00:00:00"/>
        <d v="2024-01-21T00:00:00"/>
        <d v="2024-03-19T00:00:00"/>
        <d v="2024-04-07T00:00:00"/>
        <d v="2024-09-30T00:00:00"/>
        <d v="2024-02-01T00:00:00"/>
        <d v="2024-08-02T00:00:00"/>
        <d v="2024-11-20T00:00:00"/>
        <d v="2024-05-16T00:00:00"/>
        <d v="2024-08-11T00:00:00"/>
        <d v="2024-12-23T00:00:00"/>
        <d v="2024-10-08T00:00:00"/>
        <d v="2024-05-05T00:00:00"/>
        <d v="2024-05-13T00:00:00"/>
        <d v="2024-10-24T00:00:00"/>
        <d v="2024-07-15T00:00:00"/>
        <d v="2024-06-22T00:00:00"/>
        <d v="2024-01-26T00:00:00"/>
        <d v="2024-07-26T00:00:00"/>
        <d v="2024-02-06T00:00:00"/>
        <d v="2024-06-16T00:00:00"/>
        <d v="2024-04-16T00:00:00"/>
        <d v="2024-02-24T00:00:00"/>
        <d v="2024-07-10T00:00:00"/>
        <d v="2024-10-20T00:00:00"/>
        <d v="2024-07-27T00:00:00"/>
        <d v="2024-03-24T00:00:00"/>
        <d v="2024-05-31T00:00:00"/>
        <d v="2024-04-08T00:00:00"/>
        <d v="2024-11-19T00:00:00"/>
        <d v="2024-07-25T00:00:00"/>
        <d v="2024-08-24T00:00:00"/>
        <d v="2024-04-20T00:00:00"/>
        <d v="2024-09-12T00:00:00"/>
        <d v="2024-05-12T00:00:00"/>
        <d v="2024-06-18T00:00:00"/>
        <d v="2024-11-04T00:00:00"/>
        <d v="2024-10-22T00:00:00"/>
        <d v="2024-08-14T00:00:00"/>
        <d v="2024-08-29T00:00:00"/>
        <d v="2024-11-26T00:00:00"/>
        <d v="2024-03-29T00:00:00"/>
        <d v="2024-12-22T00:00:00"/>
        <d v="2024-11-11T00:00:00"/>
        <d v="2024-05-02T00:00:00"/>
        <d v="2024-06-15T00:00:00"/>
        <d v="2024-05-14T00:00:00"/>
        <d v="2024-09-22T00:00:00"/>
        <d v="2024-08-05T00:00:00"/>
        <d v="2024-02-07T00:00:00"/>
        <d v="2024-04-29T00:00:00"/>
        <d v="2024-01-06T00:00:00"/>
        <d v="2024-12-14T00:00:00"/>
        <d v="2024-01-31T00:00:00"/>
        <d v="2024-10-27T00:00:00"/>
        <d v="2024-05-27T00:00:00"/>
        <d v="2024-07-13T00:00:00"/>
        <d v="2024-12-03T00:00:00"/>
        <d v="2024-06-10T00:00:00"/>
        <d v="2024-11-01T00:00:00"/>
        <d v="2024-08-27T00:00:00"/>
        <d v="2024-10-31T00:00:00"/>
        <d v="2024-05-08T00:00:00"/>
        <d v="2024-05-04T00:00:00"/>
        <d v="2024-11-18T00:00:00"/>
        <d v="2024-10-28T00:00:00"/>
        <d v="2024-03-09T00:00:00"/>
        <d v="2024-12-02T00:00:00"/>
        <d v="2024-11-16T00:00:00"/>
        <d v="2024-09-06T00:00:00"/>
        <d v="2024-08-20T00:00:00"/>
        <d v="2024-02-22T00:00:00"/>
        <d v="2024-06-20T00:00:00"/>
        <d v="2024-01-10T00:00:00"/>
        <d v="2024-09-24T00:00:00"/>
        <d v="2024-02-29T00:00:00"/>
        <d v="2024-11-08T00:00:00"/>
        <d v="2024-08-04T00:00:00"/>
        <d v="2024-01-18T00:00:00"/>
        <d v="2024-06-05T00:00:00"/>
        <d v="2024-06-06T00:00:00"/>
        <d v="2024-09-20T00:00:00"/>
        <d v="2024-02-19T00:00:00"/>
        <d v="2024-05-10T00:00:00"/>
        <d v="2024-01-27T00:00:00"/>
        <d v="2024-08-17T00:00:00"/>
        <d v="2024-10-30T00:00:00"/>
        <d v="2024-12-18T00:00:00"/>
        <d v="2024-01-07T00:00:00"/>
        <d v="2024-06-04T00:00:00"/>
        <d v="2024-11-05T00:00:00"/>
        <d v="2024-04-27T00:00:00"/>
        <d v="2024-10-14T00:00:00"/>
        <d v="2024-02-27T00:00:00"/>
        <d v="2024-07-16T00:00:00"/>
        <d v="2024-06-14T00:00:00"/>
        <d v="2024-01-03T00:00:00"/>
        <d v="2024-02-23T00:00:00"/>
        <d v="2024-04-09T00:00:00"/>
        <d v="2024-05-07T00:00:00"/>
        <d v="2024-01-15T00:00:00"/>
        <d v="2024-12-07T00:00:00"/>
        <d v="2024-03-31T00:00:00"/>
        <d v="2024-02-11T00:00:00"/>
        <d v="2024-06-13T00:00:00"/>
        <d v="2024-01-04T00:00:00"/>
        <d v="2024-08-28T00:00:00"/>
        <d v="2024-09-29T00:00:00"/>
        <d v="2024-09-04T00:00:00"/>
        <d v="2024-11-09T00:00:00"/>
        <d v="2024-06-17T00:00:00"/>
        <d v="2024-09-03T00:00:00"/>
        <d v="2024-01-29T00:00:00"/>
        <d v="2024-02-28T00:00:00"/>
        <d v="2024-07-19T00:00:00"/>
        <d v="2024-07-17T00:00:00"/>
        <d v="2024-10-26T00:00:00"/>
        <d v="2024-01-28T00:00:00"/>
        <d v="2024-08-23T00:00:00"/>
        <d v="2024-10-07T00:00:00"/>
        <d v="2024-12-11T00:00:00"/>
        <d v="2024-01-24T00:00:00"/>
        <d v="2024-03-23T00:00:00"/>
        <d v="2024-02-13T00:00:00"/>
        <d v="2024-12-30T00:00:00"/>
        <d v="2024-08-30T00:00:00"/>
        <d v="2024-12-13T00:00:00"/>
        <d v="2024-12-27T00:00:00"/>
        <d v="2024-04-18T00:00:00"/>
        <d v="2024-11-12T00:00:00"/>
        <d v="2024-04-23T00:00:00"/>
        <d v="2024-07-31T00:00:00"/>
        <d v="2024-07-14T00:00:00"/>
        <d v="2024-01-02T00:00:00"/>
        <d v="2024-12-17T00:00:00"/>
        <d v="2024-09-07T00:00:00"/>
        <d v="2024-03-02T00:00:00"/>
        <d v="2024-07-07T00:00:00"/>
        <d v="2024-02-04T00:00:00"/>
        <d v="2024-12-01T00:00:00"/>
        <d v="2024-12-24T00:00:00"/>
        <d v="2024-09-10T00:00:00"/>
        <d v="2024-04-13T00:00:00"/>
        <d v="2024-12-10T00:00:00"/>
        <d v="2024-07-22T00:00:00"/>
        <d v="2024-02-15T00:00:00"/>
        <d v="2024-08-07T00:00:00"/>
        <d v="2024-01-30T00:00:00"/>
        <d v="2024-10-10T00:00:00"/>
        <d v="2024-08-18T00:00:00"/>
        <d v="2024-08-09T00:00:00"/>
        <d v="2024-04-25T00:00:00"/>
        <d v="2024-01-08T00:00:00"/>
        <d v="2024-04-04T00:00:00"/>
        <d v="2024-05-18T00:00:00"/>
        <d v="2024-05-06T00:00:00"/>
        <d v="2024-01-05T00:00:00"/>
        <d v="2024-12-12T00:00:00"/>
        <d v="2024-04-26T00:00:00"/>
        <d v="2024-02-16T00:00:00"/>
        <d v="2024-08-25T00:00:00"/>
        <d v="2024-01-19T00:00:00"/>
        <d v="2024-01-23T00:00:00"/>
        <d v="2024-11-23T00:00:00"/>
        <d v="2024-09-02T00:00:00"/>
        <d v="2024-07-02T00:00:00"/>
        <d v="2024-11-28T00:00:00"/>
        <d v="2024-12-09T00:00:00"/>
        <d v="2024-05-03T00:00:00"/>
        <d v="2024-04-21T00:00:00"/>
        <d v="2024-09-19T00:00:00"/>
        <d v="2024-01-09T00:00:00"/>
        <d v="2024-03-17T00:00:00"/>
        <d v="2024-07-08T00:00:00"/>
        <d v="2024-12-06T00:00:00"/>
        <d v="2024-06-07T00:00:00"/>
        <d v="2024-04-03T00:00:00"/>
        <d v="2024-12-19T00:00:00"/>
        <d v="2024-12-29T00:00:00"/>
        <d v="2024-02-17T00:00:00"/>
        <d v="2024-11-22T00:00:00"/>
        <d v="2024-10-25T00:00:00"/>
        <d v="2024-09-18T00:00:00"/>
        <d v="2024-05-22T00:00:00"/>
        <d v="2024-06-03T00:00:00"/>
        <d v="2024-08-16T00:00:00"/>
        <d v="2024-09-09T00:00:00"/>
        <d v="2024-10-15T00:00:00"/>
        <d v="2024-03-28T00:00:00"/>
        <d v="2024-09-26T00:00:00"/>
        <d v="2024-01-17T00:00:00"/>
        <d v="2024-09-28T00:00:00"/>
        <d v="2024-07-03T00:00:00"/>
        <d v="2024-03-13T00:00:00"/>
        <d v="2024-11-27T00:00:00"/>
        <d v="2024-05-29T00:00:00"/>
        <d v="2024-10-02T00:00:00"/>
        <d v="2024-02-09T00:00:00"/>
        <d v="2024-03-27T00:00:00"/>
        <d v="2024-07-30T00:00:00"/>
        <d v="2024-10-19T00:00:00"/>
        <d v="2024-05-28T00:00:00"/>
        <d v="2024-03-07T00:00:00"/>
        <d v="2024-04-05T00:00:00"/>
        <d v="2024-04-15T00:00:00"/>
        <d v="2024-01-16T00:00:00"/>
        <d v="2024-11-24T00:00:00"/>
        <d v="2024-10-16T00:00:00"/>
        <d v="2024-04-30T00:00:00"/>
        <d v="2024-03-15T00:00:00"/>
        <d v="2024-10-12T00:00:00"/>
        <d v="2024-12-05T00:00:00"/>
        <d v="2024-06-11T00:00:00"/>
        <d v="2024-09-27T00:00:00"/>
        <d v="2024-07-24T00:00:00"/>
        <d v="2024-08-06T00:00:00"/>
        <d v="2024-03-30T00:00:00"/>
        <d v="2024-02-02T00:00:00"/>
        <d v="2024-02-08T00:00:00"/>
        <d v="2024-02-14T00:00:00"/>
        <d v="2024-10-21T00:00:00"/>
        <d v="2024-12-21T00:00:00"/>
        <d v="2024-07-23T00:00:00"/>
        <d v="2024-03-18T00:00:00"/>
        <d v="2024-08-01T00:00:00"/>
        <d v="2024-04-01T00:00:00"/>
        <d v="2024-07-01T00:00:00"/>
        <d v="2024-03-10T00:00:00"/>
        <d v="2024-09-15T00:00:00"/>
        <d v="2024-07-12T00:00:00"/>
        <d v="2024-08-19T00:00:00"/>
        <d v="2024-01-11T00:00:00"/>
        <d v="2024-05-15T00:00:00"/>
        <d v="2024-04-11T00:00:00"/>
        <d v="2024-08-31T00:00:00"/>
        <d v="2024-10-23T00:00:00"/>
        <d v="2024-06-26T00:00:00"/>
        <d v="2024-09-17T00:00:00"/>
        <d v="2024-03-01T00:00:00"/>
        <d v="2024-04-22T00:00:00"/>
        <d v="2024-08-15T00:00:00"/>
        <d v="2024-08-10T00:00:00"/>
        <d v="2024-08-21T00:00:00"/>
        <d v="2024-11-17T00:00:00"/>
        <d v="2024-07-11T00:00:00"/>
        <d v="2024-10-01T00:00:00"/>
        <d v="2024-12-08T00:00:00"/>
        <d v="2024-01-20T00:00:00"/>
        <d v="2024-09-13T00:00:00"/>
        <d v="2024-06-25T00:00:00"/>
        <d v="2024-01-12T00:00:00"/>
        <d v="2024-05-09T00:00:00"/>
        <d v="2024-07-20T00:00:00"/>
        <d v="2024-11-14T00:00:00"/>
        <d v="2024-05-24T00:00:00"/>
        <d v="2024-10-03T00:00:00"/>
        <d v="2024-10-06T00:00:00"/>
        <d v="2024-03-06T00:00:00"/>
        <d v="2024-06-24T00:00:00"/>
        <d v="2024-01-13T00:00:00"/>
        <d v="2024-05-21T00:00:00"/>
        <d v="2024-07-04T00:00:00"/>
        <d v="2024-11-13T00:00:00"/>
        <d v="2024-07-18T00:00:00"/>
        <d v="2024-02-20T00:00:00"/>
        <d v="2024-04-28T00:00:00"/>
        <d v="2024-09-23T00:00:00"/>
        <d v="2024-10-09T00:00:00"/>
        <d v="2024-01-25T00:00:00"/>
        <d v="2024-06-08T00:00:00"/>
        <d v="2024-11-02T00:00:00"/>
        <d v="2024-03-26T00:00:00"/>
        <d v="2024-05-19T00:00:00"/>
        <d v="2024-06-28T00:00:00"/>
        <d v="2024-07-21T00:00:00"/>
        <d v="2024-12-04T00:00:00"/>
        <d v="2024-09-16T00:00:00"/>
        <d v="2024-05-11T00:00:00"/>
        <d v="2024-07-06T00:00:00"/>
        <d v="2024-03-05T00:00:00"/>
        <d v="2024-04-06T00:00:00"/>
        <d v="2024-02-05T00:00:00"/>
        <d v="2024-02-12T00:00:00"/>
        <d v="2024-02-25T00:00:00"/>
        <d v="2024-12-26T00:00:00"/>
        <d v="2024-09-05T00:00:00"/>
        <d v="2024-11-29T00:00:00"/>
        <d v="2024-06-01T00:00:00"/>
        <d v="2024-10-17T00:00:00"/>
        <d v="2024-12-25T00:00:00"/>
        <d v="2024-03-11T00:00:00"/>
        <d v="2024-03-21T00:00:00"/>
        <d v="2024-02-26T00:00:00"/>
        <d v="2024-05-26T00:00:00"/>
        <d v="2024-05-17T00:00:00"/>
        <d v="2024-10-18T00:00:00"/>
        <d v="2024-07-09T00:00:00"/>
        <d v="2024-06-02T00:00:00"/>
        <d v="2024-06-30T00:00:00"/>
        <d v="2024-08-12T00:00:00"/>
        <d v="2024-11-06T00:00:00"/>
        <d v="2024-04-17T00:00:00"/>
        <d v="2024-01-22T00:00:00"/>
        <d v="2024-10-13T00:00:00"/>
        <d v="2024-10-29T00:00:00"/>
        <d v="2024-01-01T00:00:00"/>
        <d v="2024-05-23T00:00:00"/>
        <d v="2024-11-07T00:00:00"/>
        <d v="2024-07-29T00:00:00"/>
        <d v="2024-07-28T00:00:00"/>
        <d v="2024-03-25T00:00:00"/>
        <d v="2024-05-25T00:00:00"/>
        <d v="2024-03-08T00:00:00"/>
        <d v="2024-02-03T00:00:00"/>
        <d v="2024-09-01T00:00:00"/>
        <d v="2024-11-25T00:00:00"/>
        <d v="2024-08-22T00:00:00"/>
        <d v="2024-06-09T00:00:00"/>
        <d v="2024-01-14T00:00:00"/>
        <d v="2024-04-02T00:00:00"/>
        <d v="2024-09-21T00:00:00"/>
        <d v="2024-12-16T00:00:00"/>
        <d v="2024-09-08T00:00:00"/>
        <d v="2024-06-21T00:00:00"/>
      </sharedItems>
      <fieldGroup par="18"/>
    </cacheField>
    <cacheField name="customer_id" numFmtId="0">
      <sharedItems/>
    </cacheField>
    <cacheField name="product_id" numFmtId="0">
      <sharedItems/>
    </cacheField>
    <cacheField name="sales_rep_id" numFmtId="0">
      <sharedItems count="30">
        <s v="R007"/>
        <s v="R005"/>
        <s v="R014"/>
        <s v="R006"/>
        <s v="R008"/>
        <s v="R025"/>
        <s v="R024"/>
        <s v="R019"/>
        <s v="R028"/>
        <s v="R010"/>
        <s v="R004"/>
        <s v="R003"/>
        <s v="R023"/>
        <s v="R021"/>
        <s v="R030"/>
        <s v="R015"/>
        <s v="R020"/>
        <s v="R026"/>
        <s v="R009"/>
        <s v="R001"/>
        <s v="R029"/>
        <s v="R017"/>
        <s v="R013"/>
        <s v="R011"/>
        <s v="R022"/>
        <s v="R002"/>
        <s v="R018"/>
        <s v="R012"/>
        <s v="R027"/>
        <s v="R016"/>
      </sharedItems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containsInteger="1" minValue="190" maxValue="6940"/>
    </cacheField>
    <cacheField name="discount_pct" numFmtId="0">
      <sharedItems containsSemiMixedTypes="0" containsString="0" containsNumber="1" minValue="0.1" maxValue="30"/>
    </cacheField>
    <cacheField name="final_amount" numFmtId="0">
      <sharedItems containsSemiMixedTypes="0" containsString="0" containsNumber="1" minValue="150.66999999999999" maxValue="68081.399999999994"/>
    </cacheField>
    <cacheField name="payment_status" numFmtId="0">
      <sharedItems/>
    </cacheField>
    <cacheField name="ship_city" numFmtId="0">
      <sharedItems/>
    </cacheField>
    <cacheField name="dup_flag" numFmtId="0">
      <sharedItems containsSemiMixedTypes="0" containsString="0" containsNumber="1" containsInteger="1" minValue="0" maxValue="1"/>
    </cacheField>
    <cacheField name="is_active" numFmtId="0">
      <sharedItems/>
    </cacheField>
    <cacheField name="category" numFmtId="0">
      <sharedItems count="6">
        <s v="Apparel"/>
        <s v="Sports"/>
        <s v="Grocery"/>
        <s v="Home"/>
        <s v="Electronics"/>
        <s v="Beauty"/>
      </sharedItems>
    </cacheField>
    <cacheField name="segment" numFmtId="0">
      <sharedItems/>
    </cacheField>
    <cacheField name="age" numFmtId="0">
      <sharedItems containsMixedTypes="1" containsNumber="1" containsInteger="1" minValue="22" maxValue="65"/>
    </cacheField>
    <cacheField name="region" numFmtId="0">
      <sharedItems count="4">
        <s v="North"/>
        <s v="South"/>
        <s v="West"/>
        <s v="East"/>
      </sharedItems>
    </cacheField>
    <cacheField name="unit_cost" numFmtId="0">
      <sharedItems containsSemiMixedTypes="0" containsString="0" containsNumber="1" containsInteger="1" minValue="128" maxValue="2911"/>
    </cacheField>
    <cacheField name="Months (order_date)" numFmtId="0" databaseField="0">
      <fieldGroup base="1">
        <rangePr groupBy="months" startDate="2024-01-01T00:00:00" endDate="2024-12-31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ORD-00001"/>
    <x v="0"/>
    <s v="CUST-0243"/>
    <s v="PROD-014"/>
    <x v="0"/>
    <n v="8"/>
    <n v="3620"/>
    <n v="15.4"/>
    <n v="24500.16"/>
    <s v="Completed"/>
    <s v="Pune"/>
    <n v="0"/>
    <b v="1"/>
    <x v="0"/>
    <s v="SMB"/>
    <n v="44"/>
    <x v="0"/>
    <n v="2509"/>
  </r>
  <r>
    <s v="ORD-00002"/>
    <x v="1"/>
    <s v="CUST-0202"/>
    <s v="PROD-020"/>
    <x v="1"/>
    <n v="2"/>
    <n v="820"/>
    <n v="10.8"/>
    <n v="1462.88"/>
    <s v="Pending"/>
    <s v="Chennai"/>
    <n v="0"/>
    <b v="1"/>
    <x v="0"/>
    <s v="Retail"/>
    <n v="39"/>
    <x v="0"/>
    <n v="391"/>
  </r>
  <r>
    <s v="ORD-00003"/>
    <x v="2"/>
    <s v="CUST-0098"/>
    <s v="PROD-053"/>
    <x v="2"/>
    <n v="8"/>
    <n v="470"/>
    <n v="3.3"/>
    <n v="3635.92"/>
    <s v="Pending"/>
    <s v="Delhi"/>
    <n v="0"/>
    <b v="0"/>
    <x v="1"/>
    <s v="Retail"/>
    <n v="52"/>
    <x v="1"/>
    <n v="302"/>
  </r>
  <r>
    <s v="ORD-00004"/>
    <x v="3"/>
    <s v="CUST-0071"/>
    <s v="PROD-028"/>
    <x v="3"/>
    <n v="1"/>
    <n v="3660"/>
    <n v="15.7"/>
    <n v="3085.38"/>
    <s v="Completed"/>
    <s v="Delhi"/>
    <n v="0"/>
    <b v="0"/>
    <x v="2"/>
    <s v="Corporate"/>
    <n v="46"/>
    <x v="0"/>
    <n v="2214"/>
  </r>
  <r>
    <s v="ORD-00005"/>
    <x v="4"/>
    <s v="CUST-0180"/>
    <s v="PROD-012"/>
    <x v="4"/>
    <n v="1"/>
    <n v="3160"/>
    <n v="26"/>
    <n v="2338.4"/>
    <s v="Completed"/>
    <s v="Chennai"/>
    <n v="0"/>
    <b v="1"/>
    <x v="0"/>
    <s v="Retail"/>
    <n v="36"/>
    <x v="0"/>
    <n v="1886"/>
  </r>
  <r>
    <s v="ORD-00006"/>
    <x v="5"/>
    <s v="CUST-0275"/>
    <s v="PROD-032"/>
    <x v="5"/>
    <n v="4"/>
    <n v="370"/>
    <n v="29"/>
    <n v="1050.8"/>
    <s v="Completed"/>
    <s v="Mumbai"/>
    <n v="0"/>
    <b v="1"/>
    <x v="3"/>
    <s v="Retail"/>
    <n v="36"/>
    <x v="2"/>
    <n v="288"/>
  </r>
  <r>
    <s v="ORD-00007"/>
    <x v="6"/>
    <s v="CUST-0293"/>
    <s v="PROD-057"/>
    <x v="6"/>
    <n v="3"/>
    <n v="960"/>
    <n v="5.8"/>
    <n v="2712.96"/>
    <s v="Completed"/>
    <s v="Bengaluru"/>
    <n v="0"/>
    <b v="1"/>
    <x v="1"/>
    <s v="Retail"/>
    <n v="27"/>
    <x v="2"/>
    <n v="705"/>
  </r>
  <r>
    <s v="ORD-00008"/>
    <x v="7"/>
    <s v="CUST-0281"/>
    <s v="PROD-007"/>
    <x v="7"/>
    <n v="8"/>
    <n v="1430"/>
    <n v="2.4"/>
    <n v="11165.44"/>
    <s v="Completed"/>
    <s v="Bengaluru"/>
    <n v="0"/>
    <b v="1"/>
    <x v="4"/>
    <s v="Corporate"/>
    <n v="57"/>
    <x v="3"/>
    <n v="861"/>
  </r>
  <r>
    <s v="ORD-00009"/>
    <x v="0"/>
    <s v="CUST-0260"/>
    <s v="PROD-038"/>
    <x v="4"/>
    <n v="3"/>
    <n v="5490"/>
    <n v="14.2"/>
    <n v="14131.26"/>
    <s v="Completed"/>
    <s v="Bengaluru"/>
    <n v="0"/>
    <b v="1"/>
    <x v="3"/>
    <s v="Retail"/>
    <n v="42"/>
    <x v="0"/>
    <n v="2549"/>
  </r>
  <r>
    <s v="ORD-00010"/>
    <x v="8"/>
    <s v="CUST-0147"/>
    <s v="PROD-030"/>
    <x v="8"/>
    <n v="3"/>
    <n v="970"/>
    <n v="1.2"/>
    <n v="2875.08"/>
    <s v="Completed"/>
    <s v="Pune"/>
    <n v="0"/>
    <b v="1"/>
    <x v="2"/>
    <s v="Retail"/>
    <n v="56"/>
    <x v="2"/>
    <n v="434"/>
  </r>
  <r>
    <s v="ORD-00011"/>
    <x v="9"/>
    <s v="CUST-0204"/>
    <s v="PROD-024"/>
    <x v="9"/>
    <n v="7"/>
    <n v="2270"/>
    <n v="7.1"/>
    <n v="14761.81"/>
    <s v="Pending"/>
    <s v="Hyderabad"/>
    <n v="0"/>
    <b v="1"/>
    <x v="2"/>
    <s v="Retail"/>
    <n v="60"/>
    <x v="1"/>
    <n v="1203"/>
  </r>
  <r>
    <s v="ORD-00012"/>
    <x v="10"/>
    <s v="CUST-0147"/>
    <s v="PROD-010"/>
    <x v="6"/>
    <n v="9"/>
    <n v="2640"/>
    <n v="21.7"/>
    <n v="18604.080000000002"/>
    <s v="Completed"/>
    <s v="Pune"/>
    <n v="0"/>
    <b v="1"/>
    <x v="4"/>
    <s v="Retail"/>
    <n v="56"/>
    <x v="2"/>
    <n v="1149"/>
  </r>
  <r>
    <s v="ORD-00013"/>
    <x v="11"/>
    <s v="CUST-0280"/>
    <s v="PROD-002"/>
    <x v="10"/>
    <n v="3"/>
    <n v="2600"/>
    <n v="4.3"/>
    <n v="7464.6"/>
    <s v="Cancelled"/>
    <s v="Delhi"/>
    <n v="0"/>
    <b v="1"/>
    <x v="4"/>
    <s v="SMB"/>
    <n v="27"/>
    <x v="0"/>
    <n v="1052"/>
  </r>
  <r>
    <s v="ORD-00014"/>
    <x v="12"/>
    <s v="CUST-0008"/>
    <s v="PROD-036"/>
    <x v="5"/>
    <n v="3"/>
    <n v="3250"/>
    <n v="14.1"/>
    <n v="8375.25"/>
    <s v="Refunded"/>
    <s v="Pune"/>
    <n v="0"/>
    <b v="1"/>
    <x v="3"/>
    <s v="SMB"/>
    <n v="39"/>
    <x v="2"/>
    <n v="1556"/>
  </r>
  <r>
    <s v="ORD-00015"/>
    <x v="13"/>
    <s v="CUST-0052"/>
    <s v="PROD-060"/>
    <x v="11"/>
    <n v="1"/>
    <n v="190"/>
    <n v="20.7"/>
    <n v="150.66999999999999"/>
    <s v="Completed"/>
    <s v="Pune"/>
    <n v="0"/>
    <b v="1"/>
    <x v="1"/>
    <s v="Retail"/>
    <n v="38"/>
    <x v="0"/>
    <n v="147"/>
  </r>
  <r>
    <s v="ORD-00016"/>
    <x v="14"/>
    <s v="CUST-0184"/>
    <s v="PROD-058"/>
    <x v="2"/>
    <n v="7"/>
    <n v="2400"/>
    <n v="10.199999999999999"/>
    <n v="15086.4"/>
    <s v="Pending"/>
    <s v="Pune"/>
    <n v="0"/>
    <b v="1"/>
    <x v="1"/>
    <s v="Retail"/>
    <n v="63"/>
    <x v="1"/>
    <n v="974"/>
  </r>
  <r>
    <s v="ORD-00017"/>
    <x v="15"/>
    <s v="CUST-0056"/>
    <s v="PROD-028"/>
    <x v="12"/>
    <n v="4"/>
    <n v="3660"/>
    <n v="2.6"/>
    <n v="14259.36"/>
    <s v="Completed"/>
    <s v="Bengaluru"/>
    <n v="0"/>
    <b v="0"/>
    <x v="2"/>
    <s v="SMB"/>
    <n v="46"/>
    <x v="3"/>
    <n v="2214"/>
  </r>
  <r>
    <s v="ORD-00018"/>
    <x v="16"/>
    <s v="CUST-0273"/>
    <s v="PROD-047"/>
    <x v="13"/>
    <n v="8"/>
    <n v="3450"/>
    <n v="18.5"/>
    <n v="22494"/>
    <s v="Completed"/>
    <s v="Hyderabad"/>
    <n v="0"/>
    <b v="1"/>
    <x v="5"/>
    <s v="Corporate"/>
    <n v="32"/>
    <x v="3"/>
    <n v="2420"/>
  </r>
  <r>
    <s v="ORD-00019"/>
    <x v="17"/>
    <s v="CUST-0182"/>
    <s v="PROD-051"/>
    <x v="12"/>
    <n v="5"/>
    <n v="3450"/>
    <n v="7.3"/>
    <n v="15990.75"/>
    <s v="Completed"/>
    <s v="Mumbai"/>
    <n v="0"/>
    <b v="1"/>
    <x v="1"/>
    <s v="Retail"/>
    <n v="54"/>
    <x v="3"/>
    <n v="2467"/>
  </r>
  <r>
    <s v="ORD-00020"/>
    <x v="18"/>
    <s v="CUST-0265"/>
    <s v="PROD-040"/>
    <x v="12"/>
    <n v="8"/>
    <n v="1080"/>
    <n v="2.2000000000000002"/>
    <n v="8449.92"/>
    <s v="Completed"/>
    <s v="Chennai"/>
    <n v="0"/>
    <b v="1"/>
    <x v="3"/>
    <s v="Retail"/>
    <n v="49"/>
    <x v="3"/>
    <n v="519"/>
  </r>
  <r>
    <s v="ORD-00021"/>
    <x v="19"/>
    <s v="CUST-0159"/>
    <s v="PROD-019"/>
    <x v="3"/>
    <n v="7"/>
    <n v="2480"/>
    <n v="28.7"/>
    <n v="12377.68"/>
    <s v="Completed"/>
    <s v="Hyderabad"/>
    <n v="0"/>
    <b v="1"/>
    <x v="0"/>
    <s v="Retail"/>
    <n v="32"/>
    <x v="0"/>
    <n v="1173"/>
  </r>
  <r>
    <s v="ORD-00022"/>
    <x v="20"/>
    <s v="CUST-0259"/>
    <s v="PROD-036"/>
    <x v="14"/>
    <n v="4"/>
    <n v="3250"/>
    <n v="24.6"/>
    <n v="9802"/>
    <s v="Completed"/>
    <s v="Mumbai"/>
    <n v="0"/>
    <b v="1"/>
    <x v="3"/>
    <s v="Retail"/>
    <n v="34"/>
    <x v="2"/>
    <n v="1556"/>
  </r>
  <r>
    <s v="ORD-00023"/>
    <x v="21"/>
    <s v="CUST-0107"/>
    <s v="PROD-015"/>
    <x v="14"/>
    <n v="9"/>
    <n v="2720"/>
    <n v="26.2"/>
    <n v="18066.240000000002"/>
    <s v="Completed"/>
    <s v="Pune"/>
    <n v="0"/>
    <b v="1"/>
    <x v="0"/>
    <s v="Retail"/>
    <n v="50"/>
    <x v="2"/>
    <n v="1962"/>
  </r>
  <r>
    <s v="ORD-00024"/>
    <x v="22"/>
    <s v="CUST-0101"/>
    <s v="PROD-044"/>
    <x v="11"/>
    <n v="2"/>
    <n v="1650"/>
    <n v="9.4"/>
    <n v="2989.8"/>
    <s v="Completed"/>
    <s v="Hyderabad"/>
    <n v="0"/>
    <b v="1"/>
    <x v="5"/>
    <s v="SMB"/>
    <n v="40"/>
    <x v="0"/>
    <n v="1222"/>
  </r>
  <r>
    <s v="ORD-00025"/>
    <x v="18"/>
    <s v="CUST-0142"/>
    <s v="PROD-043"/>
    <x v="12"/>
    <n v="6"/>
    <n v="3350"/>
    <n v="6.1"/>
    <n v="18873.900000000001"/>
    <s v="Pending"/>
    <s v="Chennai"/>
    <n v="0"/>
    <b v="1"/>
    <x v="5"/>
    <s v="Corporate"/>
    <n v="55"/>
    <x v="3"/>
    <n v="1728"/>
  </r>
  <r>
    <s v="ORD-00026"/>
    <x v="23"/>
    <s v="CUST-0250"/>
    <s v="PROD-054"/>
    <x v="7"/>
    <n v="2"/>
    <n v="1010"/>
    <n v="16.5"/>
    <n v="1686.7"/>
    <s v="Cancelled"/>
    <s v="Delhi"/>
    <n v="0"/>
    <b v="1"/>
    <x v="1"/>
    <s v="Retail"/>
    <n v="31"/>
    <x v="3"/>
    <n v="516"/>
  </r>
  <r>
    <s v="ORD-00027"/>
    <x v="24"/>
    <s v="CUST-0098"/>
    <s v="PROD-046"/>
    <x v="3"/>
    <n v="5"/>
    <n v="4880"/>
    <n v="23.6"/>
    <n v="18641.599999999999"/>
    <s v="Completed"/>
    <s v="Delhi"/>
    <n v="0"/>
    <b v="1"/>
    <x v="5"/>
    <s v="Retail"/>
    <n v="52"/>
    <x v="0"/>
    <n v="2768"/>
  </r>
  <r>
    <s v="ORD-00028"/>
    <x v="25"/>
    <s v="CUST-0143"/>
    <s v="PROD-003"/>
    <x v="15"/>
    <n v="7"/>
    <n v="3570"/>
    <n v="5.8"/>
    <n v="23540.58"/>
    <s v="Cancelled"/>
    <s v="Chennai"/>
    <n v="0"/>
    <b v="1"/>
    <x v="4"/>
    <s v="SMB"/>
    <n v="52"/>
    <x v="1"/>
    <n v="1665"/>
  </r>
  <r>
    <s v="ORD-00029"/>
    <x v="26"/>
    <s v="CUST-0086"/>
    <s v="PROD-048"/>
    <x v="16"/>
    <n v="9"/>
    <n v="5100"/>
    <n v="16.7"/>
    <n v="38234.699999999997"/>
    <s v="Completed"/>
    <s v="Hyderabad"/>
    <n v="0"/>
    <b v="1"/>
    <x v="5"/>
    <s v="Corporate"/>
    <n v="56"/>
    <x v="3"/>
    <n v="2237"/>
  </r>
  <r>
    <s v="ORD-00030"/>
    <x v="27"/>
    <s v="CUST-0006"/>
    <s v="PROD-055"/>
    <x v="1"/>
    <n v="3"/>
    <n v="2860"/>
    <n v="25.8"/>
    <n v="6366.36"/>
    <s v="Completed"/>
    <s v="Pune"/>
    <n v="0"/>
    <b v="1"/>
    <x v="1"/>
    <s v="SMB"/>
    <n v="44"/>
    <x v="0"/>
    <n v="2028"/>
  </r>
  <r>
    <s v="ORD-00031"/>
    <x v="28"/>
    <s v="CUST-0241"/>
    <s v="PROD-030"/>
    <x v="3"/>
    <n v="7"/>
    <n v="970"/>
    <n v="29.8"/>
    <n v="4766.58"/>
    <s v="Completed"/>
    <s v="Pune"/>
    <n v="0"/>
    <b v="1"/>
    <x v="2"/>
    <s v="Corporate"/>
    <n v="47"/>
    <x v="0"/>
    <n v="434"/>
  </r>
  <r>
    <s v="ORD-00032"/>
    <x v="29"/>
    <s v="CUST-0035"/>
    <s v="PROD-021"/>
    <x v="17"/>
    <n v="4"/>
    <n v="2760"/>
    <n v="5.9"/>
    <n v="10388.64"/>
    <s v="Completed"/>
    <s v="Hyderabad"/>
    <n v="0"/>
    <b v="1"/>
    <x v="2"/>
    <s v="Retail"/>
    <n v="53"/>
    <x v="2"/>
    <n v="1435"/>
  </r>
  <r>
    <s v="ORD-00033"/>
    <x v="30"/>
    <s v="CUST-0273"/>
    <s v="PROD-037"/>
    <x v="18"/>
    <n v="10"/>
    <n v="660"/>
    <n v="18.3"/>
    <n v="5392.2"/>
    <s v="Pending"/>
    <s v="Hyderabad"/>
    <n v="0"/>
    <b v="1"/>
    <x v="3"/>
    <s v="Corporate"/>
    <n v="32"/>
    <x v="1"/>
    <n v="329"/>
  </r>
  <r>
    <s v="ORD-00034"/>
    <x v="31"/>
    <s v="CUST-0064"/>
    <s v="PROD-036"/>
    <x v="7"/>
    <n v="1"/>
    <n v="3250"/>
    <n v="10.7"/>
    <n v="2902.25"/>
    <s v="Completed"/>
    <s v="Hyderabad"/>
    <n v="0"/>
    <b v="1"/>
    <x v="3"/>
    <s v="SMB"/>
    <n v="40"/>
    <x v="3"/>
    <n v="1556"/>
  </r>
  <r>
    <s v="ORD-00035"/>
    <x v="32"/>
    <s v="CUST-0118"/>
    <s v="PROD-048"/>
    <x v="7"/>
    <n v="8"/>
    <n v="5100"/>
    <n v="26.4"/>
    <n v="30028.799999999999"/>
    <s v="Cancelled"/>
    <s v="Hyderabad"/>
    <n v="0"/>
    <b v="1"/>
    <x v="5"/>
    <s v="Retail"/>
    <n v="26"/>
    <x v="3"/>
    <n v="2237"/>
  </r>
  <r>
    <s v="ORD-00036"/>
    <x v="33"/>
    <s v="CUST-0013"/>
    <s v="PROD-040"/>
    <x v="13"/>
    <n v="1"/>
    <n v="1080"/>
    <n v="5.0999999999999996"/>
    <n v="1024.92"/>
    <s v="Completed"/>
    <s v="Delhi"/>
    <n v="0"/>
    <b v="1"/>
    <x v="3"/>
    <s v="Retail"/>
    <n v="41"/>
    <x v="3"/>
    <n v="519"/>
  </r>
  <r>
    <s v="ORD-00037"/>
    <x v="34"/>
    <s v="CUST-0177"/>
    <s v="PROD-038"/>
    <x v="18"/>
    <n v="2"/>
    <n v="5490"/>
    <n v="21.1"/>
    <n v="8663.2199999999993"/>
    <s v="Cancelled"/>
    <s v="Mumbai"/>
    <n v="0"/>
    <b v="1"/>
    <x v="3"/>
    <s v="SMB"/>
    <n v="36"/>
    <x v="1"/>
    <n v="2549"/>
  </r>
  <r>
    <s v="ORD-00038"/>
    <x v="35"/>
    <s v="CUST-0186"/>
    <s v="PROD-060"/>
    <x v="19"/>
    <n v="7"/>
    <n v="190"/>
    <n v="28.7"/>
    <n v="948.29"/>
    <s v="Completed"/>
    <s v="Bengaluru"/>
    <n v="0"/>
    <b v="1"/>
    <x v="1"/>
    <s v="Retail"/>
    <n v="42"/>
    <x v="0"/>
    <n v="147"/>
  </r>
  <r>
    <s v="ORD-00039"/>
    <x v="36"/>
    <s v="CUST-0069"/>
    <s v="PROD-058"/>
    <x v="15"/>
    <n v="6"/>
    <n v="2400"/>
    <n v="2.7"/>
    <n v="14011.2"/>
    <s v="Completed"/>
    <s v="Chennai"/>
    <n v="0"/>
    <b v="1"/>
    <x v="1"/>
    <s v="Retail"/>
    <n v="51"/>
    <x v="1"/>
    <n v="974"/>
  </r>
  <r>
    <s v="ORD-00040"/>
    <x v="37"/>
    <s v="CUST-0283"/>
    <s v="PROD-044"/>
    <x v="12"/>
    <n v="9"/>
    <n v="1650"/>
    <n v="11.6"/>
    <n v="13127.4"/>
    <s v="Completed"/>
    <s v="Delhi"/>
    <n v="0"/>
    <b v="1"/>
    <x v="5"/>
    <s v="SMB"/>
    <n v="50"/>
    <x v="3"/>
    <n v="1222"/>
  </r>
  <r>
    <s v="ORD-00041"/>
    <x v="38"/>
    <s v="CUST-9507"/>
    <s v="PROD-038"/>
    <x v="3"/>
    <n v="4"/>
    <n v="5490"/>
    <n v="12.8"/>
    <n v="19149.12"/>
    <s v="Cancelled"/>
    <s v="Chennai"/>
    <n v="0"/>
    <b v="1"/>
    <x v="3"/>
    <e v="#N/A"/>
    <e v="#N/A"/>
    <x v="0"/>
    <n v="2549"/>
  </r>
  <r>
    <s v="ORD-00042"/>
    <x v="39"/>
    <s v="CUST-0053"/>
    <s v="PROD-046"/>
    <x v="2"/>
    <n v="10"/>
    <n v="4880"/>
    <n v="12.7"/>
    <n v="42602.400000000001"/>
    <s v="Completed"/>
    <s v="Delhi"/>
    <n v="0"/>
    <b v="1"/>
    <x v="5"/>
    <s v="Retail"/>
    <n v="53"/>
    <x v="1"/>
    <n v="2768"/>
  </r>
  <r>
    <s v="ORD-00043"/>
    <x v="40"/>
    <s v="CUST-0222"/>
    <s v="PROD-031"/>
    <x v="7"/>
    <n v="2"/>
    <n v="3730"/>
    <n v="25.8"/>
    <n v="5535.32"/>
    <s v="Completed"/>
    <s v="Chennai"/>
    <n v="0"/>
    <b v="1"/>
    <x v="3"/>
    <s v="Retail"/>
    <n v="37"/>
    <x v="3"/>
    <n v="2135"/>
  </r>
  <r>
    <s v="ORD-00044"/>
    <x v="8"/>
    <s v="CUST-0095"/>
    <s v="PROD-047"/>
    <x v="20"/>
    <n v="4"/>
    <n v="3450"/>
    <n v="20.7"/>
    <n v="10943.4"/>
    <s v="Completed"/>
    <s v="Mumbai"/>
    <n v="0"/>
    <b v="1"/>
    <x v="5"/>
    <s v="SMB"/>
    <n v="54"/>
    <x v="2"/>
    <n v="2420"/>
  </r>
  <r>
    <s v="ORD-00045"/>
    <x v="41"/>
    <s v="CUST-0152"/>
    <s v="PROD-019"/>
    <x v="7"/>
    <n v="2"/>
    <n v="2480"/>
    <n v="17.3"/>
    <n v="4101.92"/>
    <s v="Completed"/>
    <s v="Bengaluru"/>
    <n v="0"/>
    <b v="1"/>
    <x v="0"/>
    <s v="SMB"/>
    <n v="64"/>
    <x v="3"/>
    <n v="1173"/>
  </r>
  <r>
    <s v="ORD-00046"/>
    <x v="42"/>
    <s v="CUST-0291"/>
    <s v="PROD-027"/>
    <x v="15"/>
    <n v="9"/>
    <n v="3780"/>
    <n v="8.6999999999999993"/>
    <n v="31060.26"/>
    <s v="Pending"/>
    <s v="Pune"/>
    <n v="0"/>
    <b v="1"/>
    <x v="2"/>
    <s v="SMB"/>
    <n v="29"/>
    <x v="1"/>
    <n v="2436"/>
  </r>
  <r>
    <s v="ORD-00047"/>
    <x v="1"/>
    <s v="CUST-0112"/>
    <s v="PROD-013"/>
    <x v="21"/>
    <n v="4"/>
    <n v="3640"/>
    <n v="20.7"/>
    <n v="11546.08"/>
    <s v="Completed"/>
    <s v="Hyderabad"/>
    <n v="0"/>
    <b v="1"/>
    <x v="0"/>
    <s v="Retail"/>
    <n v="64"/>
    <x v="3"/>
    <n v="2611"/>
  </r>
  <r>
    <s v="ORD-00048"/>
    <x v="43"/>
    <s v="CUST-9800"/>
    <s v="PROD-050"/>
    <x v="11"/>
    <n v="8"/>
    <n v="6080"/>
    <n v="24.4"/>
    <n v="36771.839999999997"/>
    <s v="Completed"/>
    <s v="Pune"/>
    <n v="0"/>
    <b v="1"/>
    <x v="5"/>
    <e v="#N/A"/>
    <e v="#N/A"/>
    <x v="0"/>
    <n v="2617"/>
  </r>
  <r>
    <s v="ORD-00049"/>
    <x v="44"/>
    <s v="CUST-0143"/>
    <s v="PROD-030"/>
    <x v="0"/>
    <n v="10"/>
    <n v="970"/>
    <n v="0.6"/>
    <n v="9641.7999999999993"/>
    <s v="Cancelled"/>
    <s v="Chennai"/>
    <n v="0"/>
    <b v="1"/>
    <x v="2"/>
    <s v="SMB"/>
    <n v="52"/>
    <x v="0"/>
    <n v="434"/>
  </r>
  <r>
    <s v="ORD-00050"/>
    <x v="45"/>
    <s v="CUST-0226"/>
    <s v="PROD-022"/>
    <x v="8"/>
    <n v="1"/>
    <n v="2270"/>
    <n v="11.5"/>
    <n v="2008.95"/>
    <s v="Pending"/>
    <s v="Chennai"/>
    <n v="0"/>
    <b v="1"/>
    <x v="2"/>
    <s v="Corporate"/>
    <n v="52"/>
    <x v="2"/>
    <n v="1412"/>
  </r>
  <r>
    <s v="ORD-00051"/>
    <x v="46"/>
    <s v="CUST-0234"/>
    <s v="PROD-004"/>
    <x v="12"/>
    <n v="7"/>
    <n v="3870"/>
    <n v="0.3"/>
    <n v="27008.73"/>
    <s v="Cancelled"/>
    <s v="Bengaluru"/>
    <n v="0"/>
    <b v="1"/>
    <x v="4"/>
    <s v="Retail"/>
    <n v="34"/>
    <x v="3"/>
    <n v="1559"/>
  </r>
  <r>
    <s v="ORD-00052"/>
    <x v="47"/>
    <s v="CUST-0176"/>
    <s v="PROD-046"/>
    <x v="18"/>
    <n v="1"/>
    <n v="4880"/>
    <n v="23.9"/>
    <n v="3713.68"/>
    <s v="Pending"/>
    <s v="Bengaluru"/>
    <n v="0"/>
    <b v="1"/>
    <x v="5"/>
    <s v="SMB"/>
    <n v="34"/>
    <x v="1"/>
    <n v="2768"/>
  </r>
  <r>
    <s v="ORD-00053"/>
    <x v="48"/>
    <s v="CUST-0180"/>
    <s v="PROD-027"/>
    <x v="22"/>
    <n v="5"/>
    <n v="3780"/>
    <n v="18.5"/>
    <n v="15403.5"/>
    <s v="Completed"/>
    <s v="Chennai"/>
    <n v="0"/>
    <b v="1"/>
    <x v="2"/>
    <s v="Retail"/>
    <n v="36"/>
    <x v="1"/>
    <n v="2436"/>
  </r>
  <r>
    <s v="ORD-00054"/>
    <x v="49"/>
    <s v="CUST-0088"/>
    <s v="PROD-036"/>
    <x v="16"/>
    <n v="10"/>
    <n v="3250"/>
    <n v="25.5"/>
    <n v="24212.5"/>
    <s v="Completed"/>
    <s v="Chennai"/>
    <n v="0"/>
    <b v="1"/>
    <x v="3"/>
    <s v="Retail"/>
    <n v="24"/>
    <x v="3"/>
    <n v="1556"/>
  </r>
  <r>
    <s v="ORD-00055"/>
    <x v="50"/>
    <s v="CUST-0267"/>
    <s v="PROD-013"/>
    <x v="0"/>
    <n v="4"/>
    <n v="3640"/>
    <n v="9.9"/>
    <n v="13118.56"/>
    <s v="Refunded"/>
    <s v="Hyderabad"/>
    <n v="0"/>
    <b v="1"/>
    <x v="0"/>
    <s v="Retail"/>
    <n v="27"/>
    <x v="0"/>
    <n v="2611"/>
  </r>
  <r>
    <s v="ORD-00056"/>
    <x v="51"/>
    <s v="CUST-0194"/>
    <s v="PROD-041"/>
    <x v="12"/>
    <n v="4"/>
    <n v="1540"/>
    <n v="28.8"/>
    <n v="4385.92"/>
    <s v="Completed"/>
    <s v="Delhi"/>
    <n v="0"/>
    <b v="0"/>
    <x v="5"/>
    <s v="SMB"/>
    <n v="55"/>
    <x v="3"/>
    <n v="647"/>
  </r>
  <r>
    <s v="ORD-00057"/>
    <x v="48"/>
    <s v="CUST-0261"/>
    <s v="PROD-040"/>
    <x v="21"/>
    <n v="1"/>
    <n v="1080"/>
    <n v="23"/>
    <n v="831.6"/>
    <s v="Cancelled"/>
    <s v="Delhi"/>
    <n v="0"/>
    <b v="1"/>
    <x v="3"/>
    <s v="Retail"/>
    <n v="54"/>
    <x v="3"/>
    <n v="519"/>
  </r>
  <r>
    <s v="ORD-00058"/>
    <x v="52"/>
    <s v="CUST-0031"/>
    <s v="PROD-026"/>
    <x v="0"/>
    <n v="1"/>
    <n v="4070"/>
    <n v="6.7"/>
    <n v="3797.31"/>
    <s v="Completed"/>
    <s v="Hyderabad"/>
    <n v="0"/>
    <b v="1"/>
    <x v="2"/>
    <s v="Retail"/>
    <n v="53"/>
    <x v="0"/>
    <n v="2027"/>
  </r>
  <r>
    <s v="ORD-00059"/>
    <x v="53"/>
    <s v="CUST-0175"/>
    <s v="PROD-009"/>
    <x v="14"/>
    <n v="2"/>
    <n v="1220"/>
    <n v="11.7"/>
    <n v="2154.52"/>
    <s v="Cancelled"/>
    <s v="Delhi"/>
    <n v="0"/>
    <b v="1"/>
    <x v="4"/>
    <s v="Corporate"/>
    <n v="55"/>
    <x v="2"/>
    <n v="517"/>
  </r>
  <r>
    <s v="ORD-00060"/>
    <x v="54"/>
    <s v="CUST-0263"/>
    <s v="PROD-039"/>
    <x v="20"/>
    <n v="4"/>
    <n v="4610"/>
    <n v="26.9"/>
    <n v="13479.64"/>
    <s v="Pending"/>
    <s v="Mumbai"/>
    <n v="0"/>
    <b v="1"/>
    <x v="3"/>
    <s v="Retail"/>
    <n v="40"/>
    <x v="2"/>
    <n v="1850"/>
  </r>
  <r>
    <s v="ORD-00061"/>
    <x v="55"/>
    <s v="CUST-0203"/>
    <s v="PROD-040"/>
    <x v="23"/>
    <n v="8"/>
    <n v="1080"/>
    <n v="28.4"/>
    <n v="6186.24"/>
    <s v="Completed"/>
    <s v="Chennai"/>
    <n v="0"/>
    <b v="1"/>
    <x v="3"/>
    <s v="SMB"/>
    <n v="55"/>
    <x v="1"/>
    <n v="519"/>
  </r>
  <r>
    <s v="ORD-00062"/>
    <x v="56"/>
    <s v="CUST-0258"/>
    <s v="PROD-045"/>
    <x v="3"/>
    <n v="10"/>
    <n v="3020"/>
    <n v="25.4"/>
    <n v="22529.200000000001"/>
    <s v="Completed"/>
    <s v="Pune"/>
    <n v="0"/>
    <b v="1"/>
    <x v="5"/>
    <s v="Retail"/>
    <n v="44"/>
    <x v="0"/>
    <n v="1626"/>
  </r>
  <r>
    <s v="ORD-00063"/>
    <x v="57"/>
    <s v="CUST-0282"/>
    <s v="PROD-008"/>
    <x v="21"/>
    <n v="7"/>
    <n v="2660"/>
    <n v="5.3"/>
    <n v="17633.14"/>
    <s v="Completed"/>
    <s v="Hyderabad"/>
    <n v="0"/>
    <b v="0"/>
    <x v="4"/>
    <s v="Corporate"/>
    <n v="29"/>
    <x v="3"/>
    <n v="1259"/>
  </r>
  <r>
    <s v="ORD-00064"/>
    <x v="37"/>
    <s v="CUST-0168"/>
    <s v="PROD-005"/>
    <x v="11"/>
    <n v="9"/>
    <n v="300"/>
    <n v="25.3"/>
    <n v="2016.9"/>
    <s v="Completed"/>
    <s v="Pune"/>
    <n v="0"/>
    <b v="1"/>
    <x v="4"/>
    <s v="Retail"/>
    <n v="25"/>
    <x v="0"/>
    <n v="128"/>
  </r>
  <r>
    <s v="ORD-00065"/>
    <x v="58"/>
    <s v="CUST-0040"/>
    <s v="PROD-010"/>
    <x v="24"/>
    <n v="10"/>
    <n v="2640"/>
    <n v="18.7"/>
    <n v="21463.200000000001"/>
    <s v="Cancelled"/>
    <s v="Chennai"/>
    <n v="0"/>
    <b v="1"/>
    <x v="4"/>
    <s v="Retail"/>
    <n v="28"/>
    <x v="3"/>
    <n v="1149"/>
  </r>
  <r>
    <s v="ORD-00066"/>
    <x v="32"/>
    <s v="CUST-0283"/>
    <s v="PROD-020"/>
    <x v="16"/>
    <n v="8"/>
    <n v="820"/>
    <n v="24"/>
    <n v="4985.6000000000004"/>
    <s v="Completed"/>
    <s v="Delhi"/>
    <n v="0"/>
    <b v="1"/>
    <x v="0"/>
    <s v="SMB"/>
    <n v="50"/>
    <x v="3"/>
    <n v="391"/>
  </r>
  <r>
    <s v="ORD-00067"/>
    <x v="59"/>
    <s v="CUST-0202"/>
    <s v="PROD-021"/>
    <x v="8"/>
    <n v="1"/>
    <n v="2760"/>
    <n v="4.8"/>
    <n v="2627.52"/>
    <s v="Completed"/>
    <s v="Chennai"/>
    <n v="0"/>
    <b v="1"/>
    <x v="2"/>
    <s v="Retail"/>
    <n v="39"/>
    <x v="2"/>
    <n v="1435"/>
  </r>
  <r>
    <s v="ORD-00068"/>
    <x v="60"/>
    <s v="CUST-0161"/>
    <s v="PROD-014"/>
    <x v="21"/>
    <n v="2"/>
    <n v="3620"/>
    <n v="19.100000000000001"/>
    <n v="5857.16"/>
    <s v="Completed"/>
    <s v="Chennai"/>
    <n v="0"/>
    <b v="1"/>
    <x v="0"/>
    <s v="Retail"/>
    <n v="38"/>
    <x v="3"/>
    <n v="2509"/>
  </r>
  <r>
    <s v="ORD-00069"/>
    <x v="61"/>
    <s v="CUST-0033"/>
    <s v="PROD-016"/>
    <x v="5"/>
    <n v="1"/>
    <n v="620"/>
    <n v="1"/>
    <n v="613.79999999999995"/>
    <s v="Completed"/>
    <s v="Delhi"/>
    <n v="0"/>
    <b v="1"/>
    <x v="0"/>
    <s v="Retail"/>
    <n v="35"/>
    <x v="2"/>
    <n v="396"/>
  </r>
  <r>
    <s v="ORD-00070"/>
    <x v="62"/>
    <s v="CUST-0191"/>
    <s v="PROD-033"/>
    <x v="14"/>
    <n v="1"/>
    <n v="2030"/>
    <n v="3.3"/>
    <n v="1963.01"/>
    <s v="Completed"/>
    <s v="Hyderabad"/>
    <n v="0"/>
    <b v="1"/>
    <x v="3"/>
    <s v="SMB"/>
    <n v="43"/>
    <x v="2"/>
    <n v="1143"/>
  </r>
  <r>
    <s v="ORD-00071"/>
    <x v="19"/>
    <s v="CUST-0180"/>
    <s v="PROD-012"/>
    <x v="25"/>
    <n v="10"/>
    <n v="3160"/>
    <n v="15.8"/>
    <n v="26607.200000000001"/>
    <s v="Completed"/>
    <s v="Chennai"/>
    <n v="0"/>
    <b v="1"/>
    <x v="0"/>
    <s v="Retail"/>
    <n v="36"/>
    <x v="0"/>
    <n v="1886"/>
  </r>
  <r>
    <s v="ORD-00072"/>
    <x v="63"/>
    <s v="CUST-0129"/>
    <s v="PROD-030"/>
    <x v="19"/>
    <n v="5"/>
    <n v="970"/>
    <n v="12.2"/>
    <n v="4258.3"/>
    <s v="Completed"/>
    <s v="Hyderabad"/>
    <n v="0"/>
    <b v="1"/>
    <x v="2"/>
    <s v="Retail"/>
    <n v="29"/>
    <x v="0"/>
    <n v="434"/>
  </r>
  <r>
    <s v="ORD-00073"/>
    <x v="64"/>
    <s v="CUST-0189"/>
    <s v="PROD-043"/>
    <x v="11"/>
    <n v="9"/>
    <n v="3350"/>
    <n v="25.8"/>
    <n v="22371.3"/>
    <s v="Pending"/>
    <s v="Chennai"/>
    <n v="0"/>
    <b v="1"/>
    <x v="5"/>
    <s v="Retail"/>
    <n v="41"/>
    <x v="0"/>
    <n v="1728"/>
  </r>
  <r>
    <s v="ORD-00074"/>
    <x v="65"/>
    <s v="CUST-0194"/>
    <s v="PROD-032"/>
    <x v="26"/>
    <n v="1"/>
    <n v="370"/>
    <n v="28.9"/>
    <n v="263.07"/>
    <s v="Completed"/>
    <s v="Delhi"/>
    <n v="0"/>
    <b v="1"/>
    <x v="3"/>
    <s v="SMB"/>
    <n v="55"/>
    <x v="3"/>
    <n v="288"/>
  </r>
  <r>
    <s v="ORD-00075"/>
    <x v="66"/>
    <s v="CUST-0200"/>
    <s v="PROD-030"/>
    <x v="9"/>
    <n v="3"/>
    <n v="970"/>
    <n v="4.3"/>
    <n v="2784.87"/>
    <s v="Cancelled"/>
    <s v="Hyderabad"/>
    <n v="0"/>
    <b v="1"/>
    <x v="2"/>
    <s v="Corporate"/>
    <n v="46"/>
    <x v="1"/>
    <n v="434"/>
  </r>
  <r>
    <s v="ORD-00076"/>
    <x v="67"/>
    <s v="CUST-0008"/>
    <s v="PROD-021"/>
    <x v="24"/>
    <n v="6"/>
    <n v="2760"/>
    <n v="19.899999999999999"/>
    <n v="13264.56"/>
    <s v="Pending"/>
    <s v="Pune"/>
    <n v="0"/>
    <b v="1"/>
    <x v="2"/>
    <s v="SMB"/>
    <n v="39"/>
    <x v="3"/>
    <n v="1435"/>
  </r>
  <r>
    <s v="ORD-00077"/>
    <x v="68"/>
    <s v="CUST-0051"/>
    <s v="PROD-021"/>
    <x v="7"/>
    <n v="7"/>
    <n v="2760"/>
    <n v="25.2"/>
    <n v="14451.36"/>
    <s v="Completed"/>
    <s v="Pune"/>
    <n v="0"/>
    <b v="1"/>
    <x v="2"/>
    <s v="SMB"/>
    <n v="54"/>
    <x v="3"/>
    <n v="1435"/>
  </r>
  <r>
    <s v="ORD-00078"/>
    <x v="69"/>
    <s v="CUST-0193"/>
    <s v="PROD-009"/>
    <x v="24"/>
    <n v="4"/>
    <n v="1220"/>
    <n v="8.4"/>
    <n v="4470.08"/>
    <s v="Completed"/>
    <s v="Bengaluru"/>
    <n v="0"/>
    <b v="1"/>
    <x v="4"/>
    <s v="Retail"/>
    <n v="42"/>
    <x v="3"/>
    <n v="517"/>
  </r>
  <r>
    <s v="ORD-00079"/>
    <x v="70"/>
    <s v="CUST-0020"/>
    <s v="PROD-002"/>
    <x v="8"/>
    <n v="2"/>
    <n v="2600"/>
    <n v="1.9"/>
    <n v="5101.2"/>
    <s v="Pending"/>
    <s v="Hyderabad"/>
    <n v="0"/>
    <b v="1"/>
    <x v="4"/>
    <s v="Retail"/>
    <n v="46"/>
    <x v="2"/>
    <n v="1052"/>
  </r>
  <r>
    <s v="ORD-00080"/>
    <x v="71"/>
    <s v="CUST-0230"/>
    <s v="PROD-026"/>
    <x v="14"/>
    <n v="9"/>
    <n v="4070"/>
    <n v="28.8"/>
    <n v="26080.560000000001"/>
    <s v="Completed"/>
    <s v="Pune"/>
    <n v="0"/>
    <b v="1"/>
    <x v="2"/>
    <s v="Corporate"/>
    <n v="33"/>
    <x v="2"/>
    <n v="2027"/>
  </r>
  <r>
    <s v="ORD-00081"/>
    <x v="50"/>
    <s v="CUST-0094"/>
    <s v="PROD-024"/>
    <x v="1"/>
    <n v="2"/>
    <n v="2270"/>
    <n v="18"/>
    <n v="3722.8"/>
    <s v="Refunded"/>
    <s v="Pune"/>
    <n v="0"/>
    <b v="1"/>
    <x v="2"/>
    <s v="SMB"/>
    <n v="60"/>
    <x v="0"/>
    <n v="1203"/>
  </r>
  <r>
    <s v="ORD-00082"/>
    <x v="72"/>
    <s v="CUST-0248"/>
    <s v="PROD-012"/>
    <x v="21"/>
    <n v="2"/>
    <n v="3160"/>
    <n v="18.3"/>
    <n v="5163.4399999999996"/>
    <s v="Completed"/>
    <s v="Chennai"/>
    <n v="0"/>
    <b v="1"/>
    <x v="0"/>
    <s v="SMB"/>
    <n v="57"/>
    <x v="3"/>
    <n v="1886"/>
  </r>
  <r>
    <s v="ORD-00083"/>
    <x v="73"/>
    <s v="CUST-0082"/>
    <s v="PROD-019"/>
    <x v="0"/>
    <n v="4"/>
    <n v="2480"/>
    <n v="1.1000000000000001"/>
    <n v="9810.8799999999992"/>
    <s v="Pending"/>
    <s v="Hyderabad"/>
    <n v="0"/>
    <b v="1"/>
    <x v="0"/>
    <s v="SMB"/>
    <n v="36"/>
    <x v="0"/>
    <n v="1173"/>
  </r>
  <r>
    <s v="ORD-00084"/>
    <x v="74"/>
    <s v="CUST-0078"/>
    <s v="PROD-008"/>
    <x v="17"/>
    <n v="1"/>
    <n v="2660"/>
    <n v="21"/>
    <n v="2101.4"/>
    <s v="Completed"/>
    <s v="Delhi"/>
    <n v="0"/>
    <b v="0"/>
    <x v="4"/>
    <s v="Retail"/>
    <n v="31"/>
    <x v="2"/>
    <n v="1259"/>
  </r>
  <r>
    <s v="ORD-00085"/>
    <x v="75"/>
    <s v="CUST-0032"/>
    <s v="PROD-045"/>
    <x v="27"/>
    <n v="5"/>
    <n v="3020"/>
    <n v="22.2"/>
    <n v="11747.8"/>
    <s v="Completed"/>
    <s v="Hyderabad"/>
    <n v="0"/>
    <b v="1"/>
    <x v="5"/>
    <s v="Retail"/>
    <n v="28"/>
    <x v="1"/>
    <n v="1626"/>
  </r>
  <r>
    <s v="ORD-00086"/>
    <x v="76"/>
    <s v="CUST-0006"/>
    <s v="PROD-016"/>
    <x v="14"/>
    <n v="9"/>
    <n v="620"/>
    <n v="23.3"/>
    <n v="4279.8599999999997"/>
    <s v="Completed"/>
    <s v="Pune"/>
    <n v="0"/>
    <b v="1"/>
    <x v="0"/>
    <s v="SMB"/>
    <n v="44"/>
    <x v="2"/>
    <n v="396"/>
  </r>
  <r>
    <s v="ORD-00087"/>
    <x v="77"/>
    <s v="CUST-0084"/>
    <s v="PROD-053"/>
    <x v="17"/>
    <n v="2"/>
    <n v="470"/>
    <n v="5.4"/>
    <n v="889.24"/>
    <s v="Completed"/>
    <s v="Chennai"/>
    <n v="0"/>
    <b v="0"/>
    <x v="1"/>
    <s v="Retail"/>
    <n v="28"/>
    <x v="2"/>
    <n v="302"/>
  </r>
  <r>
    <s v="ORD-00088"/>
    <x v="78"/>
    <s v="CUST-0107"/>
    <s v="PROD-007"/>
    <x v="9"/>
    <n v="3"/>
    <n v="1430"/>
    <n v="6.5"/>
    <n v="4011.15"/>
    <s v="Completed"/>
    <s v="Pune"/>
    <n v="0"/>
    <b v="1"/>
    <x v="4"/>
    <s v="Retail"/>
    <n v="50"/>
    <x v="1"/>
    <n v="861"/>
  </r>
  <r>
    <s v="ORD-00089"/>
    <x v="79"/>
    <s v="CUST-0108"/>
    <s v="PROD-016"/>
    <x v="10"/>
    <n v="6"/>
    <n v="620"/>
    <n v="2.6"/>
    <n v="3623.28"/>
    <s v="Completed"/>
    <s v="Bengaluru"/>
    <n v="0"/>
    <b v="1"/>
    <x v="0"/>
    <s v="Corporate"/>
    <n v="59"/>
    <x v="0"/>
    <n v="396"/>
  </r>
  <r>
    <s v="ORD-00090"/>
    <x v="80"/>
    <s v="CUST-0139"/>
    <s v="PROD-003"/>
    <x v="27"/>
    <n v="4"/>
    <n v="3570"/>
    <n v="4.5"/>
    <n v="13637.4"/>
    <s v="Pending"/>
    <s v="Hyderabad"/>
    <n v="0"/>
    <b v="1"/>
    <x v="4"/>
    <s v="SMB"/>
    <n v="65"/>
    <x v="1"/>
    <n v="1665"/>
  </r>
  <r>
    <s v="ORD-00091"/>
    <x v="81"/>
    <s v="CUST-0200"/>
    <s v="PROD-022"/>
    <x v="9"/>
    <n v="6"/>
    <n v="2270"/>
    <n v="2"/>
    <n v="13347.6"/>
    <s v="Completed"/>
    <s v="Hyderabad"/>
    <n v="0"/>
    <b v="1"/>
    <x v="2"/>
    <s v="Corporate"/>
    <n v="46"/>
    <x v="1"/>
    <n v="1412"/>
  </r>
  <r>
    <s v="ORD-00092"/>
    <x v="60"/>
    <s v="CUST-0208"/>
    <s v="PROD-015"/>
    <x v="2"/>
    <n v="7"/>
    <n v="2720"/>
    <n v="15.4"/>
    <n v="16107.84"/>
    <s v="Completed"/>
    <s v="Mumbai"/>
    <n v="0"/>
    <b v="1"/>
    <x v="0"/>
    <s v="Retail"/>
    <n v="49"/>
    <x v="1"/>
    <n v="1962"/>
  </r>
  <r>
    <s v="ORD-00093"/>
    <x v="82"/>
    <s v="CUST-0161"/>
    <s v="PROD-029"/>
    <x v="19"/>
    <n v="9"/>
    <n v="2210"/>
    <n v="12.4"/>
    <n v="17423.64"/>
    <s v="Completed"/>
    <s v="Chennai"/>
    <n v="0"/>
    <b v="1"/>
    <x v="2"/>
    <s v="Retail"/>
    <n v="38"/>
    <x v="0"/>
    <n v="1010"/>
  </r>
  <r>
    <s v="ORD-00094"/>
    <x v="83"/>
    <s v="CUST-0042"/>
    <s v="PROD-060"/>
    <x v="17"/>
    <n v="6"/>
    <n v="190"/>
    <n v="19.2"/>
    <n v="921.12"/>
    <s v="Completed"/>
    <s v="Pune"/>
    <n v="0"/>
    <b v="1"/>
    <x v="1"/>
    <s v="Retail"/>
    <n v="25"/>
    <x v="2"/>
    <n v="147"/>
  </r>
  <r>
    <s v="ORD-00095"/>
    <x v="84"/>
    <s v="CUST-0133"/>
    <s v="PROD-048"/>
    <x v="28"/>
    <n v="10"/>
    <n v="5100"/>
    <n v="25.4"/>
    <n v="38046"/>
    <s v="Refunded"/>
    <s v="Chennai"/>
    <n v="0"/>
    <b v="1"/>
    <x v="5"/>
    <s v="Retail"/>
    <n v="26"/>
    <x v="2"/>
    <n v="2237"/>
  </r>
  <r>
    <s v="ORD-00096"/>
    <x v="85"/>
    <s v="CUST-0219"/>
    <s v="PROD-054"/>
    <x v="29"/>
    <n v="5"/>
    <n v="1010"/>
    <n v="1.6"/>
    <n v="4969.2"/>
    <s v="Completed"/>
    <s v="Chennai"/>
    <n v="0"/>
    <b v="1"/>
    <x v="1"/>
    <s v="Corporate"/>
    <n v="38"/>
    <x v="1"/>
    <n v="516"/>
  </r>
  <r>
    <s v="ORD-00097"/>
    <x v="60"/>
    <s v="CUST-0031"/>
    <s v="PROD-031"/>
    <x v="5"/>
    <n v="1"/>
    <n v="3730"/>
    <n v="22.7"/>
    <n v="2883.29"/>
    <s v="Completed"/>
    <s v="Hyderabad"/>
    <n v="0"/>
    <b v="1"/>
    <x v="3"/>
    <s v="Retail"/>
    <n v="53"/>
    <x v="2"/>
    <n v="2135"/>
  </r>
  <r>
    <s v="ORD-00098"/>
    <x v="41"/>
    <s v="CUST-0189"/>
    <s v="PROD-002"/>
    <x v="8"/>
    <n v="10"/>
    <n v="2600"/>
    <n v="20.7"/>
    <n v="20618"/>
    <s v="Completed"/>
    <s v="Chennai"/>
    <n v="0"/>
    <b v="1"/>
    <x v="4"/>
    <s v="Retail"/>
    <n v="41"/>
    <x v="2"/>
    <n v="1052"/>
  </r>
  <r>
    <s v="ORD-00099"/>
    <x v="86"/>
    <s v="CUST-0170"/>
    <s v="PROD-025"/>
    <x v="3"/>
    <n v="4"/>
    <n v="4060"/>
    <n v="13.9"/>
    <n v="13982.64"/>
    <s v="Completed"/>
    <s v="Mumbai"/>
    <n v="0"/>
    <b v="1"/>
    <x v="2"/>
    <s v="SMB"/>
    <n v="22"/>
    <x v="0"/>
    <n v="2911"/>
  </r>
  <r>
    <s v="ORD-00100"/>
    <x v="87"/>
    <s v="CUST-0164"/>
    <s v="PROD-050"/>
    <x v="28"/>
    <n v="6"/>
    <n v="6080"/>
    <n v="16.5"/>
    <n v="30460.799999999999"/>
    <s v="Completed"/>
    <s v="Chennai"/>
    <n v="0"/>
    <b v="1"/>
    <x v="5"/>
    <s v="Retail"/>
    <n v="60"/>
    <x v="2"/>
    <n v="2617"/>
  </r>
  <r>
    <s v="ORD-00101"/>
    <x v="88"/>
    <s v="CUST-0006"/>
    <s v="PROD-017"/>
    <x v="8"/>
    <n v="6"/>
    <n v="2510"/>
    <n v="11.7"/>
    <n v="13297.98"/>
    <s v="Completed"/>
    <s v="Pune"/>
    <n v="0"/>
    <b v="0"/>
    <x v="0"/>
    <s v="SMB"/>
    <n v="44"/>
    <x v="2"/>
    <n v="1075"/>
  </r>
  <r>
    <s v="ORD-00102"/>
    <x v="89"/>
    <s v="CUST-0181"/>
    <s v="PROD-036"/>
    <x v="17"/>
    <n v="5"/>
    <n v="3250"/>
    <n v="18.399999999999999"/>
    <n v="13260"/>
    <s v="Completed"/>
    <s v="Delhi"/>
    <n v="0"/>
    <b v="1"/>
    <x v="3"/>
    <s v="SMB"/>
    <n v="38"/>
    <x v="2"/>
    <n v="1556"/>
  </r>
  <r>
    <s v="ORD-00103"/>
    <x v="90"/>
    <s v="CUST-0131"/>
    <s v="PROD-052"/>
    <x v="1"/>
    <n v="4"/>
    <n v="5410"/>
    <n v="9.8000000000000007"/>
    <n v="19519.28"/>
    <s v="Cancelled"/>
    <s v="Delhi"/>
    <n v="0"/>
    <b v="1"/>
    <x v="1"/>
    <s v="SMB"/>
    <n v="28"/>
    <x v="0"/>
    <n v="2265"/>
  </r>
  <r>
    <s v="ORD-00104"/>
    <x v="91"/>
    <s v="CUST-0255"/>
    <s v="PROD-003"/>
    <x v="26"/>
    <n v="8"/>
    <n v="3570"/>
    <n v="11.1"/>
    <n v="25389.84"/>
    <s v="Completed"/>
    <s v="Chennai"/>
    <n v="0"/>
    <b v="1"/>
    <x v="4"/>
    <s v="Corporate"/>
    <n v="51"/>
    <x v="3"/>
    <n v="1665"/>
  </r>
  <r>
    <s v="ORD-00105"/>
    <x v="92"/>
    <s v="CUST-0170"/>
    <s v="PROD-001"/>
    <x v="11"/>
    <n v="10"/>
    <n v="5330"/>
    <n v="21.2"/>
    <n v="42000.4"/>
    <s v="Completed"/>
    <s v="Mumbai"/>
    <n v="0"/>
    <b v="1"/>
    <x v="4"/>
    <s v="SMB"/>
    <n v="22"/>
    <x v="0"/>
    <n v="2405"/>
  </r>
  <r>
    <s v="ORD-00106"/>
    <x v="93"/>
    <s v="CUST-0081"/>
    <s v="PROD-023"/>
    <x v="21"/>
    <n v="4"/>
    <n v="2380"/>
    <n v="26.2"/>
    <n v="7025.76"/>
    <s v="Completed"/>
    <s v="Mumbai"/>
    <n v="0"/>
    <b v="1"/>
    <x v="2"/>
    <s v="Retail"/>
    <n v="25"/>
    <x v="3"/>
    <n v="1182"/>
  </r>
  <r>
    <s v="ORD-00107"/>
    <x v="94"/>
    <s v="CUST-0102"/>
    <s v="PROD-054"/>
    <x v="28"/>
    <n v="1"/>
    <n v="1010"/>
    <n v="19.5"/>
    <n v="813.05"/>
    <s v="Cancelled"/>
    <s v="Chennai"/>
    <n v="0"/>
    <b v="1"/>
    <x v="1"/>
    <s v="SMB"/>
    <n v="62"/>
    <x v="2"/>
    <n v="516"/>
  </r>
  <r>
    <s v="ORD-00108"/>
    <x v="85"/>
    <s v="CUST-0070"/>
    <s v="PROD-028"/>
    <x v="5"/>
    <n v="1"/>
    <n v="3660"/>
    <n v="1.3"/>
    <n v="3612.42"/>
    <s v="Completed"/>
    <s v="Mumbai"/>
    <n v="0"/>
    <b v="0"/>
    <x v="2"/>
    <s v="Retail"/>
    <n v="42"/>
    <x v="2"/>
    <n v="2214"/>
  </r>
  <r>
    <s v="ORD-00109"/>
    <x v="95"/>
    <s v="CUST-0012"/>
    <s v="PROD-026"/>
    <x v="22"/>
    <n v="2"/>
    <n v="4070"/>
    <n v="29"/>
    <n v="5779.4"/>
    <s v="Cancelled"/>
    <s v="Pune"/>
    <n v="0"/>
    <b v="1"/>
    <x v="2"/>
    <s v="Retail"/>
    <n v="43"/>
    <x v="1"/>
    <n v="2027"/>
  </r>
  <r>
    <s v="ORD-00110"/>
    <x v="96"/>
    <s v="CUST-0086"/>
    <s v="PROD-037"/>
    <x v="20"/>
    <n v="6"/>
    <n v="660"/>
    <n v="20.2"/>
    <n v="3160.08"/>
    <s v="Pending"/>
    <s v="Hyderabad"/>
    <n v="0"/>
    <b v="1"/>
    <x v="3"/>
    <s v="Corporate"/>
    <n v="56"/>
    <x v="2"/>
    <n v="329"/>
  </r>
  <r>
    <s v="ORD-00111"/>
    <x v="97"/>
    <s v="CUST-0145"/>
    <s v="PROD-040"/>
    <x v="6"/>
    <n v="3"/>
    <n v="1080"/>
    <n v="29.7"/>
    <n v="2277.7199999999998"/>
    <s v="Completed"/>
    <s v="Bengaluru"/>
    <n v="0"/>
    <b v="1"/>
    <x v="3"/>
    <s v="SMB"/>
    <n v="44"/>
    <x v="2"/>
    <n v="519"/>
  </r>
  <r>
    <s v="ORD-00112"/>
    <x v="98"/>
    <s v="CUST-0287"/>
    <s v="PROD-020"/>
    <x v="3"/>
    <n v="7"/>
    <n v="820"/>
    <n v="13.5"/>
    <n v="4965.1000000000004"/>
    <s v="Cancelled"/>
    <s v="Chennai"/>
    <n v="0"/>
    <b v="1"/>
    <x v="0"/>
    <s v="SMB"/>
    <n v="53"/>
    <x v="0"/>
    <n v="391"/>
  </r>
  <r>
    <s v="ORD-00113"/>
    <x v="18"/>
    <s v="CUST-0280"/>
    <s v="PROD-049"/>
    <x v="28"/>
    <n v="4"/>
    <n v="960"/>
    <n v="26"/>
    <n v="2841.6"/>
    <s v="Completed"/>
    <s v="Delhi"/>
    <n v="0"/>
    <b v="1"/>
    <x v="5"/>
    <s v="SMB"/>
    <n v="27"/>
    <x v="2"/>
    <n v="675"/>
  </r>
  <r>
    <s v="ORD-00114"/>
    <x v="99"/>
    <s v="CUST-0096"/>
    <s v="PROD-002"/>
    <x v="2"/>
    <n v="3"/>
    <n v="2600"/>
    <n v="18.2"/>
    <n v="6380.4"/>
    <s v="Completed"/>
    <s v="Delhi"/>
    <n v="0"/>
    <b v="1"/>
    <x v="4"/>
    <s v="Corporate"/>
    <n v="27"/>
    <x v="1"/>
    <n v="1052"/>
  </r>
  <r>
    <s v="ORD-00115"/>
    <x v="43"/>
    <s v="CUST-0184"/>
    <s v="PROD-033"/>
    <x v="20"/>
    <n v="9"/>
    <n v="2030"/>
    <n v="26.1"/>
    <n v="13501.53"/>
    <s v="Completed"/>
    <s v="Pune"/>
    <n v="0"/>
    <b v="1"/>
    <x v="3"/>
    <s v="Retail"/>
    <n v="63"/>
    <x v="2"/>
    <n v="1143"/>
  </r>
  <r>
    <s v="ORD-00116"/>
    <x v="100"/>
    <s v="CUST-0025"/>
    <s v="PROD-042"/>
    <x v="8"/>
    <n v="8"/>
    <n v="2290"/>
    <n v="20.8"/>
    <n v="14509.44"/>
    <s v="Completed"/>
    <s v="Bengaluru"/>
    <n v="0"/>
    <b v="1"/>
    <x v="5"/>
    <s v="Retail"/>
    <n v="23"/>
    <x v="2"/>
    <n v="1219"/>
  </r>
  <r>
    <s v="ORD-00117"/>
    <x v="101"/>
    <s v="CUST-0149"/>
    <s v="PROD-031"/>
    <x v="20"/>
    <n v="3"/>
    <n v="3730"/>
    <n v="7.9"/>
    <n v="10305.99"/>
    <s v="Completed"/>
    <s v="Hyderabad"/>
    <n v="0"/>
    <b v="1"/>
    <x v="3"/>
    <s v="Retail"/>
    <n v="44"/>
    <x v="2"/>
    <n v="2135"/>
  </r>
  <r>
    <s v="ORD-00118"/>
    <x v="102"/>
    <s v="CUST-0018"/>
    <s v="PROD-005"/>
    <x v="2"/>
    <n v="1"/>
    <n v="300"/>
    <n v="16.899999999999999"/>
    <n v="249.3"/>
    <s v="Pending"/>
    <s v="Pune"/>
    <n v="0"/>
    <b v="1"/>
    <x v="4"/>
    <s v="SMB"/>
    <n v="54"/>
    <x v="1"/>
    <n v="128"/>
  </r>
  <r>
    <s v="ORD-00119"/>
    <x v="103"/>
    <s v="CUST-0216"/>
    <s v="PROD-005"/>
    <x v="27"/>
    <n v="3"/>
    <n v="300"/>
    <n v="0.6"/>
    <n v="894.6"/>
    <s v="Completed"/>
    <s v="Mumbai"/>
    <n v="0"/>
    <b v="1"/>
    <x v="4"/>
    <s v="Retail"/>
    <n v="50"/>
    <x v="1"/>
    <n v="128"/>
  </r>
  <r>
    <s v="ORD-00120"/>
    <x v="90"/>
    <s v="CUST-0092"/>
    <s v="PROD-043"/>
    <x v="0"/>
    <n v="6"/>
    <n v="3350"/>
    <n v="2.2999999999999998"/>
    <n v="19637.7"/>
    <s v="Cancelled"/>
    <s v="Bengaluru"/>
    <n v="0"/>
    <b v="1"/>
    <x v="5"/>
    <s v="SMB"/>
    <n v="28"/>
    <x v="0"/>
    <n v="1728"/>
  </r>
  <r>
    <s v="ORD-00121"/>
    <x v="104"/>
    <s v="CUST-0056"/>
    <s v="PROD-001"/>
    <x v="11"/>
    <n v="4"/>
    <n v="5330"/>
    <n v="29.3"/>
    <n v="15073.24"/>
    <s v="Completed"/>
    <s v="Bengaluru"/>
    <n v="0"/>
    <b v="1"/>
    <x v="4"/>
    <s v="SMB"/>
    <n v="46"/>
    <x v="0"/>
    <n v="2405"/>
  </r>
  <r>
    <s v="ORD-00122"/>
    <x v="105"/>
    <s v="CUST-0113"/>
    <s v="PROD-014"/>
    <x v="25"/>
    <n v="6"/>
    <n v="3620"/>
    <n v="10.8"/>
    <n v="19374.240000000002"/>
    <s v="Completed"/>
    <s v="Delhi"/>
    <n v="0"/>
    <b v="1"/>
    <x v="0"/>
    <s v="Retail"/>
    <n v="30"/>
    <x v="0"/>
    <n v="2509"/>
  </r>
  <r>
    <s v="ORD-00123"/>
    <x v="106"/>
    <s v="CUST-0253"/>
    <s v="PROD-014"/>
    <x v="1"/>
    <n v="6"/>
    <n v="3620"/>
    <n v="21.7"/>
    <n v="17006.759999999998"/>
    <s v="Completed"/>
    <s v="Delhi"/>
    <n v="0"/>
    <b v="1"/>
    <x v="0"/>
    <s v="SMB"/>
    <n v="53"/>
    <x v="0"/>
    <n v="2509"/>
  </r>
  <r>
    <s v="ORD-00124"/>
    <x v="107"/>
    <s v="CUST-0187"/>
    <s v="PROD-057"/>
    <x v="4"/>
    <n v="8"/>
    <n v="960"/>
    <n v="27.9"/>
    <n v="5537.28"/>
    <s v="Completed"/>
    <s v="Chennai"/>
    <n v="0"/>
    <b v="1"/>
    <x v="1"/>
    <s v="SMB"/>
    <n v="51"/>
    <x v="0"/>
    <n v="705"/>
  </r>
  <r>
    <s v="ORD-00125"/>
    <x v="108"/>
    <s v="CUST-0028"/>
    <s v="PROD-044"/>
    <x v="5"/>
    <n v="5"/>
    <n v="1650"/>
    <n v="4.9000000000000004"/>
    <n v="7845.75"/>
    <s v="Completed"/>
    <s v="Bengaluru"/>
    <n v="0"/>
    <b v="1"/>
    <x v="5"/>
    <s v="Retail"/>
    <n v="59"/>
    <x v="2"/>
    <n v="1222"/>
  </r>
  <r>
    <s v="ORD-00126"/>
    <x v="95"/>
    <s v="CUST-0224"/>
    <s v="PROD-049"/>
    <x v="9"/>
    <n v="9"/>
    <n v="960"/>
    <n v="25.1"/>
    <n v="6471.36"/>
    <s v="Refunded"/>
    <s v="Chennai"/>
    <n v="0"/>
    <b v="1"/>
    <x v="5"/>
    <s v="Corporate"/>
    <n v="24"/>
    <x v="1"/>
    <n v="675"/>
  </r>
  <r>
    <s v="ORD-00127"/>
    <x v="99"/>
    <s v="CUST-0150"/>
    <s v="PROD-006"/>
    <x v="11"/>
    <n v="7"/>
    <n v="3970"/>
    <n v="13.8"/>
    <n v="23954.98"/>
    <s v="Pending"/>
    <s v="Pune"/>
    <n v="0"/>
    <b v="1"/>
    <x v="4"/>
    <s v="SMB"/>
    <n v="53"/>
    <x v="0"/>
    <n v="2865"/>
  </r>
  <r>
    <s v="ORD-00128"/>
    <x v="109"/>
    <s v="CUST-0129"/>
    <s v="PROD-030"/>
    <x v="1"/>
    <n v="7"/>
    <n v="970"/>
    <n v="21.6"/>
    <n v="5323.36"/>
    <s v="Pending"/>
    <s v="Hyderabad"/>
    <n v="0"/>
    <b v="1"/>
    <x v="2"/>
    <s v="Retail"/>
    <n v="29"/>
    <x v="0"/>
    <n v="434"/>
  </r>
  <r>
    <s v="ORD-00129"/>
    <x v="110"/>
    <s v="CUST-0239"/>
    <s v="PROD-033"/>
    <x v="19"/>
    <n v="10"/>
    <n v="2030"/>
    <n v="1.2"/>
    <n v="20056.400000000001"/>
    <s v="Completed"/>
    <s v="Mumbai"/>
    <n v="0"/>
    <b v="1"/>
    <x v="3"/>
    <s v="Retail"/>
    <n v="61"/>
    <x v="0"/>
    <n v="1143"/>
  </r>
  <r>
    <s v="ORD-00130"/>
    <x v="93"/>
    <s v="CUST-0106"/>
    <s v="PROD-024"/>
    <x v="13"/>
    <n v="9"/>
    <n v="2270"/>
    <n v="13.2"/>
    <n v="17733.240000000002"/>
    <s v="Pending"/>
    <s v="Pune"/>
    <n v="0"/>
    <b v="1"/>
    <x v="2"/>
    <s v="Retail"/>
    <n v="22"/>
    <x v="3"/>
    <n v="1203"/>
  </r>
  <r>
    <s v="ORD-00131"/>
    <x v="111"/>
    <s v="CUST-0273"/>
    <s v="PROD-046"/>
    <x v="11"/>
    <n v="8"/>
    <n v="4880"/>
    <n v="13.4"/>
    <n v="33808.639999999999"/>
    <s v="Completed"/>
    <s v="Hyderabad"/>
    <n v="0"/>
    <b v="1"/>
    <x v="5"/>
    <s v="Corporate"/>
    <n v="32"/>
    <x v="0"/>
    <n v="2768"/>
  </r>
  <r>
    <s v="ORD-00132"/>
    <x v="112"/>
    <s v="CUST-0114"/>
    <s v="PROD-004"/>
    <x v="23"/>
    <n v="10"/>
    <n v="3870"/>
    <n v="23.9"/>
    <n v="29450.7"/>
    <s v="Completed"/>
    <s v="Bengaluru"/>
    <n v="0"/>
    <b v="1"/>
    <x v="4"/>
    <s v="Corporate"/>
    <n v="42"/>
    <x v="1"/>
    <n v="1559"/>
  </r>
  <r>
    <s v="ORD-00133"/>
    <x v="113"/>
    <s v="CUST-0146"/>
    <s v="PROD-042"/>
    <x v="25"/>
    <n v="4"/>
    <n v="2290"/>
    <n v="15.2"/>
    <n v="7767.68"/>
    <s v="Completed"/>
    <s v="Hyderabad"/>
    <n v="0"/>
    <b v="1"/>
    <x v="5"/>
    <s v="Retail"/>
    <n v="22"/>
    <x v="0"/>
    <n v="1219"/>
  </r>
  <r>
    <s v="ORD-00134"/>
    <x v="68"/>
    <s v="CUST-0298"/>
    <s v="PROD-023"/>
    <x v="16"/>
    <n v="8"/>
    <n v="2380"/>
    <n v="4.2"/>
    <n v="18240.32"/>
    <s v="Completed"/>
    <s v="Delhi"/>
    <n v="0"/>
    <b v="1"/>
    <x v="2"/>
    <s v="Retail"/>
    <n v="44"/>
    <x v="3"/>
    <n v="1182"/>
  </r>
  <r>
    <s v="ORD-00135"/>
    <x v="114"/>
    <s v="CUST-0111"/>
    <s v="PROD-029"/>
    <x v="22"/>
    <n v="8"/>
    <n v="2210"/>
    <n v="11.5"/>
    <n v="15646.8"/>
    <s v="Completed"/>
    <s v="Chennai"/>
    <n v="1"/>
    <b v="1"/>
    <x v="2"/>
    <s v="SMB"/>
    <n v="64"/>
    <x v="1"/>
    <n v="1010"/>
  </r>
  <r>
    <s v="ORD-01445"/>
    <x v="107"/>
    <s v="CUST-0291"/>
    <s v="PROD-001"/>
    <x v="24"/>
    <n v="4"/>
    <n v="5330"/>
    <n v="22.6"/>
    <n v="16501.68"/>
    <s v="Pending"/>
    <s v="Pune"/>
    <n v="1"/>
    <b v="1"/>
    <x v="4"/>
    <s v="SMB"/>
    <n v="29"/>
    <x v="3"/>
    <n v="2405"/>
  </r>
  <r>
    <s v="ORD-00137"/>
    <x v="115"/>
    <s v="CUST-0024"/>
    <s v="PROD-006"/>
    <x v="24"/>
    <n v="8"/>
    <n v="3970"/>
    <n v="21.8"/>
    <n v="24836.32"/>
    <s v="Completed"/>
    <s v="Chennai"/>
    <n v="0"/>
    <b v="1"/>
    <x v="4"/>
    <s v="SMB"/>
    <n v="64"/>
    <x v="3"/>
    <n v="2865"/>
  </r>
  <r>
    <s v="ORD-00138"/>
    <x v="14"/>
    <s v="CUST-0210"/>
    <s v="PROD-012"/>
    <x v="16"/>
    <n v="10"/>
    <n v="3160"/>
    <n v="16.100000000000001"/>
    <n v="26512.400000000001"/>
    <s v="Cancelled"/>
    <s v="Pune"/>
    <n v="0"/>
    <b v="1"/>
    <x v="0"/>
    <s v="Corporate"/>
    <n v="48"/>
    <x v="3"/>
    <n v="1886"/>
  </r>
  <r>
    <s v="ORD-00139"/>
    <x v="54"/>
    <s v="CUST-0192"/>
    <s v="PROD-060"/>
    <x v="18"/>
    <n v="5"/>
    <n v="190"/>
    <n v="14.8"/>
    <n v="809.4"/>
    <s v="Completed"/>
    <s v="Bengaluru"/>
    <n v="0"/>
    <b v="1"/>
    <x v="1"/>
    <s v="Retail"/>
    <n v="55"/>
    <x v="1"/>
    <n v="147"/>
  </r>
  <r>
    <s v="ORD-00140"/>
    <x v="116"/>
    <s v="CUST-0078"/>
    <s v="PROD-021"/>
    <x v="0"/>
    <n v="6"/>
    <n v="2760"/>
    <n v="19.8"/>
    <n v="13281.12"/>
    <s v="Completed"/>
    <s v="Delhi"/>
    <n v="0"/>
    <b v="1"/>
    <x v="2"/>
    <s v="Retail"/>
    <n v="31"/>
    <x v="0"/>
    <n v="1435"/>
  </r>
  <r>
    <s v="ORD-00141"/>
    <x v="117"/>
    <s v="CUST-0070"/>
    <s v="PROD-022"/>
    <x v="7"/>
    <n v="9"/>
    <n v="2270"/>
    <n v="20.8"/>
    <n v="16180.56"/>
    <s v="Cancelled"/>
    <s v="Mumbai"/>
    <n v="0"/>
    <b v="1"/>
    <x v="2"/>
    <s v="Retail"/>
    <n v="42"/>
    <x v="3"/>
    <n v="1412"/>
  </r>
  <r>
    <s v="ORD-00142"/>
    <x v="60"/>
    <s v="CUST-0159"/>
    <s v="PROD-052"/>
    <x v="19"/>
    <n v="8"/>
    <n v="5410"/>
    <n v="12.9"/>
    <n v="37696.879999999997"/>
    <s v="Completed"/>
    <s v="Hyderabad"/>
    <n v="0"/>
    <b v="1"/>
    <x v="1"/>
    <s v="Retail"/>
    <n v="32"/>
    <x v="0"/>
    <n v="2265"/>
  </r>
  <r>
    <s v="ORD-00143"/>
    <x v="118"/>
    <s v="CUST-0294"/>
    <s v="PROD-024"/>
    <x v="18"/>
    <n v="9"/>
    <n v="2270"/>
    <n v="6.8"/>
    <n v="19040.759999999998"/>
    <s v="Completed"/>
    <s v="Delhi"/>
    <n v="0"/>
    <b v="1"/>
    <x v="2"/>
    <s v="Corporate"/>
    <n v="31"/>
    <x v="1"/>
    <n v="1203"/>
  </r>
  <r>
    <s v="ORD-00144"/>
    <x v="119"/>
    <s v="CUST-0280"/>
    <s v="PROD-012"/>
    <x v="19"/>
    <n v="3"/>
    <n v="3160"/>
    <n v="12.8"/>
    <n v="8266.56"/>
    <s v="Completed"/>
    <s v="Delhi"/>
    <n v="0"/>
    <b v="1"/>
    <x v="0"/>
    <s v="SMB"/>
    <n v="27"/>
    <x v="0"/>
    <n v="1886"/>
  </r>
  <r>
    <s v="ORD-00145"/>
    <x v="120"/>
    <s v="CUST-0291"/>
    <s v="PROD-025"/>
    <x v="8"/>
    <n v="8"/>
    <n v="4060"/>
    <n v="20.9"/>
    <n v="25691.68"/>
    <s v="Completed"/>
    <s v="Pune"/>
    <n v="0"/>
    <b v="1"/>
    <x v="2"/>
    <s v="SMB"/>
    <n v="29"/>
    <x v="2"/>
    <n v="2911"/>
  </r>
  <r>
    <s v="ORD-00146"/>
    <x v="121"/>
    <s v="CUST-9657"/>
    <s v="PROD-020"/>
    <x v="26"/>
    <n v="5"/>
    <n v="820"/>
    <n v="9.1"/>
    <n v="3726.9"/>
    <s v="Refunded"/>
    <s v="Pune"/>
    <n v="0"/>
    <b v="1"/>
    <x v="0"/>
    <e v="#N/A"/>
    <e v="#N/A"/>
    <x v="3"/>
    <n v="391"/>
  </r>
  <r>
    <s v="ORD-00147"/>
    <x v="122"/>
    <s v="CUST-0080"/>
    <s v="PROD-032"/>
    <x v="0"/>
    <n v="5"/>
    <n v="370"/>
    <n v="11.5"/>
    <n v="1637.25"/>
    <s v="Completed"/>
    <s v="Pune"/>
    <n v="0"/>
    <b v="1"/>
    <x v="3"/>
    <s v="SMB"/>
    <n v="30"/>
    <x v="0"/>
    <n v="288"/>
  </r>
  <r>
    <s v="ORD-00148"/>
    <x v="123"/>
    <s v="CUST-0172"/>
    <s v="PROD-034"/>
    <x v="25"/>
    <n v="9"/>
    <n v="5080"/>
    <n v="27.5"/>
    <n v="33147"/>
    <s v="Completed"/>
    <s v="Pune"/>
    <n v="0"/>
    <b v="1"/>
    <x v="3"/>
    <s v="Retail"/>
    <n v="65"/>
    <x v="0"/>
    <n v="2459"/>
  </r>
  <r>
    <s v="ORD-00149"/>
    <x v="124"/>
    <s v="CUST-0051"/>
    <s v="PROD-026"/>
    <x v="27"/>
    <n v="6"/>
    <n v="4070"/>
    <n v="12.5"/>
    <n v="21367.5"/>
    <s v="Completed"/>
    <s v="Pune"/>
    <n v="0"/>
    <b v="1"/>
    <x v="2"/>
    <s v="SMB"/>
    <n v="54"/>
    <x v="1"/>
    <n v="2027"/>
  </r>
  <r>
    <s v="ORD-00150"/>
    <x v="63"/>
    <s v="CUST-0080"/>
    <s v="PROD-005"/>
    <x v="6"/>
    <n v="5"/>
    <n v="300"/>
    <n v="25.8"/>
    <n v="1113"/>
    <s v="Completed"/>
    <s v="Pune"/>
    <n v="0"/>
    <b v="1"/>
    <x v="4"/>
    <s v="SMB"/>
    <n v="30"/>
    <x v="2"/>
    <n v="128"/>
  </r>
  <r>
    <s v="ORD-00151"/>
    <x v="125"/>
    <s v="CUST-0137"/>
    <s v="PROD-048"/>
    <x v="23"/>
    <n v="7"/>
    <n v="5100"/>
    <n v="28.8"/>
    <n v="25418.400000000001"/>
    <s v="Completed"/>
    <s v="Mumbai"/>
    <n v="0"/>
    <b v="1"/>
    <x v="5"/>
    <s v="Retail"/>
    <n v="41"/>
    <x v="1"/>
    <n v="2237"/>
  </r>
  <r>
    <s v="ORD-00152"/>
    <x v="126"/>
    <s v="CUST-0222"/>
    <s v="PROD-038"/>
    <x v="27"/>
    <n v="2"/>
    <n v="5490"/>
    <n v="5.5"/>
    <n v="10376.1"/>
    <s v="Completed"/>
    <s v="Chennai"/>
    <n v="0"/>
    <b v="1"/>
    <x v="3"/>
    <s v="Retail"/>
    <n v="37"/>
    <x v="1"/>
    <n v="2549"/>
  </r>
  <r>
    <s v="ORD-00153"/>
    <x v="127"/>
    <s v="CUST-0117"/>
    <s v="PROD-011"/>
    <x v="15"/>
    <n v="2"/>
    <n v="3450"/>
    <n v="1.2"/>
    <n v="6817.2"/>
    <s v="Completed"/>
    <s v="Delhi"/>
    <n v="0"/>
    <b v="1"/>
    <x v="0"/>
    <s v="SMB"/>
    <n v="34"/>
    <x v="1"/>
    <n v="1748"/>
  </r>
  <r>
    <s v="ORD-00154"/>
    <x v="21"/>
    <s v="CUST-0104"/>
    <s v="PROD-029"/>
    <x v="25"/>
    <n v="10"/>
    <n v="2210"/>
    <n v="18.8"/>
    <n v="17945.2"/>
    <s v="Completed"/>
    <s v="Hyderabad"/>
    <n v="0"/>
    <b v="1"/>
    <x v="2"/>
    <s v="Corporate"/>
    <n v="43"/>
    <x v="0"/>
    <n v="1010"/>
  </r>
  <r>
    <s v="ORD-00155"/>
    <x v="128"/>
    <s v="CUST-0082"/>
    <s v="PROD-036"/>
    <x v="22"/>
    <n v="2"/>
    <n v="3250"/>
    <n v="26.2"/>
    <n v="4797"/>
    <s v="Completed"/>
    <s v="Hyderabad"/>
    <n v="0"/>
    <b v="1"/>
    <x v="3"/>
    <s v="SMB"/>
    <n v="36"/>
    <x v="1"/>
    <n v="1556"/>
  </r>
  <r>
    <s v="ORD-00156"/>
    <x v="129"/>
    <s v="CUST-0165"/>
    <s v="PROD-012"/>
    <x v="19"/>
    <n v="5"/>
    <n v="3160"/>
    <n v="0.9"/>
    <n v="15657.8"/>
    <s v="Completed"/>
    <s v="Pune"/>
    <n v="0"/>
    <b v="1"/>
    <x v="0"/>
    <s v="Retail"/>
    <n v="29"/>
    <x v="0"/>
    <n v="1886"/>
  </r>
  <r>
    <s v="ORD-00157"/>
    <x v="130"/>
    <s v="CUST-0150"/>
    <s v="PROD-004"/>
    <x v="14"/>
    <n v="4"/>
    <n v="3870"/>
    <n v="29.6"/>
    <n v="10897.92"/>
    <s v="Cancelled"/>
    <s v="Pune"/>
    <n v="0"/>
    <b v="1"/>
    <x v="4"/>
    <s v="SMB"/>
    <n v="53"/>
    <x v="2"/>
    <n v="1559"/>
  </r>
  <r>
    <s v="ORD-00158"/>
    <x v="131"/>
    <s v="CUST-0228"/>
    <s v="PROD-059"/>
    <x v="24"/>
    <n v="4"/>
    <n v="3780"/>
    <n v="3.5"/>
    <n v="14590.8"/>
    <s v="Cancelled"/>
    <s v="Pune"/>
    <n v="0"/>
    <b v="1"/>
    <x v="1"/>
    <s v="Corporate"/>
    <n v="37"/>
    <x v="3"/>
    <n v="1860"/>
  </r>
  <r>
    <s v="ORD-00159"/>
    <x v="49"/>
    <s v="CUST-0197"/>
    <s v="PROD-045"/>
    <x v="13"/>
    <n v="4"/>
    <n v="3020"/>
    <n v="18.899999999999999"/>
    <n v="9796.8799999999992"/>
    <s v="Completed"/>
    <s v="Bengaluru"/>
    <n v="0"/>
    <b v="1"/>
    <x v="5"/>
    <s v="Retail"/>
    <n v="55"/>
    <x v="3"/>
    <n v="1626"/>
  </r>
  <r>
    <s v="ORD-00160"/>
    <x v="132"/>
    <s v="CUST-0009"/>
    <s v="PROD-031"/>
    <x v="15"/>
    <n v="1"/>
    <n v="3730"/>
    <n v="10.8"/>
    <n v="3327.16"/>
    <s v="Refunded"/>
    <s v="Mumbai"/>
    <n v="0"/>
    <b v="1"/>
    <x v="3"/>
    <s v="Retail"/>
    <n v="61"/>
    <x v="1"/>
    <n v="2135"/>
  </r>
  <r>
    <s v="ORD-00161"/>
    <x v="18"/>
    <s v="CUST-0139"/>
    <s v="PROD-046"/>
    <x v="26"/>
    <n v="8"/>
    <n v="4880"/>
    <n v="20.3"/>
    <n v="31114.880000000001"/>
    <s v="Completed"/>
    <s v="Hyderabad"/>
    <n v="0"/>
    <b v="1"/>
    <x v="5"/>
    <s v="SMB"/>
    <n v="65"/>
    <x v="3"/>
    <n v="2768"/>
  </r>
  <r>
    <s v="ORD-00162"/>
    <x v="133"/>
    <s v="CUST-0184"/>
    <s v="PROD-030"/>
    <x v="17"/>
    <n v="9"/>
    <n v="970"/>
    <n v="18.2"/>
    <n v="7141.14"/>
    <s v="Completed"/>
    <s v="Pune"/>
    <n v="0"/>
    <b v="1"/>
    <x v="2"/>
    <s v="Retail"/>
    <n v="63"/>
    <x v="2"/>
    <n v="434"/>
  </r>
  <r>
    <s v="ORD-00163"/>
    <x v="33"/>
    <s v="CUST-0119"/>
    <s v="PROD-008"/>
    <x v="21"/>
    <n v="8"/>
    <n v="2660"/>
    <n v="17.600000000000001"/>
    <n v="17534.72"/>
    <s v="Completed"/>
    <s v="Bengaluru"/>
    <n v="0"/>
    <b v="0"/>
    <x v="4"/>
    <s v="SMB"/>
    <n v="43"/>
    <x v="3"/>
    <n v="1259"/>
  </r>
  <r>
    <s v="ORD-00164"/>
    <x v="85"/>
    <s v="CUST-0280"/>
    <s v="PROD-020"/>
    <x v="15"/>
    <n v="2"/>
    <n v="820"/>
    <n v="18.100000000000001"/>
    <n v="1343.16"/>
    <s v="Cancelled"/>
    <s v="Delhi"/>
    <n v="0"/>
    <b v="1"/>
    <x v="0"/>
    <s v="SMB"/>
    <n v="27"/>
    <x v="1"/>
    <n v="391"/>
  </r>
  <r>
    <s v="ORD-00165"/>
    <x v="134"/>
    <s v="CUST-0240"/>
    <s v="PROD-033"/>
    <x v="18"/>
    <n v="7"/>
    <n v="2030"/>
    <n v="23.7"/>
    <n v="10842.23"/>
    <s v="Pending"/>
    <s v="Chennai"/>
    <n v="0"/>
    <b v="1"/>
    <x v="3"/>
    <s v="Corporate"/>
    <n v="35"/>
    <x v="1"/>
    <n v="1143"/>
  </r>
  <r>
    <s v="ORD-00166"/>
    <x v="80"/>
    <s v="CUST-0067"/>
    <s v="PROD-016"/>
    <x v="18"/>
    <n v="5"/>
    <n v="620"/>
    <n v="13.8"/>
    <n v="2672.2"/>
    <s v="Completed"/>
    <s v="Delhi"/>
    <n v="0"/>
    <b v="1"/>
    <x v="0"/>
    <s v="SMB"/>
    <n v="59"/>
    <x v="1"/>
    <n v="396"/>
  </r>
  <r>
    <s v="ORD-00167"/>
    <x v="135"/>
    <s v="CUST-0117"/>
    <s v="PROD-022"/>
    <x v="24"/>
    <n v="7"/>
    <n v="2270"/>
    <n v="5.5"/>
    <n v="15016.05"/>
    <s v="Completed"/>
    <s v="Delhi"/>
    <n v="0"/>
    <b v="1"/>
    <x v="2"/>
    <s v="SMB"/>
    <n v="34"/>
    <x v="3"/>
    <n v="1412"/>
  </r>
  <r>
    <s v="ORD-00168"/>
    <x v="136"/>
    <s v="CUST-0101"/>
    <s v="PROD-053"/>
    <x v="29"/>
    <n v="1"/>
    <n v="470"/>
    <n v="13.7"/>
    <n v="405.61"/>
    <s v="Pending"/>
    <s v="Hyderabad"/>
    <n v="1"/>
    <b v="0"/>
    <x v="1"/>
    <s v="SMB"/>
    <n v="40"/>
    <x v="1"/>
    <n v="302"/>
  </r>
  <r>
    <s v="ORD-00169"/>
    <x v="131"/>
    <s v="CUST-0184"/>
    <s v="PROD-001"/>
    <x v="0"/>
    <n v="6"/>
    <n v="5330"/>
    <n v="17.899999999999999"/>
    <n v="26255.58"/>
    <s v="Completed"/>
    <s v="Pune"/>
    <n v="0"/>
    <b v="1"/>
    <x v="4"/>
    <s v="Retail"/>
    <n v="63"/>
    <x v="0"/>
    <n v="2405"/>
  </r>
  <r>
    <s v="ORD-00170"/>
    <x v="137"/>
    <s v="CUST-0087"/>
    <s v="PROD-050"/>
    <x v="25"/>
    <n v="1"/>
    <n v="6080"/>
    <n v="25.5"/>
    <n v="4529.6000000000004"/>
    <s v="Completed"/>
    <s v="Pune"/>
    <n v="0"/>
    <b v="1"/>
    <x v="5"/>
    <s v="SMB"/>
    <n v="49"/>
    <x v="0"/>
    <n v="2617"/>
  </r>
  <r>
    <s v="ORD-00171"/>
    <x v="138"/>
    <s v="CUST-0261"/>
    <s v="PROD-027"/>
    <x v="24"/>
    <n v="5"/>
    <n v="3780"/>
    <n v="28.6"/>
    <n v="13494.6"/>
    <s v="Completed"/>
    <s v="Delhi"/>
    <n v="0"/>
    <b v="1"/>
    <x v="2"/>
    <s v="Retail"/>
    <n v="54"/>
    <x v="3"/>
    <n v="2436"/>
  </r>
  <r>
    <s v="ORD-00172"/>
    <x v="139"/>
    <s v="CUST-0027"/>
    <s v="PROD-016"/>
    <x v="9"/>
    <n v="5"/>
    <n v="620"/>
    <n v="6.9"/>
    <n v="2886.1"/>
    <s v="Cancelled"/>
    <s v="Hyderabad"/>
    <n v="0"/>
    <b v="1"/>
    <x v="0"/>
    <s v="Corporate"/>
    <n v="52"/>
    <x v="1"/>
    <n v="396"/>
  </r>
  <r>
    <s v="ORD-00173"/>
    <x v="140"/>
    <s v="CUST-0210"/>
    <s v="PROD-017"/>
    <x v="28"/>
    <n v="8"/>
    <n v="2510"/>
    <n v="0.7"/>
    <n v="19939.439999999999"/>
    <s v="Completed"/>
    <s v="Pune"/>
    <n v="0"/>
    <b v="0"/>
    <x v="0"/>
    <s v="Corporate"/>
    <n v="48"/>
    <x v="2"/>
    <n v="1075"/>
  </r>
  <r>
    <s v="ORD-00174"/>
    <x v="141"/>
    <s v="CUST-0163"/>
    <s v="PROD-015"/>
    <x v="16"/>
    <n v="1"/>
    <n v="2720"/>
    <n v="13.7"/>
    <n v="2347.36"/>
    <s v="Completed"/>
    <s v="Pune"/>
    <n v="0"/>
    <b v="1"/>
    <x v="0"/>
    <s v="Retail"/>
    <n v="49"/>
    <x v="3"/>
    <n v="1962"/>
  </r>
  <r>
    <s v="ORD-00175"/>
    <x v="14"/>
    <s v="CUST-0059"/>
    <s v="PROD-053"/>
    <x v="26"/>
    <n v="9"/>
    <n v="470"/>
    <n v="23.6"/>
    <n v="3231.72"/>
    <s v="Completed"/>
    <s v="Pune"/>
    <n v="0"/>
    <b v="0"/>
    <x v="1"/>
    <s v="Corporate"/>
    <n v="29"/>
    <x v="3"/>
    <n v="302"/>
  </r>
  <r>
    <s v="ORD-00176"/>
    <x v="142"/>
    <s v="CUST-0020"/>
    <s v="PROD-036"/>
    <x v="26"/>
    <n v="10"/>
    <n v="3250"/>
    <n v="21"/>
    <n v="25675"/>
    <s v="Cancelled"/>
    <s v="Hyderabad"/>
    <n v="0"/>
    <b v="1"/>
    <x v="3"/>
    <s v="Retail"/>
    <n v="46"/>
    <x v="3"/>
    <n v="1556"/>
  </r>
  <r>
    <s v="ORD-00177"/>
    <x v="51"/>
    <s v="CUST-0048"/>
    <s v="PROD-034"/>
    <x v="8"/>
    <n v="6"/>
    <n v="5080"/>
    <n v="16.8"/>
    <n v="25359.360000000001"/>
    <s v="Pending"/>
    <s v="Delhi"/>
    <n v="0"/>
    <b v="1"/>
    <x v="3"/>
    <s v="Retail"/>
    <n v="59"/>
    <x v="2"/>
    <n v="2459"/>
  </r>
  <r>
    <s v="ORD-00178"/>
    <x v="42"/>
    <s v="CUST-0172"/>
    <s v="PROD-003"/>
    <x v="27"/>
    <n v="2"/>
    <n v="3570"/>
    <n v="6.7"/>
    <n v="6661.62"/>
    <s v="Cancelled"/>
    <s v="Pune"/>
    <n v="0"/>
    <b v="1"/>
    <x v="4"/>
    <s v="Retail"/>
    <n v="65"/>
    <x v="1"/>
    <n v="1665"/>
  </r>
  <r>
    <s v="ORD-00179"/>
    <x v="143"/>
    <s v="CUST-0124"/>
    <s v="PROD-013"/>
    <x v="27"/>
    <n v="4"/>
    <n v="3640"/>
    <n v="18.399999999999999"/>
    <n v="11880.96"/>
    <s v="Completed"/>
    <s v="Pune"/>
    <n v="0"/>
    <b v="1"/>
    <x v="0"/>
    <s v="Retail"/>
    <n v="57"/>
    <x v="1"/>
    <n v="2611"/>
  </r>
  <r>
    <s v="ORD-00180"/>
    <x v="111"/>
    <s v="CUST-0184"/>
    <s v="PROD-026"/>
    <x v="19"/>
    <n v="8"/>
    <n v="4070"/>
    <n v="6.6"/>
    <n v="30411.040000000001"/>
    <s v="Completed"/>
    <s v="Pune"/>
    <n v="0"/>
    <b v="1"/>
    <x v="2"/>
    <s v="Retail"/>
    <n v="63"/>
    <x v="0"/>
    <n v="2027"/>
  </r>
  <r>
    <s v="ORD-00181"/>
    <x v="40"/>
    <s v="CUST-0259"/>
    <s v="PROD-011"/>
    <x v="27"/>
    <n v="6"/>
    <n v="3450"/>
    <n v="14.4"/>
    <n v="17719.2"/>
    <s v="Pending"/>
    <s v="Mumbai"/>
    <n v="0"/>
    <b v="1"/>
    <x v="0"/>
    <s v="Retail"/>
    <n v="34"/>
    <x v="1"/>
    <n v="1748"/>
  </r>
  <r>
    <s v="ORD-00182"/>
    <x v="68"/>
    <s v="CUST-0204"/>
    <s v="PROD-034"/>
    <x v="20"/>
    <n v="7"/>
    <n v="5080"/>
    <n v="25.4"/>
    <n v="26527.759999999998"/>
    <s v="Pending"/>
    <s v="Hyderabad"/>
    <n v="0"/>
    <b v="1"/>
    <x v="3"/>
    <s v="Retail"/>
    <n v="60"/>
    <x v="2"/>
    <n v="2459"/>
  </r>
  <r>
    <s v="ORD-00183"/>
    <x v="144"/>
    <s v="CUST-0032"/>
    <s v="PROD-021"/>
    <x v="8"/>
    <n v="10"/>
    <n v="2760"/>
    <n v="20.100000000000001"/>
    <n v="22052.400000000001"/>
    <s v="Completed"/>
    <s v="Hyderabad"/>
    <n v="0"/>
    <b v="1"/>
    <x v="2"/>
    <s v="Retail"/>
    <n v="28"/>
    <x v="2"/>
    <n v="1435"/>
  </r>
  <r>
    <s v="ORD-00184"/>
    <x v="145"/>
    <s v="CUST-0239"/>
    <s v="PROD-044"/>
    <x v="29"/>
    <n v="6"/>
    <n v="1650"/>
    <n v="11.3"/>
    <n v="8781.2999999999993"/>
    <s v="Pending"/>
    <s v="Mumbai"/>
    <n v="0"/>
    <b v="1"/>
    <x v="5"/>
    <s v="Retail"/>
    <n v="61"/>
    <x v="1"/>
    <n v="1222"/>
  </r>
  <r>
    <s v="ORD-00185"/>
    <x v="146"/>
    <s v="CUST-0191"/>
    <s v="PROD-004"/>
    <x v="0"/>
    <n v="9"/>
    <n v="3870"/>
    <n v="27.5"/>
    <n v="25251.75"/>
    <s v="Completed"/>
    <s v="Hyderabad"/>
    <n v="0"/>
    <b v="1"/>
    <x v="4"/>
    <s v="SMB"/>
    <n v="43"/>
    <x v="0"/>
    <n v="1559"/>
  </r>
  <r>
    <s v="ORD-00186"/>
    <x v="147"/>
    <s v="CUST-0284"/>
    <s v="PROD-035"/>
    <x v="24"/>
    <n v="2"/>
    <n v="1090"/>
    <n v="18.7"/>
    <n v="1772.34"/>
    <s v="Refunded"/>
    <s v="Hyderabad"/>
    <n v="0"/>
    <b v="1"/>
    <x v="3"/>
    <s v="SMB"/>
    <n v="65"/>
    <x v="3"/>
    <n v="464"/>
  </r>
  <r>
    <s v="ORD-00187"/>
    <x v="148"/>
    <s v="CUST-0274"/>
    <s v="PROD-049"/>
    <x v="5"/>
    <n v="4"/>
    <n v="960"/>
    <n v="23.4"/>
    <n v="2941.44"/>
    <s v="Completed"/>
    <s v="Bengaluru"/>
    <n v="0"/>
    <b v="1"/>
    <x v="5"/>
    <s v="Corporate"/>
    <n v="36"/>
    <x v="2"/>
    <n v="675"/>
  </r>
  <r>
    <s v="ORD-00188"/>
    <x v="149"/>
    <s v="CUST-0234"/>
    <s v="PROD-043"/>
    <x v="13"/>
    <n v="3"/>
    <n v="3350"/>
    <n v="17.899999999999999"/>
    <n v="8251.0499999999993"/>
    <s v="Completed"/>
    <s v="Bengaluru"/>
    <n v="0"/>
    <b v="1"/>
    <x v="5"/>
    <s v="Retail"/>
    <n v="34"/>
    <x v="3"/>
    <n v="1728"/>
  </r>
  <r>
    <s v="ORD-00189"/>
    <x v="150"/>
    <s v="CUST-0264"/>
    <s v="PROD-022"/>
    <x v="1"/>
    <n v="4"/>
    <n v="2270"/>
    <n v="29"/>
    <n v="6446.8"/>
    <s v="Completed"/>
    <s v="Pune"/>
    <n v="0"/>
    <b v="1"/>
    <x v="2"/>
    <s v="Retail"/>
    <n v="59"/>
    <x v="0"/>
    <n v="1412"/>
  </r>
  <r>
    <s v="ORD-00190"/>
    <x v="151"/>
    <s v="CUST-0192"/>
    <s v="PROD-039"/>
    <x v="12"/>
    <n v="9"/>
    <n v="4610"/>
    <n v="28.3"/>
    <n v="29748.33"/>
    <s v="Pending"/>
    <s v="Bengaluru"/>
    <n v="0"/>
    <b v="1"/>
    <x v="3"/>
    <s v="Retail"/>
    <n v="55"/>
    <x v="3"/>
    <n v="1850"/>
  </r>
  <r>
    <s v="ORD-00191"/>
    <x v="152"/>
    <s v="CUST-0041"/>
    <s v="PROD-012"/>
    <x v="18"/>
    <n v="3"/>
    <n v="3160"/>
    <n v="7.3"/>
    <n v="8787.9599999999991"/>
    <s v="Completed"/>
    <s v="Bengaluru"/>
    <n v="0"/>
    <b v="1"/>
    <x v="0"/>
    <s v="SMB"/>
    <n v="26"/>
    <x v="1"/>
    <n v="1886"/>
  </r>
  <r>
    <s v="ORD-00192"/>
    <x v="52"/>
    <s v="CUST-0043"/>
    <s v="PROD-022"/>
    <x v="10"/>
    <n v="8"/>
    <n v="2270"/>
    <n v="15.6"/>
    <n v="15327.04"/>
    <s v="Completed"/>
    <s v="Hyderabad"/>
    <n v="0"/>
    <b v="1"/>
    <x v="2"/>
    <s v="Retail"/>
    <n v="61"/>
    <x v="0"/>
    <n v="1412"/>
  </r>
  <r>
    <s v="ORD-00193"/>
    <x v="64"/>
    <s v="CUST-0147"/>
    <s v="PROD-045"/>
    <x v="8"/>
    <n v="8"/>
    <n v="3020"/>
    <n v="16.3"/>
    <n v="20221.919999999998"/>
    <s v="Cancelled"/>
    <s v="Pune"/>
    <n v="0"/>
    <b v="1"/>
    <x v="5"/>
    <s v="Retail"/>
    <n v="56"/>
    <x v="2"/>
    <n v="1626"/>
  </r>
  <r>
    <s v="ORD-00194"/>
    <x v="7"/>
    <s v="CUST-0056"/>
    <s v="PROD-056"/>
    <x v="14"/>
    <n v="7"/>
    <n v="6940"/>
    <n v="8.5"/>
    <n v="44450.7"/>
    <s v="Completed"/>
    <s v="Bengaluru"/>
    <n v="0"/>
    <b v="1"/>
    <x v="1"/>
    <s v="SMB"/>
    <n v="46"/>
    <x v="2"/>
    <n v="2827"/>
  </r>
  <r>
    <s v="ORD-00195"/>
    <x v="14"/>
    <s v="CUST-0059"/>
    <s v="PROD-041"/>
    <x v="27"/>
    <n v="8"/>
    <n v="1540"/>
    <n v="21"/>
    <n v="9732.7999999999993"/>
    <s v="Completed"/>
    <s v="Pune"/>
    <n v="0"/>
    <b v="0"/>
    <x v="5"/>
    <s v="Corporate"/>
    <n v="29"/>
    <x v="1"/>
    <n v="647"/>
  </r>
  <r>
    <s v="ORD-00196"/>
    <x v="82"/>
    <s v="CUST-0047"/>
    <s v="PROD-019"/>
    <x v="20"/>
    <n v="6"/>
    <n v="2480"/>
    <n v="27.9"/>
    <n v="10728.48"/>
    <s v="Completed"/>
    <s v="Pune"/>
    <n v="0"/>
    <b v="1"/>
    <x v="0"/>
    <s v="Retail"/>
    <n v="49"/>
    <x v="2"/>
    <n v="1173"/>
  </r>
  <r>
    <s v="ORD-00197"/>
    <x v="153"/>
    <s v="CUST-0162"/>
    <s v="PROD-060"/>
    <x v="24"/>
    <n v="4"/>
    <n v="190"/>
    <n v="21.5"/>
    <n v="596.6"/>
    <s v="Completed"/>
    <s v="Mumbai"/>
    <n v="0"/>
    <b v="1"/>
    <x v="1"/>
    <s v="Corporate"/>
    <n v="35"/>
    <x v="3"/>
    <n v="147"/>
  </r>
  <r>
    <s v="ORD-00198"/>
    <x v="36"/>
    <s v="CUST-0121"/>
    <s v="PROD-055"/>
    <x v="2"/>
    <n v="1"/>
    <n v="2860"/>
    <n v="15.3"/>
    <n v="2422.42"/>
    <s v="Completed"/>
    <s v="Delhi"/>
    <n v="0"/>
    <b v="1"/>
    <x v="1"/>
    <s v="SMB"/>
    <n v="55"/>
    <x v="1"/>
    <n v="2028"/>
  </r>
  <r>
    <s v="ORD-00199"/>
    <x v="154"/>
    <s v="CUST-0075"/>
    <s v="PROD-017"/>
    <x v="15"/>
    <n v="4"/>
    <n v="2510"/>
    <n v="10.1"/>
    <n v="9025.9599999999991"/>
    <s v="Refunded"/>
    <s v="Mumbai"/>
    <n v="0"/>
    <b v="0"/>
    <x v="0"/>
    <s v="Corporate"/>
    <n v="55"/>
    <x v="1"/>
    <n v="1075"/>
  </r>
  <r>
    <s v="ORD-00200"/>
    <x v="78"/>
    <s v="CUST-0025"/>
    <s v="PROD-003"/>
    <x v="11"/>
    <n v="2"/>
    <n v="3570"/>
    <n v="11.6"/>
    <n v="6311.76"/>
    <s v="Pending"/>
    <s v="Bengaluru"/>
    <n v="0"/>
    <b v="1"/>
    <x v="4"/>
    <s v="Retail"/>
    <n v="23"/>
    <x v="0"/>
    <n v="1665"/>
  </r>
  <r>
    <s v="ORD-00201"/>
    <x v="112"/>
    <s v="CUST-0048"/>
    <s v="PROD-031"/>
    <x v="29"/>
    <n v="7"/>
    <n v="3730"/>
    <n v="2.5"/>
    <n v="25457.25"/>
    <s v="Cancelled"/>
    <s v="Delhi"/>
    <n v="0"/>
    <b v="1"/>
    <x v="3"/>
    <s v="Retail"/>
    <n v="59"/>
    <x v="1"/>
    <n v="2135"/>
  </r>
  <r>
    <s v="ORD-00202"/>
    <x v="155"/>
    <s v="CUST-0251"/>
    <s v="PROD-032"/>
    <x v="14"/>
    <n v="6"/>
    <n v="370"/>
    <n v="9.9"/>
    <n v="2000.22"/>
    <s v="Completed"/>
    <s v="Mumbai"/>
    <n v="0"/>
    <b v="1"/>
    <x v="3"/>
    <s v="Retail"/>
    <n v="44"/>
    <x v="2"/>
    <n v="288"/>
  </r>
  <r>
    <s v="ORD-00203"/>
    <x v="156"/>
    <s v="CUST-0125"/>
    <s v="PROD-008"/>
    <x v="2"/>
    <n v="4"/>
    <n v="2660"/>
    <n v="29.7"/>
    <n v="7479.92"/>
    <s v="Completed"/>
    <s v="Delhi"/>
    <n v="0"/>
    <b v="0"/>
    <x v="4"/>
    <s v="Retail"/>
    <n v="45"/>
    <x v="1"/>
    <n v="1259"/>
  </r>
  <r>
    <s v="ORD-00204"/>
    <x v="152"/>
    <s v="CUST-0025"/>
    <s v="PROD-021"/>
    <x v="15"/>
    <n v="6"/>
    <n v="2760"/>
    <n v="0.9"/>
    <n v="16410.96"/>
    <s v="Completed"/>
    <s v="Bengaluru"/>
    <n v="0"/>
    <b v="1"/>
    <x v="2"/>
    <s v="Retail"/>
    <n v="23"/>
    <x v="1"/>
    <n v="1435"/>
  </r>
  <r>
    <s v="ORD-00205"/>
    <x v="157"/>
    <s v="CUST-0068"/>
    <s v="PROD-043"/>
    <x v="18"/>
    <n v="6"/>
    <n v="3350"/>
    <n v="17.899999999999999"/>
    <n v="16502.099999999999"/>
    <s v="Completed"/>
    <s v="Delhi"/>
    <n v="0"/>
    <b v="1"/>
    <x v="5"/>
    <s v="SMB"/>
    <n v="48"/>
    <x v="1"/>
    <n v="1728"/>
  </r>
  <r>
    <s v="ORD-00206"/>
    <x v="158"/>
    <s v="CUST-0080"/>
    <s v="PROD-005"/>
    <x v="21"/>
    <n v="8"/>
    <n v="300"/>
    <n v="20.6"/>
    <n v="1905.6"/>
    <s v="Refunded"/>
    <s v="Pune"/>
    <n v="0"/>
    <b v="1"/>
    <x v="4"/>
    <s v="SMB"/>
    <n v="30"/>
    <x v="3"/>
    <n v="128"/>
  </r>
  <r>
    <s v="ORD-00207"/>
    <x v="159"/>
    <s v="CUST-0251"/>
    <s v="PROD-015"/>
    <x v="25"/>
    <n v="5"/>
    <n v="2720"/>
    <n v="17.100000000000001"/>
    <n v="11274.4"/>
    <s v="Pending"/>
    <s v="Mumbai"/>
    <n v="0"/>
    <b v="1"/>
    <x v="0"/>
    <s v="Retail"/>
    <n v="44"/>
    <x v="0"/>
    <n v="1962"/>
  </r>
  <r>
    <s v="ORD-00208"/>
    <x v="160"/>
    <s v="CUST-0077"/>
    <s v="PROD-004"/>
    <x v="15"/>
    <n v="1"/>
    <n v="3870"/>
    <n v="23.5"/>
    <n v="2960.55"/>
    <s v="Pending"/>
    <s v="Hyderabad"/>
    <n v="0"/>
    <b v="1"/>
    <x v="4"/>
    <s v="SMB"/>
    <n v="48"/>
    <x v="1"/>
    <n v="1559"/>
  </r>
  <r>
    <s v="ORD-00209"/>
    <x v="161"/>
    <s v="CUST-0232"/>
    <s v="PROD-031"/>
    <x v="27"/>
    <n v="3"/>
    <n v="3730"/>
    <n v="0.7"/>
    <n v="11111.67"/>
    <s v="Pending"/>
    <s v="Hyderabad"/>
    <n v="0"/>
    <b v="1"/>
    <x v="3"/>
    <s v="Retail"/>
    <n v="38"/>
    <x v="1"/>
    <n v="2135"/>
  </r>
  <r>
    <s v="ORD-00210"/>
    <x v="162"/>
    <s v="CUST-0277"/>
    <s v="PROD-019"/>
    <x v="27"/>
    <n v="8"/>
    <n v="2480"/>
    <n v="18.2"/>
    <n v="16229.12"/>
    <s v="Cancelled"/>
    <s v="Chennai"/>
    <n v="0"/>
    <b v="1"/>
    <x v="0"/>
    <s v="Corporate"/>
    <n v="34"/>
    <x v="1"/>
    <n v="1173"/>
  </r>
  <r>
    <s v="ORD-00211"/>
    <x v="163"/>
    <s v="CUST-0149"/>
    <s v="PROD-057"/>
    <x v="7"/>
    <n v="2"/>
    <n v="960"/>
    <n v="2.2000000000000002"/>
    <n v="1877.76"/>
    <s v="Completed"/>
    <s v="Hyderabad"/>
    <n v="0"/>
    <b v="1"/>
    <x v="1"/>
    <s v="Retail"/>
    <n v="44"/>
    <x v="3"/>
    <n v="705"/>
  </r>
  <r>
    <s v="ORD-00212"/>
    <x v="164"/>
    <s v="CUST-0178"/>
    <s v="PROD-046"/>
    <x v="26"/>
    <n v="8"/>
    <n v="4880"/>
    <n v="11.9"/>
    <n v="34394.239999999998"/>
    <s v="Completed"/>
    <s v="Hyderabad"/>
    <n v="0"/>
    <b v="1"/>
    <x v="5"/>
    <s v="Retail"/>
    <n v="25"/>
    <x v="3"/>
    <n v="2768"/>
  </r>
  <r>
    <s v="ORD-00213"/>
    <x v="165"/>
    <s v="CUST-0246"/>
    <s v="PROD-014"/>
    <x v="14"/>
    <n v="2"/>
    <n v="3620"/>
    <n v="1.1000000000000001"/>
    <n v="7160.36"/>
    <s v="Pending"/>
    <s v="Delhi"/>
    <n v="0"/>
    <b v="1"/>
    <x v="0"/>
    <s v="SMB"/>
    <n v="29"/>
    <x v="2"/>
    <n v="2509"/>
  </r>
  <r>
    <s v="ORD-00214"/>
    <x v="52"/>
    <s v="CUST-0033"/>
    <s v="PROD-006"/>
    <x v="4"/>
    <n v="8"/>
    <n v="3970"/>
    <n v="18.100000000000001"/>
    <n v="26011.439999999999"/>
    <s v="Completed"/>
    <s v="Delhi"/>
    <n v="0"/>
    <b v="1"/>
    <x v="4"/>
    <s v="Retail"/>
    <n v="35"/>
    <x v="0"/>
    <n v="2865"/>
  </r>
  <r>
    <s v="ORD-00215"/>
    <x v="166"/>
    <s v="CUST-0159"/>
    <s v="PROD-022"/>
    <x v="17"/>
    <n v="8"/>
    <n v="2270"/>
    <n v="19.600000000000001"/>
    <n v="14600.64"/>
    <s v="Completed"/>
    <s v="Hyderabad"/>
    <n v="0"/>
    <b v="1"/>
    <x v="2"/>
    <s v="Retail"/>
    <n v="32"/>
    <x v="2"/>
    <n v="1412"/>
  </r>
  <r>
    <s v="ORD-00216"/>
    <x v="167"/>
    <s v="CUST-0175"/>
    <s v="PROD-027"/>
    <x v="22"/>
    <n v="1"/>
    <n v="3780"/>
    <n v="22.6"/>
    <n v="2925.72"/>
    <s v="Completed"/>
    <s v="Delhi"/>
    <n v="0"/>
    <b v="1"/>
    <x v="2"/>
    <s v="Corporate"/>
    <n v="55"/>
    <x v="1"/>
    <n v="2436"/>
  </r>
  <r>
    <s v="ORD-00217"/>
    <x v="168"/>
    <s v="CUST-0079"/>
    <s v="PROD-026"/>
    <x v="24"/>
    <n v="9"/>
    <n v="4070"/>
    <n v="28.2"/>
    <n v="26300.34"/>
    <s v="Completed"/>
    <s v="Mumbai"/>
    <n v="0"/>
    <b v="1"/>
    <x v="2"/>
    <s v="Corporate"/>
    <n v="60"/>
    <x v="3"/>
    <n v="2027"/>
  </r>
  <r>
    <s v="ORD-00218"/>
    <x v="75"/>
    <s v="CUST-0173"/>
    <s v="PROD-008"/>
    <x v="3"/>
    <n v="9"/>
    <n v="2660"/>
    <n v="13.1"/>
    <n v="20803.86"/>
    <s v="Pending"/>
    <s v="Mumbai"/>
    <n v="0"/>
    <b v="0"/>
    <x v="4"/>
    <s v="Retail"/>
    <n v="65"/>
    <x v="0"/>
    <n v="1259"/>
  </r>
  <r>
    <s v="ORD-00219"/>
    <x v="169"/>
    <s v="CUST-0050"/>
    <s v="PROD-003"/>
    <x v="10"/>
    <n v="4"/>
    <n v="3570"/>
    <n v="1.5"/>
    <n v="14065.8"/>
    <s v="Cancelled"/>
    <s v="Mumbai"/>
    <n v="0"/>
    <b v="1"/>
    <x v="4"/>
    <s v="Retail"/>
    <n v="37"/>
    <x v="0"/>
    <n v="1665"/>
  </r>
  <r>
    <s v="ORD-00220"/>
    <x v="101"/>
    <s v="CUST-0097"/>
    <s v="PROD-049"/>
    <x v="19"/>
    <n v="2"/>
    <n v="960"/>
    <n v="18.600000000000001"/>
    <n v="1562.88"/>
    <s v="Completed"/>
    <s v="Mumbai"/>
    <n v="0"/>
    <b v="1"/>
    <x v="5"/>
    <s v="Retail"/>
    <n v="65"/>
    <x v="0"/>
    <n v="675"/>
  </r>
  <r>
    <s v="ORD-00221"/>
    <x v="14"/>
    <s v="CUST-0026"/>
    <s v="PROD-047"/>
    <x v="26"/>
    <n v="2"/>
    <n v="3450"/>
    <n v="3.7"/>
    <n v="6644.7"/>
    <s v="Completed"/>
    <s v="Pune"/>
    <n v="0"/>
    <b v="1"/>
    <x v="5"/>
    <s v="Retail"/>
    <n v="62"/>
    <x v="3"/>
    <n v="2420"/>
  </r>
  <r>
    <s v="ORD-00222"/>
    <x v="170"/>
    <s v="CUST-0185"/>
    <s v="PROD-048"/>
    <x v="0"/>
    <n v="6"/>
    <n v="5100"/>
    <n v="1.2"/>
    <n v="30232.799999999999"/>
    <s v="Completed"/>
    <s v="Hyderabad"/>
    <n v="0"/>
    <b v="1"/>
    <x v="5"/>
    <s v="SMB"/>
    <n v="43"/>
    <x v="0"/>
    <n v="2237"/>
  </r>
  <r>
    <s v="ORD-00223"/>
    <x v="105"/>
    <s v="CUST-0135"/>
    <s v="PROD-005"/>
    <x v="1"/>
    <n v="9"/>
    <n v="300"/>
    <n v="25.4"/>
    <n v="2014.2"/>
    <s v="Cancelled"/>
    <s v="Pune"/>
    <n v="0"/>
    <b v="1"/>
    <x v="4"/>
    <s v="SMB"/>
    <n v="24"/>
    <x v="0"/>
    <n v="128"/>
  </r>
  <r>
    <s v="ORD-00224"/>
    <x v="171"/>
    <s v="CUST-0010"/>
    <s v="PROD-046"/>
    <x v="16"/>
    <n v="7"/>
    <n v="4880"/>
    <n v="16.899999999999999"/>
    <n v="28386.959999999999"/>
    <s v="Pending"/>
    <s v="Mumbai"/>
    <n v="0"/>
    <b v="1"/>
    <x v="5"/>
    <s v="SMB"/>
    <n v="61"/>
    <x v="3"/>
    <n v="2768"/>
  </r>
  <r>
    <s v="ORD-00225"/>
    <x v="172"/>
    <s v="CUST-0271"/>
    <s v="PROD-036"/>
    <x v="12"/>
    <n v="9"/>
    <n v="3250"/>
    <n v="10.8"/>
    <n v="26091"/>
    <s v="Cancelled"/>
    <s v="Bengaluru"/>
    <n v="0"/>
    <b v="1"/>
    <x v="3"/>
    <s v="Corporate"/>
    <n v="41"/>
    <x v="3"/>
    <n v="1556"/>
  </r>
  <r>
    <s v="ORD-00226"/>
    <x v="129"/>
    <s v="CUST-0172"/>
    <s v="PROD-047"/>
    <x v="3"/>
    <n v="3"/>
    <n v="3450"/>
    <n v="5.4"/>
    <n v="9791.1"/>
    <s v="Pending"/>
    <s v="Pune"/>
    <n v="0"/>
    <b v="1"/>
    <x v="5"/>
    <s v="Retail"/>
    <n v="65"/>
    <x v="0"/>
    <n v="2420"/>
  </r>
  <r>
    <s v="ORD-00227"/>
    <x v="63"/>
    <s v="CUST-0296"/>
    <s v="PROD-050"/>
    <x v="13"/>
    <n v="5"/>
    <n v="6080"/>
    <n v="18"/>
    <n v="24928"/>
    <s v="Completed"/>
    <s v="Delhi"/>
    <n v="0"/>
    <b v="1"/>
    <x v="5"/>
    <s v="Corporate"/>
    <n v="47"/>
    <x v="3"/>
    <n v="2617"/>
  </r>
  <r>
    <s v="ORD-00228"/>
    <x v="173"/>
    <s v="CUST-0080"/>
    <s v="PROD-050"/>
    <x v="24"/>
    <n v="7"/>
    <n v="6080"/>
    <n v="9.1999999999999993"/>
    <n v="38644.480000000003"/>
    <s v="Completed"/>
    <s v="Pune"/>
    <n v="0"/>
    <b v="1"/>
    <x v="5"/>
    <s v="SMB"/>
    <n v="30"/>
    <x v="3"/>
    <n v="2617"/>
  </r>
  <r>
    <s v="ORD-00229"/>
    <x v="65"/>
    <s v="CUST-0232"/>
    <s v="PROD-024"/>
    <x v="2"/>
    <n v="5"/>
    <n v="2270"/>
    <n v="0.4"/>
    <n v="11304.6"/>
    <s v="Cancelled"/>
    <s v="Hyderabad"/>
    <n v="0"/>
    <b v="1"/>
    <x v="2"/>
    <s v="Retail"/>
    <n v="38"/>
    <x v="1"/>
    <n v="1203"/>
  </r>
  <r>
    <s v="ORD-00230"/>
    <x v="41"/>
    <s v="CUST-0070"/>
    <s v="PROD-046"/>
    <x v="29"/>
    <n v="10"/>
    <n v="4880"/>
    <n v="24.5"/>
    <n v="36844"/>
    <s v="Refunded"/>
    <s v="Mumbai"/>
    <n v="0"/>
    <b v="1"/>
    <x v="5"/>
    <s v="Retail"/>
    <n v="42"/>
    <x v="1"/>
    <n v="2768"/>
  </r>
  <r>
    <s v="ORD-00231"/>
    <x v="174"/>
    <s v="CUST-0142"/>
    <s v="PROD-023"/>
    <x v="25"/>
    <n v="2"/>
    <n v="2380"/>
    <n v="2.2999999999999998"/>
    <n v="4650.5200000000004"/>
    <s v="Completed"/>
    <s v="Chennai"/>
    <n v="0"/>
    <b v="1"/>
    <x v="2"/>
    <s v="Corporate"/>
    <n v="55"/>
    <x v="0"/>
    <n v="1182"/>
  </r>
  <r>
    <s v="ORD-00232"/>
    <x v="71"/>
    <s v="CUST-0161"/>
    <s v="PROD-054"/>
    <x v="5"/>
    <n v="1"/>
    <n v="1010"/>
    <n v="29.9"/>
    <n v="708.01"/>
    <s v="Completed"/>
    <s v="Chennai"/>
    <n v="0"/>
    <b v="1"/>
    <x v="1"/>
    <s v="Retail"/>
    <n v="38"/>
    <x v="2"/>
    <n v="516"/>
  </r>
  <r>
    <s v="ORD-00233"/>
    <x v="175"/>
    <s v="CUST-0020"/>
    <s v="PROD-056"/>
    <x v="20"/>
    <n v="7"/>
    <n v="6940"/>
    <n v="25.8"/>
    <n v="36046.36"/>
    <s v="Completed"/>
    <s v="Hyderabad"/>
    <n v="0"/>
    <b v="1"/>
    <x v="1"/>
    <s v="Retail"/>
    <n v="46"/>
    <x v="2"/>
    <n v="2827"/>
  </r>
  <r>
    <s v="ORD-00234"/>
    <x v="176"/>
    <s v="CUST-0173"/>
    <s v="PROD-042"/>
    <x v="6"/>
    <n v="6"/>
    <n v="2290"/>
    <n v="25.9"/>
    <n v="10181.34"/>
    <s v="Pending"/>
    <s v="Mumbai"/>
    <n v="0"/>
    <b v="1"/>
    <x v="5"/>
    <s v="Retail"/>
    <n v="65"/>
    <x v="2"/>
    <n v="1219"/>
  </r>
  <r>
    <s v="ORD-00235"/>
    <x v="118"/>
    <s v="CUST-0280"/>
    <s v="PROD-032"/>
    <x v="2"/>
    <n v="2"/>
    <n v="370"/>
    <n v="3.9"/>
    <n v="711.14"/>
    <s v="Completed"/>
    <s v="Delhi"/>
    <n v="0"/>
    <b v="1"/>
    <x v="3"/>
    <s v="SMB"/>
    <n v="27"/>
    <x v="1"/>
    <n v="288"/>
  </r>
  <r>
    <s v="ORD-00236"/>
    <x v="177"/>
    <s v="CUST-0073"/>
    <s v="PROD-022"/>
    <x v="16"/>
    <n v="1"/>
    <n v="2270"/>
    <n v="25.3"/>
    <n v="1695.69"/>
    <s v="Completed"/>
    <s v="Pune"/>
    <n v="0"/>
    <b v="1"/>
    <x v="2"/>
    <s v="Corporate"/>
    <n v="40"/>
    <x v="3"/>
    <n v="1412"/>
  </r>
  <r>
    <s v="ORD-00237"/>
    <x v="112"/>
    <s v="CUST-0242"/>
    <s v="PROD-050"/>
    <x v="25"/>
    <n v="4"/>
    <n v="6080"/>
    <n v="28.8"/>
    <n v="17315.84"/>
    <s v="Pending"/>
    <s v="Chennai"/>
    <n v="0"/>
    <b v="1"/>
    <x v="5"/>
    <s v="SMB"/>
    <n v="59"/>
    <x v="0"/>
    <n v="2617"/>
  </r>
  <r>
    <s v="ORD-00238"/>
    <x v="44"/>
    <s v="CUST-0234"/>
    <s v="PROD-001"/>
    <x v="26"/>
    <n v="2"/>
    <n v="5330"/>
    <n v="23.8"/>
    <n v="8122.92"/>
    <s v="Pending"/>
    <s v="Bengaluru"/>
    <n v="0"/>
    <b v="1"/>
    <x v="4"/>
    <s v="Retail"/>
    <n v="34"/>
    <x v="3"/>
    <n v="2405"/>
  </r>
  <r>
    <s v="ORD-00239"/>
    <x v="112"/>
    <s v="CUST-0085"/>
    <s v="PROD-026"/>
    <x v="6"/>
    <n v="2"/>
    <n v="4070"/>
    <n v="4.3"/>
    <n v="7789.98"/>
    <s v="Completed"/>
    <s v="Chennai"/>
    <n v="0"/>
    <b v="1"/>
    <x v="2"/>
    <s v="Retail"/>
    <n v="26"/>
    <x v="2"/>
    <n v="2027"/>
  </r>
  <r>
    <s v="ORD-00240"/>
    <x v="178"/>
    <s v="CUST-0228"/>
    <s v="PROD-005"/>
    <x v="10"/>
    <n v="6"/>
    <n v="300"/>
    <n v="17.399999999999999"/>
    <n v="1486.8"/>
    <s v="Cancelled"/>
    <s v="Pune"/>
    <n v="0"/>
    <b v="1"/>
    <x v="4"/>
    <s v="Corporate"/>
    <n v="37"/>
    <x v="0"/>
    <n v="128"/>
  </r>
  <r>
    <s v="ORD-00241"/>
    <x v="56"/>
    <s v="CUST-0147"/>
    <s v="PROD-046"/>
    <x v="2"/>
    <n v="1"/>
    <n v="4880"/>
    <n v="17.5"/>
    <n v="4026"/>
    <s v="Completed"/>
    <s v="Pune"/>
    <n v="0"/>
    <b v="1"/>
    <x v="5"/>
    <s v="Retail"/>
    <n v="56"/>
    <x v="1"/>
    <n v="2768"/>
  </r>
  <r>
    <s v="ORD-00242"/>
    <x v="179"/>
    <s v="CUST-0171"/>
    <s v="PROD-055"/>
    <x v="28"/>
    <n v="3"/>
    <n v="2860"/>
    <n v="20.100000000000001"/>
    <n v="6855.42"/>
    <s v="Completed"/>
    <s v="Chennai"/>
    <n v="0"/>
    <b v="1"/>
    <x v="1"/>
    <s v="Corporate"/>
    <n v="30"/>
    <x v="2"/>
    <n v="2028"/>
  </r>
  <r>
    <s v="ORD-00243"/>
    <x v="180"/>
    <s v="CUST-0051"/>
    <s v="PROD-041"/>
    <x v="25"/>
    <n v="3"/>
    <n v="1540"/>
    <n v="20.9"/>
    <n v="3654.42"/>
    <s v="Completed"/>
    <s v="Pune"/>
    <n v="0"/>
    <b v="0"/>
    <x v="5"/>
    <s v="SMB"/>
    <n v="54"/>
    <x v="0"/>
    <n v="647"/>
  </r>
  <r>
    <s v="ORD-00244"/>
    <x v="31"/>
    <s v="CUST-0285"/>
    <s v="PROD-010"/>
    <x v="9"/>
    <n v="10"/>
    <n v="2640"/>
    <n v="11.2"/>
    <n v="23443.200000000001"/>
    <s v="Pending"/>
    <s v="Hyderabad"/>
    <n v="0"/>
    <b v="1"/>
    <x v="4"/>
    <s v="Retail"/>
    <n v="22"/>
    <x v="1"/>
    <n v="1149"/>
  </r>
  <r>
    <s v="ORD-00245"/>
    <x v="58"/>
    <s v="CUST-0114"/>
    <s v="PROD-012"/>
    <x v="22"/>
    <n v="1"/>
    <n v="3160"/>
    <n v="11.5"/>
    <n v="2796.6"/>
    <s v="Completed"/>
    <s v="Bengaluru"/>
    <n v="0"/>
    <b v="1"/>
    <x v="0"/>
    <s v="Corporate"/>
    <n v="42"/>
    <x v="1"/>
    <n v="1886"/>
  </r>
  <r>
    <s v="ORD-00246"/>
    <x v="181"/>
    <s v="CUST-0295"/>
    <s v="PROD-040"/>
    <x v="0"/>
    <n v="4"/>
    <n v="1080"/>
    <n v="20.7"/>
    <n v="3425.76"/>
    <s v="Pending"/>
    <s v="Delhi"/>
    <n v="0"/>
    <b v="1"/>
    <x v="3"/>
    <s v="SMB"/>
    <n v="48"/>
    <x v="0"/>
    <n v="519"/>
  </r>
  <r>
    <s v="ORD-00247"/>
    <x v="65"/>
    <s v="CUST-0218"/>
    <s v="PROD-054"/>
    <x v="22"/>
    <n v="4"/>
    <n v="1010"/>
    <n v="29.5"/>
    <n v="2848.2"/>
    <s v="Pending"/>
    <s v="Mumbai"/>
    <n v="0"/>
    <b v="1"/>
    <x v="1"/>
    <s v="Retail"/>
    <n v="39"/>
    <x v="1"/>
    <n v="516"/>
  </r>
  <r>
    <s v="ORD-00248"/>
    <x v="182"/>
    <s v="CUST-0090"/>
    <s v="PROD-002"/>
    <x v="28"/>
    <n v="7"/>
    <n v="2600"/>
    <n v="6.6"/>
    <n v="16998.8"/>
    <s v="Completed"/>
    <s v="Bengaluru"/>
    <n v="0"/>
    <b v="1"/>
    <x v="4"/>
    <s v="Corporate"/>
    <n v="26"/>
    <x v="2"/>
    <n v="1052"/>
  </r>
  <r>
    <s v="ORD-00249"/>
    <x v="183"/>
    <s v="CUST-0194"/>
    <s v="PROD-017"/>
    <x v="18"/>
    <n v="4"/>
    <n v="2510"/>
    <n v="1"/>
    <n v="9939.6"/>
    <s v="Completed"/>
    <s v="Delhi"/>
    <n v="0"/>
    <b v="0"/>
    <x v="0"/>
    <s v="SMB"/>
    <n v="55"/>
    <x v="1"/>
    <n v="1075"/>
  </r>
  <r>
    <s v="ORD-00250"/>
    <x v="184"/>
    <s v="CUST-0231"/>
    <s v="PROD-026"/>
    <x v="24"/>
    <n v="9"/>
    <n v="4070"/>
    <n v="6.7"/>
    <n v="34175.79"/>
    <s v="Cancelled"/>
    <s v="Chennai"/>
    <n v="0"/>
    <b v="1"/>
    <x v="2"/>
    <s v="Retail"/>
    <n v="61"/>
    <x v="3"/>
    <n v="2027"/>
  </r>
  <r>
    <s v="ORD-00251"/>
    <x v="109"/>
    <s v="CUST-0055"/>
    <s v="PROD-020"/>
    <x v="9"/>
    <n v="6"/>
    <n v="820"/>
    <n v="14"/>
    <n v="4231.2"/>
    <s v="Completed"/>
    <s v="Bengaluru"/>
    <n v="0"/>
    <b v="1"/>
    <x v="0"/>
    <s v="Retail"/>
    <n v="34"/>
    <x v="1"/>
    <n v="391"/>
  </r>
  <r>
    <s v="ORD-00252"/>
    <x v="185"/>
    <s v="CUST-0262"/>
    <s v="PROD-030"/>
    <x v="1"/>
    <n v="2"/>
    <n v="970"/>
    <n v="23.8"/>
    <n v="1478.28"/>
    <s v="Completed"/>
    <s v="Mumbai"/>
    <n v="0"/>
    <b v="1"/>
    <x v="2"/>
    <s v="Retail"/>
    <n v="52"/>
    <x v="0"/>
    <n v="434"/>
  </r>
  <r>
    <s v="ORD-00253"/>
    <x v="186"/>
    <s v="CUST-0155"/>
    <s v="PROD-026"/>
    <x v="27"/>
    <n v="4"/>
    <n v="4070"/>
    <n v="19"/>
    <n v="13186.8"/>
    <s v="Pending"/>
    <s v="Pune"/>
    <n v="0"/>
    <b v="1"/>
    <x v="2"/>
    <s v="Corporate"/>
    <n v="40"/>
    <x v="1"/>
    <n v="2027"/>
  </r>
  <r>
    <s v="ORD-00254"/>
    <x v="144"/>
    <s v="CUST-0169"/>
    <s v="PROD-047"/>
    <x v="21"/>
    <n v="3"/>
    <n v="3450"/>
    <n v="4.4000000000000004"/>
    <n v="9894.6"/>
    <s v="Cancelled"/>
    <s v="Bengaluru"/>
    <n v="0"/>
    <b v="1"/>
    <x v="5"/>
    <s v="SMB"/>
    <n v="42"/>
    <x v="3"/>
    <n v="2420"/>
  </r>
  <r>
    <s v="ORD-00255"/>
    <x v="187"/>
    <s v="CUST-0208"/>
    <s v="PROD-027"/>
    <x v="9"/>
    <n v="5"/>
    <n v="3780"/>
    <n v="13.5"/>
    <n v="16348.5"/>
    <s v="Completed"/>
    <s v="Mumbai"/>
    <n v="0"/>
    <b v="1"/>
    <x v="2"/>
    <s v="Retail"/>
    <n v="49"/>
    <x v="1"/>
    <n v="2436"/>
  </r>
  <r>
    <s v="ORD-00256"/>
    <x v="127"/>
    <s v="CUST-0249"/>
    <s v="PROD-057"/>
    <x v="10"/>
    <n v="1"/>
    <n v="960"/>
    <n v="29.2"/>
    <n v="679.68"/>
    <s v="Completed"/>
    <s v="Mumbai"/>
    <n v="0"/>
    <b v="1"/>
    <x v="1"/>
    <s v="Retail"/>
    <n v="44"/>
    <x v="0"/>
    <n v="705"/>
  </r>
  <r>
    <s v="ORD-00257"/>
    <x v="188"/>
    <s v="CUST-0151"/>
    <s v="PROD-003"/>
    <x v="24"/>
    <n v="10"/>
    <n v="3570"/>
    <n v="10.7"/>
    <n v="31880.1"/>
    <s v="Completed"/>
    <s v="Mumbai"/>
    <n v="0"/>
    <b v="1"/>
    <x v="4"/>
    <s v="Retail"/>
    <n v="53"/>
    <x v="3"/>
    <n v="1665"/>
  </r>
  <r>
    <s v="ORD-00258"/>
    <x v="187"/>
    <s v="CUST-0115"/>
    <s v="PROD-003"/>
    <x v="6"/>
    <n v="7"/>
    <n v="3570"/>
    <n v="12.2"/>
    <n v="21941.22"/>
    <s v="Completed"/>
    <s v="Mumbai"/>
    <n v="0"/>
    <b v="1"/>
    <x v="4"/>
    <s v="SMB"/>
    <n v="65"/>
    <x v="2"/>
    <n v="1665"/>
  </r>
  <r>
    <s v="ORD-00259"/>
    <x v="189"/>
    <s v="CUST-0041"/>
    <s v="PROD-040"/>
    <x v="2"/>
    <n v="6"/>
    <n v="1080"/>
    <n v="19.8"/>
    <n v="5196.96"/>
    <s v="Completed"/>
    <s v="Bengaluru"/>
    <n v="0"/>
    <b v="1"/>
    <x v="3"/>
    <s v="SMB"/>
    <n v="26"/>
    <x v="1"/>
    <n v="519"/>
  </r>
  <r>
    <s v="ORD-00260"/>
    <x v="51"/>
    <s v="CUST-0101"/>
    <s v="PROD-011"/>
    <x v="9"/>
    <n v="8"/>
    <n v="3450"/>
    <n v="19"/>
    <n v="22356"/>
    <s v="Completed"/>
    <s v="Hyderabad"/>
    <n v="0"/>
    <b v="1"/>
    <x v="0"/>
    <s v="SMB"/>
    <n v="40"/>
    <x v="1"/>
    <n v="1748"/>
  </r>
  <r>
    <s v="ORD-00261"/>
    <x v="2"/>
    <s v="CUST-0198"/>
    <s v="PROD-008"/>
    <x v="12"/>
    <n v="4"/>
    <n v="2660"/>
    <n v="18.8"/>
    <n v="8639.68"/>
    <s v="Pending"/>
    <s v="Chennai"/>
    <n v="0"/>
    <b v="0"/>
    <x v="4"/>
    <s v="Corporate"/>
    <n v="22"/>
    <x v="3"/>
    <n v="1259"/>
  </r>
  <r>
    <s v="ORD-00262"/>
    <x v="190"/>
    <s v="CUST-0200"/>
    <s v="PROD-058"/>
    <x v="18"/>
    <n v="4"/>
    <n v="2400"/>
    <n v="5.6"/>
    <n v="9062.4"/>
    <s v="Completed"/>
    <s v="Hyderabad"/>
    <n v="0"/>
    <b v="1"/>
    <x v="1"/>
    <s v="Corporate"/>
    <n v="46"/>
    <x v="1"/>
    <n v="974"/>
  </r>
  <r>
    <s v="ORD-00263"/>
    <x v="191"/>
    <s v="CUST-0110"/>
    <s v="PROD-002"/>
    <x v="11"/>
    <n v="10"/>
    <n v="2600"/>
    <n v="24.7"/>
    <n v="19578"/>
    <s v="Completed"/>
    <s v="Pune"/>
    <n v="0"/>
    <b v="1"/>
    <x v="4"/>
    <s v="Corporate"/>
    <n v="31"/>
    <x v="0"/>
    <n v="1052"/>
  </r>
  <r>
    <s v="ORD-00264"/>
    <x v="191"/>
    <s v="CUST-0134"/>
    <s v="PROD-025"/>
    <x v="10"/>
    <n v="3"/>
    <n v="4060"/>
    <n v="6.9"/>
    <n v="11339.58"/>
    <s v="Completed"/>
    <s v="Delhi"/>
    <n v="0"/>
    <b v="1"/>
    <x v="2"/>
    <s v="Retail"/>
    <n v="40"/>
    <x v="0"/>
    <n v="2911"/>
  </r>
  <r>
    <s v="ORD-00265"/>
    <x v="57"/>
    <s v="CUST-0141"/>
    <s v="PROD-038"/>
    <x v="12"/>
    <n v="6"/>
    <n v="5490"/>
    <n v="8.4"/>
    <n v="30173.040000000001"/>
    <s v="Completed"/>
    <s v="Hyderabad"/>
    <n v="0"/>
    <b v="1"/>
    <x v="3"/>
    <s v="Corporate"/>
    <n v="22"/>
    <x v="3"/>
    <n v="2549"/>
  </r>
  <r>
    <s v="ORD-00266"/>
    <x v="192"/>
    <s v="CUST-0163"/>
    <s v="PROD-032"/>
    <x v="26"/>
    <n v="6"/>
    <n v="370"/>
    <n v="15.1"/>
    <n v="1884.78"/>
    <s v="Completed"/>
    <s v="Pune"/>
    <n v="0"/>
    <b v="1"/>
    <x v="3"/>
    <s v="Retail"/>
    <n v="49"/>
    <x v="3"/>
    <n v="288"/>
  </r>
  <r>
    <s v="ORD-00267"/>
    <x v="171"/>
    <s v="CUST-0181"/>
    <s v="PROD-016"/>
    <x v="12"/>
    <n v="5"/>
    <n v="620"/>
    <n v="13.1"/>
    <n v="2693.9"/>
    <s v="Cancelled"/>
    <s v="Delhi"/>
    <n v="0"/>
    <b v="1"/>
    <x v="0"/>
    <s v="SMB"/>
    <n v="38"/>
    <x v="3"/>
    <n v="396"/>
  </r>
  <r>
    <s v="ORD-00268"/>
    <x v="10"/>
    <s v="CUST-0133"/>
    <s v="PROD-036"/>
    <x v="20"/>
    <n v="9"/>
    <n v="3250"/>
    <n v="16.5"/>
    <n v="24423.75"/>
    <s v="Completed"/>
    <s v="Chennai"/>
    <n v="1"/>
    <b v="1"/>
    <x v="3"/>
    <s v="Retail"/>
    <n v="26"/>
    <x v="2"/>
    <n v="1556"/>
  </r>
  <r>
    <s v="ORD-00269"/>
    <x v="193"/>
    <s v="CUST-0095"/>
    <s v="PROD-050"/>
    <x v="23"/>
    <n v="1"/>
    <n v="6080"/>
    <n v="0.1"/>
    <n v="6073.92"/>
    <s v="Completed"/>
    <s v="Mumbai"/>
    <n v="0"/>
    <b v="1"/>
    <x v="5"/>
    <s v="SMB"/>
    <n v="54"/>
    <x v="1"/>
    <n v="2617"/>
  </r>
  <r>
    <s v="ORD-00270"/>
    <x v="194"/>
    <s v="CUST-0171"/>
    <s v="PROD-013"/>
    <x v="2"/>
    <n v="8"/>
    <n v="3640"/>
    <n v="13.5"/>
    <n v="25188.799999999999"/>
    <s v="Completed"/>
    <s v="Chennai"/>
    <n v="0"/>
    <b v="1"/>
    <x v="0"/>
    <s v="Corporate"/>
    <n v="30"/>
    <x v="1"/>
    <n v="2611"/>
  </r>
  <r>
    <s v="ORD-00271"/>
    <x v="22"/>
    <s v="CUST-0238"/>
    <s v="PROD-012"/>
    <x v="1"/>
    <n v="9"/>
    <n v="3160"/>
    <n v="29.7"/>
    <n v="19993.32"/>
    <s v="Completed"/>
    <s v="Delhi"/>
    <n v="0"/>
    <b v="1"/>
    <x v="0"/>
    <s v="Retail"/>
    <n v="49"/>
    <x v="0"/>
    <n v="1886"/>
  </r>
  <r>
    <s v="ORD-00272"/>
    <x v="49"/>
    <s v="CUST-0185"/>
    <s v="PROD-004"/>
    <x v="0"/>
    <n v="2"/>
    <n v="3870"/>
    <n v="18.100000000000001"/>
    <n v="6339.06"/>
    <s v="Cancelled"/>
    <s v="Hyderabad"/>
    <n v="0"/>
    <b v="1"/>
    <x v="4"/>
    <s v="SMB"/>
    <n v="43"/>
    <x v="0"/>
    <n v="1559"/>
  </r>
  <r>
    <s v="ORD-00273"/>
    <x v="195"/>
    <s v="CUST-0167"/>
    <s v="PROD-037"/>
    <x v="14"/>
    <n v="3"/>
    <n v="660"/>
    <n v="9.1999999999999993"/>
    <n v="1797.84"/>
    <s v="Completed"/>
    <s v="Delhi"/>
    <n v="0"/>
    <b v="1"/>
    <x v="3"/>
    <s v="Retail"/>
    <n v="43"/>
    <x v="2"/>
    <n v="329"/>
  </r>
  <r>
    <s v="ORD-00274"/>
    <x v="196"/>
    <s v="CUST-0224"/>
    <s v="PROD-025"/>
    <x v="22"/>
    <n v="4"/>
    <n v="4060"/>
    <n v="28"/>
    <n v="11692.8"/>
    <s v="Completed"/>
    <s v="Chennai"/>
    <n v="0"/>
    <b v="1"/>
    <x v="2"/>
    <s v="Corporate"/>
    <n v="24"/>
    <x v="1"/>
    <n v="2911"/>
  </r>
  <r>
    <s v="ORD-00275"/>
    <x v="107"/>
    <s v="CUST-0181"/>
    <s v="PROD-034"/>
    <x v="29"/>
    <n v="2"/>
    <n v="5080"/>
    <n v="7.7"/>
    <n v="9377.68"/>
    <s v="Refunded"/>
    <s v="Delhi"/>
    <n v="0"/>
    <b v="1"/>
    <x v="3"/>
    <s v="SMB"/>
    <n v="38"/>
    <x v="1"/>
    <n v="2459"/>
  </r>
  <r>
    <s v="ORD-00276"/>
    <x v="197"/>
    <s v="CUST-0020"/>
    <s v="PROD-003"/>
    <x v="1"/>
    <n v="3"/>
    <n v="3570"/>
    <n v="9.5"/>
    <n v="9692.5499999999993"/>
    <s v="Completed"/>
    <s v="Hyderabad"/>
    <n v="0"/>
    <b v="1"/>
    <x v="4"/>
    <s v="Retail"/>
    <n v="46"/>
    <x v="0"/>
    <n v="1665"/>
  </r>
  <r>
    <s v="ORD-00277"/>
    <x v="151"/>
    <s v="CUST-0183"/>
    <s v="PROD-016"/>
    <x v="16"/>
    <n v="2"/>
    <n v="620"/>
    <n v="29.5"/>
    <n v="874.2"/>
    <s v="Completed"/>
    <s v="Mumbai"/>
    <n v="0"/>
    <b v="1"/>
    <x v="0"/>
    <s v="SMB"/>
    <n v="27"/>
    <x v="3"/>
    <n v="396"/>
  </r>
  <r>
    <s v="ORD-00278"/>
    <x v="198"/>
    <s v="CUST-0028"/>
    <s v="PROD-011"/>
    <x v="22"/>
    <n v="3"/>
    <n v="3450"/>
    <n v="3"/>
    <n v="10039.5"/>
    <s v="Completed"/>
    <s v="Bengaluru"/>
    <n v="0"/>
    <b v="1"/>
    <x v="0"/>
    <s v="Retail"/>
    <n v="59"/>
    <x v="1"/>
    <n v="1748"/>
  </r>
  <r>
    <s v="ORD-00279"/>
    <x v="199"/>
    <s v="CUST-0121"/>
    <s v="PROD-048"/>
    <x v="3"/>
    <n v="7"/>
    <n v="5100"/>
    <n v="4.3"/>
    <n v="34164.9"/>
    <s v="Completed"/>
    <s v="Delhi"/>
    <n v="0"/>
    <b v="1"/>
    <x v="5"/>
    <s v="SMB"/>
    <n v="55"/>
    <x v="0"/>
    <n v="2237"/>
  </r>
  <r>
    <s v="ORD-00280"/>
    <x v="110"/>
    <s v="CUST-0192"/>
    <s v="PROD-004"/>
    <x v="11"/>
    <n v="9"/>
    <n v="3870"/>
    <n v="4.8"/>
    <n v="33158.160000000003"/>
    <s v="Completed"/>
    <s v="Bengaluru"/>
    <n v="0"/>
    <b v="1"/>
    <x v="4"/>
    <s v="Retail"/>
    <n v="55"/>
    <x v="0"/>
    <n v="1559"/>
  </r>
  <r>
    <s v="ORD-00281"/>
    <x v="142"/>
    <s v="CUST-0155"/>
    <s v="PROD-009"/>
    <x v="20"/>
    <n v="5"/>
    <n v="1220"/>
    <n v="4"/>
    <n v="5856"/>
    <s v="Cancelled"/>
    <s v="Pune"/>
    <n v="0"/>
    <b v="1"/>
    <x v="4"/>
    <s v="Corporate"/>
    <n v="40"/>
    <x v="2"/>
    <n v="517"/>
  </r>
  <r>
    <s v="ORD-00282"/>
    <x v="200"/>
    <s v="CUST-0159"/>
    <s v="PROD-038"/>
    <x v="12"/>
    <n v="5"/>
    <n v="5490"/>
    <n v="19.8"/>
    <n v="22014.9"/>
    <s v="Completed"/>
    <s v="Hyderabad"/>
    <n v="0"/>
    <b v="1"/>
    <x v="3"/>
    <s v="Retail"/>
    <n v="32"/>
    <x v="3"/>
    <n v="2549"/>
  </r>
  <r>
    <s v="ORD-00283"/>
    <x v="201"/>
    <s v="CUST-0025"/>
    <s v="PROD-044"/>
    <x v="19"/>
    <n v="1"/>
    <n v="1650"/>
    <n v="26.2"/>
    <n v="1217.7"/>
    <s v="Completed"/>
    <s v="Bengaluru"/>
    <n v="0"/>
    <b v="1"/>
    <x v="5"/>
    <s v="Retail"/>
    <n v="23"/>
    <x v="0"/>
    <n v="1222"/>
  </r>
  <r>
    <s v="ORD-00284"/>
    <x v="151"/>
    <s v="CUST-0297"/>
    <s v="PROD-008"/>
    <x v="11"/>
    <n v="1"/>
    <n v="2660"/>
    <n v="21"/>
    <n v="2101.4"/>
    <s v="Completed"/>
    <s v="Hyderabad"/>
    <n v="0"/>
    <b v="0"/>
    <x v="4"/>
    <s v="Retail"/>
    <n v="50"/>
    <x v="0"/>
    <n v="1259"/>
  </r>
  <r>
    <s v="ORD-00285"/>
    <x v="67"/>
    <s v="CUST-0108"/>
    <s v="PROD-029"/>
    <x v="11"/>
    <n v="6"/>
    <n v="2210"/>
    <n v="9.8000000000000007"/>
    <n v="11960.52"/>
    <s v="Pending"/>
    <s v="Bengaluru"/>
    <n v="0"/>
    <b v="1"/>
    <x v="2"/>
    <s v="Corporate"/>
    <n v="59"/>
    <x v="0"/>
    <n v="1010"/>
  </r>
  <r>
    <s v="ORD-00286"/>
    <x v="202"/>
    <s v="CUST-0121"/>
    <s v="PROD-002"/>
    <x v="19"/>
    <n v="9"/>
    <n v="2600"/>
    <n v="15.7"/>
    <n v="19726.2"/>
    <s v="Completed"/>
    <s v="Delhi"/>
    <n v="0"/>
    <b v="1"/>
    <x v="4"/>
    <s v="SMB"/>
    <n v="55"/>
    <x v="0"/>
    <n v="1052"/>
  </r>
  <r>
    <s v="ORD-00287"/>
    <x v="203"/>
    <s v="CUST-0160"/>
    <s v="PROD-045"/>
    <x v="5"/>
    <n v="3"/>
    <n v="3020"/>
    <n v="22.6"/>
    <n v="7012.44"/>
    <s v="Completed"/>
    <s v="Hyderabad"/>
    <n v="0"/>
    <b v="1"/>
    <x v="5"/>
    <s v="Retail"/>
    <n v="27"/>
    <x v="2"/>
    <n v="1626"/>
  </r>
  <r>
    <s v="ORD-00288"/>
    <x v="61"/>
    <s v="CUST-0230"/>
    <s v="PROD-032"/>
    <x v="1"/>
    <n v="6"/>
    <n v="370"/>
    <n v="12.4"/>
    <n v="1944.72"/>
    <s v="Completed"/>
    <s v="Pune"/>
    <n v="0"/>
    <b v="1"/>
    <x v="3"/>
    <s v="Corporate"/>
    <n v="33"/>
    <x v="0"/>
    <n v="288"/>
  </r>
  <r>
    <s v="ORD-00289"/>
    <x v="42"/>
    <s v="CUST-0151"/>
    <s v="PROD-001"/>
    <x v="3"/>
    <n v="8"/>
    <n v="5330"/>
    <n v="16.2"/>
    <n v="35732.32"/>
    <s v="Completed"/>
    <s v="Mumbai"/>
    <n v="0"/>
    <b v="1"/>
    <x v="4"/>
    <s v="Retail"/>
    <n v="53"/>
    <x v="0"/>
    <n v="2405"/>
  </r>
  <r>
    <s v="ORD-00290"/>
    <x v="66"/>
    <s v="CUST-0222"/>
    <s v="PROD-018"/>
    <x v="14"/>
    <n v="4"/>
    <n v="3560"/>
    <n v="10.5"/>
    <n v="12744.8"/>
    <s v="Completed"/>
    <s v="Chennai"/>
    <n v="0"/>
    <b v="1"/>
    <x v="0"/>
    <s v="Retail"/>
    <n v="37"/>
    <x v="2"/>
    <n v="2629"/>
  </r>
  <r>
    <s v="ORD-00291"/>
    <x v="44"/>
    <s v="CUST-0055"/>
    <s v="PROD-054"/>
    <x v="14"/>
    <n v="10"/>
    <n v="1010"/>
    <n v="10.8"/>
    <n v="9009.2000000000007"/>
    <s v="Completed"/>
    <s v="Bengaluru"/>
    <n v="0"/>
    <b v="1"/>
    <x v="1"/>
    <s v="Retail"/>
    <n v="34"/>
    <x v="2"/>
    <n v="516"/>
  </r>
  <r>
    <s v="ORD-00292"/>
    <x v="204"/>
    <s v="CUST-0011"/>
    <s v="PROD-056"/>
    <x v="3"/>
    <n v="8"/>
    <n v="6940"/>
    <n v="3.2"/>
    <n v="53743.360000000001"/>
    <s v="Cancelled"/>
    <s v="Chennai"/>
    <n v="0"/>
    <b v="1"/>
    <x v="1"/>
    <s v="Corporate"/>
    <n v="41"/>
    <x v="0"/>
    <n v="2827"/>
  </r>
  <r>
    <s v="ORD-00335"/>
    <x v="7"/>
    <s v="CUST-0020"/>
    <s v="PROD-012"/>
    <x v="15"/>
    <n v="7"/>
    <n v="3160"/>
    <n v="3.6"/>
    <n v="21323.68"/>
    <s v="Completed"/>
    <s v="Hyderabad"/>
    <n v="1"/>
    <b v="1"/>
    <x v="0"/>
    <s v="Retail"/>
    <n v="46"/>
    <x v="1"/>
    <n v="1886"/>
  </r>
  <r>
    <s v="ORD-00294"/>
    <x v="93"/>
    <s v="CUST-0163"/>
    <s v="PROD-028"/>
    <x v="4"/>
    <n v="2"/>
    <n v="3660"/>
    <n v="30"/>
    <n v="5124"/>
    <s v="Pending"/>
    <s v="Pune"/>
    <n v="0"/>
    <b v="0"/>
    <x v="2"/>
    <s v="Retail"/>
    <n v="49"/>
    <x v="0"/>
    <n v="2214"/>
  </r>
  <r>
    <s v="ORD-00295"/>
    <x v="24"/>
    <s v="CUST-0081"/>
    <s v="PROD-024"/>
    <x v="1"/>
    <n v="1"/>
    <n v="2270"/>
    <n v="4.8"/>
    <n v="2161.04"/>
    <s v="Cancelled"/>
    <s v="Mumbai"/>
    <n v="0"/>
    <b v="1"/>
    <x v="2"/>
    <s v="Retail"/>
    <n v="25"/>
    <x v="0"/>
    <n v="1203"/>
  </r>
  <r>
    <s v="ORD-00296"/>
    <x v="171"/>
    <s v="CUST-0053"/>
    <s v="PROD-059"/>
    <x v="5"/>
    <n v="8"/>
    <n v="3780"/>
    <n v="13"/>
    <n v="26308.799999999999"/>
    <s v="Completed"/>
    <s v="Delhi"/>
    <n v="0"/>
    <b v="1"/>
    <x v="1"/>
    <s v="Retail"/>
    <n v="53"/>
    <x v="2"/>
    <n v="1860"/>
  </r>
  <r>
    <s v="ORD-01770"/>
    <x v="205"/>
    <s v="CUST-0115"/>
    <s v="PROD-013"/>
    <x v="27"/>
    <n v="1"/>
    <n v="3640"/>
    <n v="15.3"/>
    <n v="3083.08"/>
    <s v="Pending"/>
    <s v="Mumbai"/>
    <n v="1"/>
    <b v="1"/>
    <x v="0"/>
    <s v="SMB"/>
    <n v="65"/>
    <x v="1"/>
    <n v="2611"/>
  </r>
  <r>
    <s v="ORD-00298"/>
    <x v="206"/>
    <s v="CUST-0166"/>
    <s v="PROD-009"/>
    <x v="18"/>
    <n v="8"/>
    <n v="1220"/>
    <n v="28.2"/>
    <n v="7007.68"/>
    <s v="Completed"/>
    <s v="Hyderabad"/>
    <n v="0"/>
    <b v="1"/>
    <x v="4"/>
    <s v="Retail"/>
    <n v="31"/>
    <x v="1"/>
    <n v="517"/>
  </r>
  <r>
    <s v="ORD-00299"/>
    <x v="207"/>
    <s v="CUST-0263"/>
    <s v="PROD-017"/>
    <x v="14"/>
    <n v="3"/>
    <n v="2510"/>
    <n v="17.399999999999999"/>
    <n v="6219.78"/>
    <s v="Completed"/>
    <s v="Mumbai"/>
    <n v="0"/>
    <b v="0"/>
    <x v="0"/>
    <s v="Retail"/>
    <n v="40"/>
    <x v="2"/>
    <n v="1075"/>
  </r>
  <r>
    <s v="ORD-00300"/>
    <x v="208"/>
    <s v="CUST-0010"/>
    <s v="PROD-040"/>
    <x v="10"/>
    <n v="1"/>
    <n v="1080"/>
    <n v="13.9"/>
    <n v="929.88"/>
    <s v="Completed"/>
    <s v="Mumbai"/>
    <n v="0"/>
    <b v="1"/>
    <x v="3"/>
    <s v="SMB"/>
    <n v="61"/>
    <x v="0"/>
    <n v="519"/>
  </r>
  <r>
    <s v="ORD-00301"/>
    <x v="183"/>
    <s v="CUST-0036"/>
    <s v="PROD-033"/>
    <x v="29"/>
    <n v="7"/>
    <n v="2030"/>
    <n v="29.2"/>
    <n v="10060.68"/>
    <s v="Completed"/>
    <s v="Mumbai"/>
    <n v="0"/>
    <b v="1"/>
    <x v="3"/>
    <s v="Retail"/>
    <n v="35"/>
    <x v="1"/>
    <n v="1143"/>
  </r>
  <r>
    <s v="ORD-00302"/>
    <x v="209"/>
    <s v="CUST-0259"/>
    <s v="PROD-059"/>
    <x v="16"/>
    <n v="6"/>
    <n v="3780"/>
    <n v="20.9"/>
    <n v="17939.88"/>
    <s v="Refunded"/>
    <s v="Mumbai"/>
    <n v="0"/>
    <b v="1"/>
    <x v="1"/>
    <s v="Retail"/>
    <n v="34"/>
    <x v="3"/>
    <n v="1860"/>
  </r>
  <r>
    <s v="ORD-00303"/>
    <x v="168"/>
    <s v="CUST-0247"/>
    <s v="PROD-012"/>
    <x v="29"/>
    <n v="1"/>
    <n v="3160"/>
    <n v="10.7"/>
    <n v="2821.88"/>
    <s v="Completed"/>
    <s v="Pune"/>
    <n v="0"/>
    <b v="1"/>
    <x v="0"/>
    <s v="SMB"/>
    <n v="35"/>
    <x v="1"/>
    <n v="1886"/>
  </r>
  <r>
    <s v="ORD-00881"/>
    <x v="148"/>
    <s v="CUST-0191"/>
    <s v="PROD-046"/>
    <x v="9"/>
    <n v="5"/>
    <n v="4880"/>
    <n v="11.4"/>
    <n v="21618.400000000001"/>
    <s v="Completed"/>
    <s v="Hyderabad"/>
    <n v="1"/>
    <b v="1"/>
    <x v="5"/>
    <s v="SMB"/>
    <n v="43"/>
    <x v="1"/>
    <n v="2768"/>
  </r>
  <r>
    <s v="ORD-00305"/>
    <x v="142"/>
    <s v="CUST-0167"/>
    <s v="PROD-031"/>
    <x v="18"/>
    <n v="9"/>
    <n v="3730"/>
    <n v="10"/>
    <n v="30213"/>
    <s v="Completed"/>
    <s v="Delhi"/>
    <n v="0"/>
    <b v="1"/>
    <x v="3"/>
    <s v="Retail"/>
    <n v="43"/>
    <x v="1"/>
    <n v="2135"/>
  </r>
  <r>
    <s v="ORD-00306"/>
    <x v="119"/>
    <s v="CUST-0196"/>
    <s v="PROD-034"/>
    <x v="10"/>
    <n v="5"/>
    <n v="5080"/>
    <n v="15.3"/>
    <n v="21513.8"/>
    <s v="Completed"/>
    <s v="Chennai"/>
    <n v="0"/>
    <b v="1"/>
    <x v="3"/>
    <s v="Retail"/>
    <n v="26"/>
    <x v="0"/>
    <n v="2459"/>
  </r>
  <r>
    <s v="ORD-00307"/>
    <x v="210"/>
    <s v="CUST-0182"/>
    <s v="PROD-042"/>
    <x v="22"/>
    <n v="9"/>
    <n v="2290"/>
    <n v="3.3"/>
    <n v="19929.87"/>
    <s v="Pending"/>
    <s v="Mumbai"/>
    <n v="0"/>
    <b v="1"/>
    <x v="5"/>
    <s v="Retail"/>
    <n v="54"/>
    <x v="1"/>
    <n v="1219"/>
  </r>
  <r>
    <s v="ORD-00308"/>
    <x v="211"/>
    <s v="CUST-0246"/>
    <s v="PROD-008"/>
    <x v="9"/>
    <n v="5"/>
    <n v="2660"/>
    <n v="8.3000000000000007"/>
    <n v="12196.1"/>
    <s v="Completed"/>
    <s v="Delhi"/>
    <n v="0"/>
    <b v="0"/>
    <x v="4"/>
    <s v="SMB"/>
    <n v="29"/>
    <x v="1"/>
    <n v="1259"/>
  </r>
  <r>
    <s v="ORD-00309"/>
    <x v="201"/>
    <s v="CUST-0132"/>
    <s v="PROD-027"/>
    <x v="5"/>
    <n v="6"/>
    <n v="3780"/>
    <n v="28.3"/>
    <n v="16261.56"/>
    <s v="Completed"/>
    <s v="Delhi"/>
    <n v="0"/>
    <b v="1"/>
    <x v="2"/>
    <s v="Retail"/>
    <n v="41"/>
    <x v="2"/>
    <n v="2436"/>
  </r>
  <r>
    <s v="ORD-00310"/>
    <x v="212"/>
    <s v="CUST-0153"/>
    <s v="PROD-021"/>
    <x v="8"/>
    <n v="5"/>
    <n v="2760"/>
    <n v="4.9000000000000004"/>
    <n v="13123.8"/>
    <s v="Completed"/>
    <s v="Mumbai"/>
    <n v="0"/>
    <b v="1"/>
    <x v="2"/>
    <s v="Retail"/>
    <n v="35"/>
    <x v="2"/>
    <n v="1435"/>
  </r>
  <r>
    <s v="ORD-00311"/>
    <x v="213"/>
    <s v="CUST-0139"/>
    <s v="PROD-041"/>
    <x v="3"/>
    <n v="8"/>
    <n v="1540"/>
    <n v="29.4"/>
    <n v="8697.92"/>
    <s v="Cancelled"/>
    <s v="Hyderabad"/>
    <n v="0"/>
    <b v="0"/>
    <x v="5"/>
    <s v="SMB"/>
    <n v="65"/>
    <x v="0"/>
    <n v="647"/>
  </r>
  <r>
    <s v="ORD-00312"/>
    <x v="163"/>
    <s v="CUST-0256"/>
    <s v="PROD-046"/>
    <x v="24"/>
    <n v="1"/>
    <n v="4880"/>
    <n v="18.100000000000001"/>
    <n v="3996.72"/>
    <s v="Completed"/>
    <s v="Hyderabad"/>
    <n v="0"/>
    <b v="1"/>
    <x v="5"/>
    <s v="Retail"/>
    <n v="28"/>
    <x v="3"/>
    <n v="2768"/>
  </r>
  <r>
    <s v="ORD-00313"/>
    <x v="95"/>
    <s v="CUST-0027"/>
    <s v="PROD-024"/>
    <x v="15"/>
    <n v="8"/>
    <n v="2270"/>
    <n v="19.8"/>
    <n v="14564.32"/>
    <s v="Pending"/>
    <s v="Hyderabad"/>
    <n v="0"/>
    <b v="1"/>
    <x v="2"/>
    <s v="Corporate"/>
    <n v="52"/>
    <x v="1"/>
    <n v="1203"/>
  </r>
  <r>
    <s v="ORD-00314"/>
    <x v="118"/>
    <s v="CUST-0151"/>
    <s v="PROD-019"/>
    <x v="9"/>
    <n v="10"/>
    <n v="2480"/>
    <n v="24.4"/>
    <n v="18748.8"/>
    <s v="Pending"/>
    <s v="Mumbai"/>
    <n v="0"/>
    <b v="1"/>
    <x v="0"/>
    <s v="Retail"/>
    <n v="53"/>
    <x v="1"/>
    <n v="1173"/>
  </r>
  <r>
    <s v="ORD-00315"/>
    <x v="214"/>
    <s v="CUST-0204"/>
    <s v="PROD-045"/>
    <x v="2"/>
    <n v="8"/>
    <n v="3020"/>
    <n v="15.2"/>
    <n v="20487.68"/>
    <s v="Pending"/>
    <s v="Hyderabad"/>
    <n v="0"/>
    <b v="1"/>
    <x v="5"/>
    <s v="Retail"/>
    <n v="60"/>
    <x v="1"/>
    <n v="1626"/>
  </r>
  <r>
    <s v="ORD-00316"/>
    <x v="25"/>
    <s v="CUST-0084"/>
    <s v="PROD-041"/>
    <x v="7"/>
    <n v="10"/>
    <n v="1540"/>
    <n v="0.6"/>
    <n v="15307.6"/>
    <s v="Completed"/>
    <s v="Chennai"/>
    <n v="0"/>
    <b v="0"/>
    <x v="5"/>
    <s v="Retail"/>
    <n v="28"/>
    <x v="3"/>
    <n v="647"/>
  </r>
  <r>
    <s v="ORD-00317"/>
    <x v="215"/>
    <s v="CUST-0048"/>
    <s v="PROD-012"/>
    <x v="19"/>
    <n v="7"/>
    <n v="3160"/>
    <n v="8.9"/>
    <n v="20151.32"/>
    <s v="Completed"/>
    <s v="Delhi"/>
    <n v="0"/>
    <b v="1"/>
    <x v="0"/>
    <s v="Retail"/>
    <n v="59"/>
    <x v="0"/>
    <n v="1886"/>
  </r>
  <r>
    <s v="ORD-00318"/>
    <x v="95"/>
    <s v="CUST-0013"/>
    <s v="PROD-054"/>
    <x v="22"/>
    <n v="6"/>
    <n v="1010"/>
    <n v="12.9"/>
    <n v="5278.26"/>
    <s v="Completed"/>
    <s v="Delhi"/>
    <n v="0"/>
    <b v="1"/>
    <x v="1"/>
    <s v="Retail"/>
    <n v="41"/>
    <x v="1"/>
    <n v="516"/>
  </r>
  <r>
    <s v="ORD-00319"/>
    <x v="216"/>
    <s v="CUST-0245"/>
    <s v="PROD-039"/>
    <x v="16"/>
    <n v="4"/>
    <n v="4610"/>
    <n v="18.2"/>
    <n v="15083.92"/>
    <s v="Completed"/>
    <s v="Hyderabad"/>
    <n v="0"/>
    <b v="1"/>
    <x v="3"/>
    <s v="Retail"/>
    <n v="65"/>
    <x v="3"/>
    <n v="1850"/>
  </r>
  <r>
    <s v="ORD-00320"/>
    <x v="30"/>
    <s v="CUST-0031"/>
    <s v="PROD-025"/>
    <x v="20"/>
    <n v="6"/>
    <n v="4060"/>
    <n v="24.3"/>
    <n v="18440.52"/>
    <s v="Completed"/>
    <s v="Hyderabad"/>
    <n v="0"/>
    <b v="1"/>
    <x v="2"/>
    <s v="Retail"/>
    <n v="53"/>
    <x v="2"/>
    <n v="2911"/>
  </r>
  <r>
    <s v="ORD-00321"/>
    <x v="89"/>
    <s v="CUST-0212"/>
    <s v="PROD-016"/>
    <x v="19"/>
    <n v="5"/>
    <n v="620"/>
    <n v="10.7"/>
    <n v="2768.3"/>
    <s v="Refunded"/>
    <s v="Chennai"/>
    <n v="0"/>
    <b v="1"/>
    <x v="0"/>
    <s v="SMB"/>
    <n v="46"/>
    <x v="0"/>
    <n v="396"/>
  </r>
  <r>
    <s v="ORD-00322"/>
    <x v="191"/>
    <s v="CUST-0104"/>
    <s v="PROD-018"/>
    <x v="11"/>
    <n v="3"/>
    <n v="3560"/>
    <n v="4.0999999999999996"/>
    <n v="10242.120000000001"/>
    <s v="Completed"/>
    <s v="Hyderabad"/>
    <n v="0"/>
    <b v="1"/>
    <x v="0"/>
    <s v="Corporate"/>
    <n v="43"/>
    <x v="0"/>
    <n v="2629"/>
  </r>
  <r>
    <s v="ORD-00323"/>
    <x v="66"/>
    <s v="CUST-0157"/>
    <s v="PROD-058"/>
    <x v="27"/>
    <n v="2"/>
    <n v="2400"/>
    <n v="13"/>
    <n v="4176"/>
    <s v="Completed"/>
    <s v="Pune"/>
    <n v="0"/>
    <b v="1"/>
    <x v="1"/>
    <s v="Corporate"/>
    <n v="52"/>
    <x v="1"/>
    <n v="974"/>
  </r>
  <r>
    <s v="ORD-00324"/>
    <x v="192"/>
    <s v="CUST-0004"/>
    <s v="PROD-056"/>
    <x v="3"/>
    <n v="9"/>
    <n v="6940"/>
    <n v="26.2"/>
    <n v="46095.48"/>
    <s v="Completed"/>
    <s v="Delhi"/>
    <n v="0"/>
    <b v="1"/>
    <x v="1"/>
    <s v="Retail"/>
    <n v="53"/>
    <x v="0"/>
    <n v="2827"/>
  </r>
  <r>
    <s v="ORD-00325"/>
    <x v="217"/>
    <s v="CUST-0003"/>
    <s v="PROD-023"/>
    <x v="5"/>
    <n v="9"/>
    <n v="2380"/>
    <n v="22.7"/>
    <n v="16557.66"/>
    <s v="Completed"/>
    <s v="Mumbai"/>
    <n v="0"/>
    <b v="1"/>
    <x v="2"/>
    <s v="Retail"/>
    <n v="33"/>
    <x v="2"/>
    <n v="1182"/>
  </r>
  <r>
    <s v="ORD-00326"/>
    <x v="176"/>
    <s v="CUST-0175"/>
    <s v="PROD-014"/>
    <x v="8"/>
    <n v="6"/>
    <n v="3620"/>
    <n v="9.1999999999999993"/>
    <n v="19721.759999999998"/>
    <s v="Completed"/>
    <s v="Delhi"/>
    <n v="0"/>
    <b v="1"/>
    <x v="0"/>
    <s v="Corporate"/>
    <n v="55"/>
    <x v="2"/>
    <n v="2509"/>
  </r>
  <r>
    <s v="ORD-00327"/>
    <x v="124"/>
    <s v="CUST-0104"/>
    <s v="PROD-050"/>
    <x v="10"/>
    <n v="1"/>
    <n v="6080"/>
    <n v="29.4"/>
    <n v="4292.4799999999996"/>
    <s v="Cancelled"/>
    <s v="Hyderabad"/>
    <n v="0"/>
    <b v="1"/>
    <x v="5"/>
    <s v="Corporate"/>
    <n v="43"/>
    <x v="0"/>
    <n v="2617"/>
  </r>
  <r>
    <s v="ORD-00328"/>
    <x v="30"/>
    <s v="CUST-0196"/>
    <s v="PROD-020"/>
    <x v="26"/>
    <n v="6"/>
    <n v="820"/>
    <n v="29.1"/>
    <n v="3488.28"/>
    <s v="Completed"/>
    <s v="Chennai"/>
    <n v="0"/>
    <b v="1"/>
    <x v="0"/>
    <s v="Retail"/>
    <n v="26"/>
    <x v="3"/>
    <n v="391"/>
  </r>
  <r>
    <s v="ORD-00329"/>
    <x v="34"/>
    <s v="CUST-0299"/>
    <s v="PROD-045"/>
    <x v="6"/>
    <n v="9"/>
    <n v="3020"/>
    <n v="7.9"/>
    <n v="25032.78"/>
    <s v="Completed"/>
    <s v="Mumbai"/>
    <n v="0"/>
    <b v="1"/>
    <x v="5"/>
    <s v="Corporate"/>
    <n v="51"/>
    <x v="2"/>
    <n v="1626"/>
  </r>
  <r>
    <s v="ORD-00330"/>
    <x v="218"/>
    <s v="CUST-0066"/>
    <s v="PROD-004"/>
    <x v="20"/>
    <n v="8"/>
    <n v="3870"/>
    <n v="11.9"/>
    <n v="27275.759999999998"/>
    <s v="Completed"/>
    <s v="Delhi"/>
    <n v="0"/>
    <b v="1"/>
    <x v="4"/>
    <s v="Retail"/>
    <n v="24"/>
    <x v="2"/>
    <n v="1559"/>
  </r>
  <r>
    <s v="ORD-00331"/>
    <x v="72"/>
    <s v="CUST-0080"/>
    <s v="PROD-047"/>
    <x v="14"/>
    <n v="6"/>
    <n v="3450"/>
    <n v="13.9"/>
    <n v="17822.7"/>
    <s v="Completed"/>
    <s v="Pune"/>
    <n v="0"/>
    <b v="1"/>
    <x v="5"/>
    <s v="SMB"/>
    <n v="30"/>
    <x v="2"/>
    <n v="2420"/>
  </r>
  <r>
    <s v="ORD-00332"/>
    <x v="219"/>
    <s v="CUST-0138"/>
    <s v="PROD-048"/>
    <x v="4"/>
    <n v="9"/>
    <n v="5100"/>
    <n v="2.1"/>
    <n v="44936.1"/>
    <s v="Completed"/>
    <s v="Chennai"/>
    <n v="0"/>
    <b v="1"/>
    <x v="5"/>
    <s v="Retail"/>
    <n v="24"/>
    <x v="0"/>
    <n v="2237"/>
  </r>
  <r>
    <s v="ORD-00333"/>
    <x v="79"/>
    <s v="CUST-0253"/>
    <s v="PROD-026"/>
    <x v="4"/>
    <n v="2"/>
    <n v="4070"/>
    <n v="28.6"/>
    <n v="5811.96"/>
    <s v="Completed"/>
    <s v="Delhi"/>
    <n v="0"/>
    <b v="1"/>
    <x v="2"/>
    <s v="SMB"/>
    <n v="53"/>
    <x v="0"/>
    <n v="2027"/>
  </r>
  <r>
    <s v="ORD-00334"/>
    <x v="220"/>
    <s v="CUST-0247"/>
    <s v="PROD-001"/>
    <x v="0"/>
    <n v="9"/>
    <n v="5330"/>
    <n v="6.2"/>
    <n v="44995.86"/>
    <s v="Completed"/>
    <s v="Pune"/>
    <n v="0"/>
    <b v="1"/>
    <x v="4"/>
    <s v="SMB"/>
    <n v="35"/>
    <x v="0"/>
    <n v="2405"/>
  </r>
  <r>
    <s v="ORD-00335"/>
    <x v="158"/>
    <s v="CUST-0269"/>
    <s v="PROD-024"/>
    <x v="16"/>
    <n v="6"/>
    <n v="2270"/>
    <n v="23.7"/>
    <n v="10392.06"/>
    <s v="Completed"/>
    <s v="Pune"/>
    <n v="0"/>
    <b v="1"/>
    <x v="2"/>
    <s v="Retail"/>
    <n v="48"/>
    <x v="3"/>
    <n v="1203"/>
  </r>
  <r>
    <s v="ORD-00336"/>
    <x v="221"/>
    <s v="CUST-0008"/>
    <s v="PROD-017"/>
    <x v="6"/>
    <n v="5"/>
    <n v="2510"/>
    <n v="25"/>
    <n v="9412.5"/>
    <s v="Completed"/>
    <s v="Pune"/>
    <n v="0"/>
    <b v="0"/>
    <x v="0"/>
    <s v="SMB"/>
    <n v="39"/>
    <x v="2"/>
    <n v="1075"/>
  </r>
  <r>
    <s v="ORD-00337"/>
    <x v="164"/>
    <s v="CUST-0134"/>
    <s v="PROD-023"/>
    <x v="7"/>
    <n v="9"/>
    <n v="2380"/>
    <n v="16.8"/>
    <n v="17821.439999999999"/>
    <s v="Completed"/>
    <s v="Delhi"/>
    <n v="0"/>
    <b v="1"/>
    <x v="2"/>
    <s v="Retail"/>
    <n v="40"/>
    <x v="3"/>
    <n v="1182"/>
  </r>
  <r>
    <s v="ORD-00338"/>
    <x v="103"/>
    <s v="CUST-0016"/>
    <s v="PROD-011"/>
    <x v="4"/>
    <n v="1"/>
    <n v="3450"/>
    <n v="1.5"/>
    <n v="3398.25"/>
    <s v="Refunded"/>
    <s v="Delhi"/>
    <n v="0"/>
    <b v="1"/>
    <x v="0"/>
    <s v="SMB"/>
    <n v="26"/>
    <x v="0"/>
    <n v="1748"/>
  </r>
  <r>
    <s v="ORD-00339"/>
    <x v="146"/>
    <s v="CUST-0281"/>
    <s v="PROD-003"/>
    <x v="25"/>
    <n v="5"/>
    <n v="3570"/>
    <n v="12.8"/>
    <n v="15565.2"/>
    <s v="Completed"/>
    <s v="Bengaluru"/>
    <n v="0"/>
    <b v="1"/>
    <x v="4"/>
    <s v="Corporate"/>
    <n v="57"/>
    <x v="0"/>
    <n v="1665"/>
  </r>
  <r>
    <s v="ORD-00340"/>
    <x v="222"/>
    <s v="CUST-0267"/>
    <s v="PROD-001"/>
    <x v="20"/>
    <n v="3"/>
    <n v="5330"/>
    <n v="16.2"/>
    <n v="13399.62"/>
    <s v="Completed"/>
    <s v="Hyderabad"/>
    <n v="0"/>
    <b v="1"/>
    <x v="4"/>
    <s v="Retail"/>
    <n v="27"/>
    <x v="2"/>
    <n v="2405"/>
  </r>
  <r>
    <s v="ORD-00341"/>
    <x v="123"/>
    <s v="CUST-0279"/>
    <s v="PROD-028"/>
    <x v="28"/>
    <n v="3"/>
    <n v="3660"/>
    <n v="25.3"/>
    <n v="8202.06"/>
    <s v="Completed"/>
    <s v="Mumbai"/>
    <n v="0"/>
    <b v="0"/>
    <x v="2"/>
    <s v="Retail"/>
    <n v="56"/>
    <x v="2"/>
    <n v="2214"/>
  </r>
  <r>
    <s v="ORD-00342"/>
    <x v="77"/>
    <s v="CUST-0036"/>
    <s v="PROD-054"/>
    <x v="15"/>
    <n v="2"/>
    <n v="1010"/>
    <n v="29.2"/>
    <n v="1430.16"/>
    <s v="Completed"/>
    <s v="Mumbai"/>
    <n v="0"/>
    <b v="1"/>
    <x v="1"/>
    <s v="Retail"/>
    <n v="35"/>
    <x v="1"/>
    <n v="516"/>
  </r>
  <r>
    <s v="ORD-00343"/>
    <x v="47"/>
    <s v="CUST-0295"/>
    <s v="PROD-040"/>
    <x v="15"/>
    <n v="1"/>
    <n v="1080"/>
    <n v="1.8"/>
    <n v="1060.56"/>
    <s v="Completed"/>
    <s v="Delhi"/>
    <n v="0"/>
    <b v="1"/>
    <x v="3"/>
    <s v="SMB"/>
    <n v="48"/>
    <x v="1"/>
    <n v="519"/>
  </r>
  <r>
    <s v="ORD-00344"/>
    <x v="85"/>
    <s v="CUST-0106"/>
    <s v="PROD-051"/>
    <x v="9"/>
    <n v="8"/>
    <n v="3450"/>
    <n v="20.399999999999999"/>
    <n v="21969.599999999999"/>
    <s v="Completed"/>
    <s v="Pune"/>
    <n v="0"/>
    <b v="1"/>
    <x v="1"/>
    <s v="Retail"/>
    <n v="22"/>
    <x v="1"/>
    <n v="2467"/>
  </r>
  <r>
    <s v="ORD-00593"/>
    <x v="223"/>
    <s v="CUST-0070"/>
    <s v="PROD-056"/>
    <x v="15"/>
    <n v="8"/>
    <n v="6940"/>
    <n v="19.399999999999999"/>
    <n v="44749.120000000003"/>
    <s v="Completed"/>
    <s v="Mumbai"/>
    <n v="1"/>
    <b v="1"/>
    <x v="1"/>
    <s v="Retail"/>
    <n v="42"/>
    <x v="1"/>
    <n v="2827"/>
  </r>
  <r>
    <s v="ORD-00346"/>
    <x v="224"/>
    <s v="CUST-0062"/>
    <s v="PROD-041"/>
    <x v="11"/>
    <n v="2"/>
    <n v="1540"/>
    <n v="9.3000000000000007"/>
    <n v="2793.56"/>
    <s v="Completed"/>
    <s v="Pune"/>
    <n v="0"/>
    <b v="0"/>
    <x v="5"/>
    <s v="Retail"/>
    <n v="54"/>
    <x v="0"/>
    <n v="647"/>
  </r>
  <r>
    <s v="ORD-00347"/>
    <x v="225"/>
    <s v="CUST-0241"/>
    <s v="PROD-010"/>
    <x v="15"/>
    <n v="4"/>
    <n v="2640"/>
    <n v="23.2"/>
    <n v="8110.08"/>
    <s v="Refunded"/>
    <s v="Pune"/>
    <n v="0"/>
    <b v="1"/>
    <x v="4"/>
    <s v="Corporate"/>
    <n v="47"/>
    <x v="1"/>
    <n v="1149"/>
  </r>
  <r>
    <s v="ORD-00348"/>
    <x v="17"/>
    <s v="CUST-0001"/>
    <s v="PROD-052"/>
    <x v="6"/>
    <n v="6"/>
    <n v="5410"/>
    <n v="29.4"/>
    <n v="22916.76"/>
    <s v="Completed"/>
    <s v="Pune"/>
    <n v="0"/>
    <b v="1"/>
    <x v="1"/>
    <s v="Retail"/>
    <n v="36"/>
    <x v="2"/>
    <n v="2265"/>
  </r>
  <r>
    <s v="ORD-00349"/>
    <x v="61"/>
    <s v="CUST-0181"/>
    <s v="PROD-003"/>
    <x v="28"/>
    <n v="1"/>
    <n v="3570"/>
    <n v="4.3"/>
    <n v="3416.49"/>
    <s v="Completed"/>
    <s v="Delhi"/>
    <n v="0"/>
    <b v="1"/>
    <x v="4"/>
    <s v="SMB"/>
    <n v="38"/>
    <x v="2"/>
    <n v="1665"/>
  </r>
  <r>
    <s v="ORD-00350"/>
    <x v="226"/>
    <s v="CUST-0044"/>
    <s v="PROD-032"/>
    <x v="8"/>
    <n v="2"/>
    <n v="370"/>
    <n v="7.2"/>
    <n v="686.72"/>
    <s v="Completed"/>
    <s v="Hyderabad"/>
    <n v="0"/>
    <b v="1"/>
    <x v="3"/>
    <s v="SMB"/>
    <n v="29"/>
    <x v="2"/>
    <n v="288"/>
  </r>
  <r>
    <s v="ORD-00351"/>
    <x v="203"/>
    <s v="CUST-0218"/>
    <s v="PROD-017"/>
    <x v="21"/>
    <n v="1"/>
    <n v="2510"/>
    <n v="2.4"/>
    <n v="2449.7600000000002"/>
    <s v="Completed"/>
    <s v="Mumbai"/>
    <n v="0"/>
    <b v="0"/>
    <x v="0"/>
    <s v="Retail"/>
    <n v="39"/>
    <x v="3"/>
    <n v="1075"/>
  </r>
  <r>
    <s v="ORD-00352"/>
    <x v="178"/>
    <s v="CUST-0061"/>
    <s v="PROD-013"/>
    <x v="24"/>
    <n v="8"/>
    <n v="3640"/>
    <n v="28.7"/>
    <n v="20762.560000000001"/>
    <s v="Pending"/>
    <s v="Hyderabad"/>
    <n v="0"/>
    <b v="1"/>
    <x v="0"/>
    <s v="Retail"/>
    <n v="64"/>
    <x v="3"/>
    <n v="2611"/>
  </r>
  <r>
    <s v="ORD-00353"/>
    <x v="226"/>
    <s v="CUST-0143"/>
    <s v="PROD-044"/>
    <x v="20"/>
    <n v="5"/>
    <n v="1650"/>
    <n v="13.4"/>
    <n v="7144.5"/>
    <s v="Pending"/>
    <s v="Chennai"/>
    <n v="0"/>
    <b v="1"/>
    <x v="5"/>
    <s v="SMB"/>
    <n v="52"/>
    <x v="2"/>
    <n v="1222"/>
  </r>
  <r>
    <s v="ORD-00354"/>
    <x v="107"/>
    <s v="CUST-0164"/>
    <s v="PROD-049"/>
    <x v="6"/>
    <n v="9"/>
    <n v="960"/>
    <n v="28.6"/>
    <n v="6168.96"/>
    <s v="Pending"/>
    <s v="Chennai"/>
    <n v="0"/>
    <b v="1"/>
    <x v="5"/>
    <s v="Retail"/>
    <n v="60"/>
    <x v="2"/>
    <n v="675"/>
  </r>
  <r>
    <s v="ORD-00355"/>
    <x v="97"/>
    <s v="CUST-0152"/>
    <s v="PROD-027"/>
    <x v="13"/>
    <n v="4"/>
    <n v="3780"/>
    <n v="25.3"/>
    <n v="11294.64"/>
    <s v="Completed"/>
    <s v="Bengaluru"/>
    <n v="0"/>
    <b v="1"/>
    <x v="2"/>
    <s v="SMB"/>
    <n v="64"/>
    <x v="3"/>
    <n v="2436"/>
  </r>
  <r>
    <s v="ORD-00356"/>
    <x v="227"/>
    <s v="CUST-0143"/>
    <s v="PROD-044"/>
    <x v="2"/>
    <n v="4"/>
    <n v="1650"/>
    <n v="13.7"/>
    <n v="5695.8"/>
    <s v="Cancelled"/>
    <s v="Chennai"/>
    <n v="0"/>
    <b v="1"/>
    <x v="5"/>
    <s v="SMB"/>
    <n v="52"/>
    <x v="1"/>
    <n v="1222"/>
  </r>
  <r>
    <s v="ORD-00357"/>
    <x v="228"/>
    <s v="CUST-0232"/>
    <s v="PROD-014"/>
    <x v="27"/>
    <n v="6"/>
    <n v="3620"/>
    <n v="21.3"/>
    <n v="17093.64"/>
    <s v="Pending"/>
    <s v="Hyderabad"/>
    <n v="0"/>
    <b v="1"/>
    <x v="0"/>
    <s v="Retail"/>
    <n v="38"/>
    <x v="1"/>
    <n v="2509"/>
  </r>
  <r>
    <s v="ORD-00358"/>
    <x v="42"/>
    <s v="CUST-0067"/>
    <s v="PROD-022"/>
    <x v="14"/>
    <n v="10"/>
    <n v="2270"/>
    <n v="17.7"/>
    <n v="18682.099999999999"/>
    <s v="Completed"/>
    <s v="Delhi"/>
    <n v="0"/>
    <b v="1"/>
    <x v="2"/>
    <s v="SMB"/>
    <n v="59"/>
    <x v="2"/>
    <n v="1412"/>
  </r>
  <r>
    <s v="ORD-00359"/>
    <x v="130"/>
    <s v="CUST-0292"/>
    <s v="PROD-041"/>
    <x v="22"/>
    <n v="9"/>
    <n v="1540"/>
    <n v="10.7"/>
    <n v="12376.98"/>
    <s v="Completed"/>
    <s v="Bengaluru"/>
    <n v="0"/>
    <b v="0"/>
    <x v="5"/>
    <s v="Retail"/>
    <n v="32"/>
    <x v="1"/>
    <n v="647"/>
  </r>
  <r>
    <s v="ORD-00360"/>
    <x v="84"/>
    <s v="CUST-0118"/>
    <s v="PROD-055"/>
    <x v="13"/>
    <n v="9"/>
    <n v="2860"/>
    <n v="12.9"/>
    <n v="22419.54"/>
    <s v="Completed"/>
    <s v="Hyderabad"/>
    <n v="0"/>
    <b v="1"/>
    <x v="1"/>
    <s v="Retail"/>
    <n v="26"/>
    <x v="3"/>
    <n v="2028"/>
  </r>
  <r>
    <s v="ORD-00361"/>
    <x v="229"/>
    <s v="CUST-0212"/>
    <s v="PROD-029"/>
    <x v="29"/>
    <n v="5"/>
    <n v="2210"/>
    <n v="5.0999999999999996"/>
    <n v="10486.45"/>
    <s v="Completed"/>
    <s v="Chennai"/>
    <n v="0"/>
    <b v="1"/>
    <x v="2"/>
    <s v="SMB"/>
    <n v="46"/>
    <x v="1"/>
    <n v="1010"/>
  </r>
  <r>
    <s v="ORD-00362"/>
    <x v="157"/>
    <s v="CUST-0287"/>
    <s v="PROD-009"/>
    <x v="20"/>
    <n v="1"/>
    <n v="1220"/>
    <n v="16.100000000000001"/>
    <n v="1023.58"/>
    <s v="Completed"/>
    <s v="Chennai"/>
    <n v="0"/>
    <b v="1"/>
    <x v="4"/>
    <s v="SMB"/>
    <n v="53"/>
    <x v="2"/>
    <n v="517"/>
  </r>
  <r>
    <s v="ORD-00363"/>
    <x v="230"/>
    <s v="CUST-0030"/>
    <s v="PROD-003"/>
    <x v="3"/>
    <n v="2"/>
    <n v="3570"/>
    <n v="1.1000000000000001"/>
    <n v="7061.46"/>
    <s v="Completed"/>
    <s v="Bengaluru"/>
    <n v="0"/>
    <b v="1"/>
    <x v="4"/>
    <s v="Corporate"/>
    <n v="43"/>
    <x v="0"/>
    <n v="1665"/>
  </r>
  <r>
    <s v="ORD-00364"/>
    <x v="231"/>
    <s v="CUST-0270"/>
    <s v="PROD-011"/>
    <x v="29"/>
    <n v="10"/>
    <n v="3450"/>
    <n v="12.6"/>
    <n v="30153"/>
    <s v="Completed"/>
    <s v="Bengaluru"/>
    <n v="0"/>
    <b v="1"/>
    <x v="0"/>
    <s v="Retail"/>
    <n v="29"/>
    <x v="1"/>
    <n v="1748"/>
  </r>
  <r>
    <s v="ORD-00365"/>
    <x v="232"/>
    <s v="CUST-0001"/>
    <s v="PROD-029"/>
    <x v="13"/>
    <n v="4"/>
    <n v="2210"/>
    <n v="5.4"/>
    <n v="8362.64"/>
    <s v="Completed"/>
    <s v="Pune"/>
    <n v="0"/>
    <b v="1"/>
    <x v="2"/>
    <s v="Retail"/>
    <n v="36"/>
    <x v="3"/>
    <n v="1010"/>
  </r>
  <r>
    <s v="ORD-00366"/>
    <x v="233"/>
    <s v="CUST-0215"/>
    <s v="PROD-035"/>
    <x v="2"/>
    <n v="6"/>
    <n v="1090"/>
    <n v="2.9"/>
    <n v="6350.34"/>
    <s v="Cancelled"/>
    <s v="Hyderabad"/>
    <n v="0"/>
    <b v="1"/>
    <x v="3"/>
    <s v="Retail"/>
    <n v="52"/>
    <x v="1"/>
    <n v="464"/>
  </r>
  <r>
    <s v="ORD-00367"/>
    <x v="234"/>
    <s v="CUST-0225"/>
    <s v="PROD-041"/>
    <x v="21"/>
    <n v="8"/>
    <n v="1540"/>
    <n v="17.899999999999999"/>
    <n v="10114.719999999999"/>
    <s v="Pending"/>
    <s v="Chennai"/>
    <n v="0"/>
    <b v="0"/>
    <x v="5"/>
    <s v="SMB"/>
    <n v="26"/>
    <x v="3"/>
    <n v="647"/>
  </r>
  <r>
    <s v="ORD-00368"/>
    <x v="2"/>
    <s v="CUST-0163"/>
    <s v="PROD-002"/>
    <x v="8"/>
    <n v="9"/>
    <n v="2600"/>
    <n v="4.0999999999999996"/>
    <n v="22440.6"/>
    <s v="Completed"/>
    <s v="Pune"/>
    <n v="0"/>
    <b v="1"/>
    <x v="4"/>
    <s v="Retail"/>
    <n v="49"/>
    <x v="2"/>
    <n v="1052"/>
  </r>
  <r>
    <s v="ORD-00369"/>
    <x v="235"/>
    <s v="CUST-0196"/>
    <s v="PROD-060"/>
    <x v="0"/>
    <n v="2"/>
    <n v="190"/>
    <n v="4.8"/>
    <n v="361.76"/>
    <s v="Completed"/>
    <s v="Chennai"/>
    <n v="0"/>
    <b v="1"/>
    <x v="1"/>
    <s v="Retail"/>
    <n v="26"/>
    <x v="0"/>
    <n v="147"/>
  </r>
  <r>
    <s v="ORD-00370"/>
    <x v="236"/>
    <s v="CUST-0002"/>
    <s v="PROD-019"/>
    <x v="2"/>
    <n v="9"/>
    <n v="2480"/>
    <n v="28.3"/>
    <n v="16003.44"/>
    <s v="Completed"/>
    <s v="Pune"/>
    <n v="0"/>
    <b v="1"/>
    <x v="0"/>
    <s v="Corporate"/>
    <n v="42"/>
    <x v="1"/>
    <n v="1173"/>
  </r>
  <r>
    <s v="ORD-00371"/>
    <x v="33"/>
    <s v="CUST-0057"/>
    <s v="PROD-042"/>
    <x v="3"/>
    <n v="7"/>
    <n v="2290"/>
    <n v="25"/>
    <n v="12022.5"/>
    <s v="Cancelled"/>
    <s v="Pune"/>
    <n v="0"/>
    <b v="1"/>
    <x v="5"/>
    <s v="Retail"/>
    <n v="35"/>
    <x v="0"/>
    <n v="1219"/>
  </r>
  <r>
    <s v="ORD-00372"/>
    <x v="237"/>
    <s v="CUST-0112"/>
    <s v="PROD-041"/>
    <x v="15"/>
    <n v="9"/>
    <n v="1540"/>
    <n v="23.3"/>
    <n v="10630.62"/>
    <s v="Completed"/>
    <s v="Hyderabad"/>
    <n v="1"/>
    <b v="0"/>
    <x v="5"/>
    <s v="Retail"/>
    <n v="64"/>
    <x v="1"/>
    <n v="647"/>
  </r>
  <r>
    <s v="ORD-00373"/>
    <x v="168"/>
    <s v="CUST-0131"/>
    <s v="PROD-034"/>
    <x v="5"/>
    <n v="2"/>
    <n v="5080"/>
    <n v="2.5"/>
    <n v="9906"/>
    <s v="Cancelled"/>
    <s v="Delhi"/>
    <n v="0"/>
    <b v="1"/>
    <x v="3"/>
    <s v="SMB"/>
    <n v="28"/>
    <x v="2"/>
    <n v="2459"/>
  </r>
  <r>
    <s v="ORD-00374"/>
    <x v="238"/>
    <s v="CUST-0124"/>
    <s v="PROD-017"/>
    <x v="29"/>
    <n v="4"/>
    <n v="2510"/>
    <n v="23.6"/>
    <n v="7670.56"/>
    <s v="Completed"/>
    <s v="Pune"/>
    <n v="0"/>
    <b v="0"/>
    <x v="0"/>
    <s v="Retail"/>
    <n v="57"/>
    <x v="1"/>
    <n v="1075"/>
  </r>
  <r>
    <s v="ORD-00375"/>
    <x v="10"/>
    <s v="CUST-0131"/>
    <s v="PROD-042"/>
    <x v="23"/>
    <n v="5"/>
    <n v="2290"/>
    <n v="17"/>
    <n v="9503.5"/>
    <s v="Completed"/>
    <s v="Delhi"/>
    <n v="0"/>
    <b v="1"/>
    <x v="5"/>
    <s v="SMB"/>
    <n v="28"/>
    <x v="1"/>
    <n v="1219"/>
  </r>
  <r>
    <s v="ORD-00376"/>
    <x v="1"/>
    <s v="CUST-0084"/>
    <s v="PROD-053"/>
    <x v="3"/>
    <n v="8"/>
    <n v="470"/>
    <n v="9.3000000000000007"/>
    <n v="3410.32"/>
    <s v="Completed"/>
    <s v="Chennai"/>
    <n v="0"/>
    <b v="0"/>
    <x v="1"/>
    <s v="Retail"/>
    <n v="28"/>
    <x v="0"/>
    <n v="302"/>
  </r>
  <r>
    <s v="ORD-00377"/>
    <x v="148"/>
    <s v="CUST-0082"/>
    <s v="PROD-048"/>
    <x v="18"/>
    <n v="8"/>
    <n v="5100"/>
    <n v="4.5999999999999996"/>
    <n v="38923.199999999997"/>
    <s v="Completed"/>
    <s v="Hyderabad"/>
    <n v="0"/>
    <b v="1"/>
    <x v="5"/>
    <s v="SMB"/>
    <n v="36"/>
    <x v="1"/>
    <n v="2237"/>
  </r>
  <r>
    <s v="ORD-00378"/>
    <x v="197"/>
    <s v="CUST-0242"/>
    <s v="PROD-001"/>
    <x v="9"/>
    <n v="7"/>
    <n v="5330"/>
    <n v="2.5"/>
    <n v="36377.25"/>
    <s v="Completed"/>
    <s v="Chennai"/>
    <n v="0"/>
    <b v="1"/>
    <x v="4"/>
    <s v="SMB"/>
    <n v="59"/>
    <x v="1"/>
    <n v="2405"/>
  </r>
  <r>
    <s v="ORD-00379"/>
    <x v="234"/>
    <s v="CUST-0074"/>
    <s v="PROD-033"/>
    <x v="8"/>
    <n v="10"/>
    <n v="2030"/>
    <n v="8.5"/>
    <n v="18574.5"/>
    <s v="Completed"/>
    <s v="Bengaluru"/>
    <n v="0"/>
    <b v="1"/>
    <x v="3"/>
    <s v="Retail"/>
    <n v="27"/>
    <x v="2"/>
    <n v="1143"/>
  </r>
  <r>
    <s v="ORD-00380"/>
    <x v="9"/>
    <s v="CUST-0221"/>
    <s v="PROD-034"/>
    <x v="11"/>
    <n v="8"/>
    <n v="5080"/>
    <n v="9.6"/>
    <n v="36738.559999999998"/>
    <s v="Cancelled"/>
    <s v="Delhi"/>
    <n v="0"/>
    <b v="1"/>
    <x v="3"/>
    <s v="SMB"/>
    <n v="29"/>
    <x v="0"/>
    <n v="2459"/>
  </r>
  <r>
    <s v="ORD-00381"/>
    <x v="239"/>
    <s v="CUST-0101"/>
    <s v="PROD-023"/>
    <x v="2"/>
    <n v="1"/>
    <n v="2380"/>
    <n v="11.6"/>
    <n v="2103.92"/>
    <s v="Pending"/>
    <s v="Hyderabad"/>
    <n v="0"/>
    <b v="1"/>
    <x v="2"/>
    <s v="SMB"/>
    <n v="40"/>
    <x v="1"/>
    <n v="1182"/>
  </r>
  <r>
    <s v="ORD-00382"/>
    <x v="222"/>
    <s v="CUST-0203"/>
    <s v="PROD-041"/>
    <x v="28"/>
    <n v="8"/>
    <n v="1540"/>
    <n v="27.8"/>
    <n v="8895.0400000000009"/>
    <s v="Completed"/>
    <s v="Chennai"/>
    <n v="0"/>
    <b v="0"/>
    <x v="5"/>
    <s v="SMB"/>
    <n v="55"/>
    <x v="2"/>
    <n v="647"/>
  </r>
  <r>
    <s v="ORD-00383"/>
    <x v="157"/>
    <s v="CUST-0209"/>
    <s v="PROD-024"/>
    <x v="6"/>
    <n v="1"/>
    <n v="2270"/>
    <n v="6.5"/>
    <n v="2122.4499999999998"/>
    <s v="Pending"/>
    <s v="Pune"/>
    <n v="0"/>
    <b v="1"/>
    <x v="2"/>
    <s v="Retail"/>
    <n v="31"/>
    <x v="2"/>
    <n v="1203"/>
  </r>
  <r>
    <s v="ORD-00384"/>
    <x v="240"/>
    <s v="CUST-0094"/>
    <s v="PROD-019"/>
    <x v="8"/>
    <n v="6"/>
    <n v="2480"/>
    <n v="25.9"/>
    <n v="11026.08"/>
    <s v="Completed"/>
    <s v="Pune"/>
    <n v="0"/>
    <b v="1"/>
    <x v="0"/>
    <s v="SMB"/>
    <n v="60"/>
    <x v="2"/>
    <n v="1173"/>
  </r>
  <r>
    <s v="ORD-00385"/>
    <x v="170"/>
    <s v="CUST-0248"/>
    <s v="PROD-018"/>
    <x v="7"/>
    <n v="3"/>
    <n v="3560"/>
    <n v="0.4"/>
    <n v="10637.28"/>
    <s v="Refunded"/>
    <s v="Chennai"/>
    <n v="0"/>
    <b v="1"/>
    <x v="0"/>
    <s v="SMB"/>
    <n v="57"/>
    <x v="3"/>
    <n v="2629"/>
  </r>
  <r>
    <s v="ORD-00386"/>
    <x v="124"/>
    <s v="CUST-0297"/>
    <s v="PROD-008"/>
    <x v="3"/>
    <n v="4"/>
    <n v="2660"/>
    <n v="19.7"/>
    <n v="8543.92"/>
    <s v="Cancelled"/>
    <s v="Hyderabad"/>
    <n v="0"/>
    <b v="0"/>
    <x v="4"/>
    <s v="Retail"/>
    <n v="50"/>
    <x v="0"/>
    <n v="1259"/>
  </r>
  <r>
    <s v="ORD-00387"/>
    <x v="194"/>
    <s v="CUST-0107"/>
    <s v="PROD-009"/>
    <x v="22"/>
    <n v="10"/>
    <n v="1220"/>
    <n v="10.1"/>
    <n v="10967.8"/>
    <s v="Cancelled"/>
    <s v="Pune"/>
    <n v="0"/>
    <b v="1"/>
    <x v="4"/>
    <s v="Retail"/>
    <n v="50"/>
    <x v="1"/>
    <n v="517"/>
  </r>
  <r>
    <s v="ORD-00388"/>
    <x v="241"/>
    <s v="CUST-0247"/>
    <s v="PROD-002"/>
    <x v="2"/>
    <n v="8"/>
    <n v="2600"/>
    <n v="26.7"/>
    <n v="15246.4"/>
    <s v="Completed"/>
    <s v="Pune"/>
    <n v="0"/>
    <b v="1"/>
    <x v="4"/>
    <s v="SMB"/>
    <n v="35"/>
    <x v="1"/>
    <n v="1052"/>
  </r>
  <r>
    <s v="ORD-00389"/>
    <x v="242"/>
    <s v="CUST-0047"/>
    <s v="PROD-011"/>
    <x v="16"/>
    <n v="10"/>
    <n v="3450"/>
    <n v="20.399999999999999"/>
    <n v="27462"/>
    <s v="Completed"/>
    <s v="Pune"/>
    <n v="0"/>
    <b v="1"/>
    <x v="0"/>
    <s v="Retail"/>
    <n v="49"/>
    <x v="3"/>
    <n v="1748"/>
  </r>
  <r>
    <s v="ORD-00390"/>
    <x v="242"/>
    <s v="CUST-0118"/>
    <s v="PROD-056"/>
    <x v="7"/>
    <n v="1"/>
    <n v="6940"/>
    <n v="9.6999999999999993"/>
    <n v="6266.82"/>
    <s v="Completed"/>
    <s v="Hyderabad"/>
    <n v="0"/>
    <b v="1"/>
    <x v="1"/>
    <s v="Retail"/>
    <n v="26"/>
    <x v="3"/>
    <n v="2827"/>
  </r>
  <r>
    <s v="ORD-00391"/>
    <x v="243"/>
    <s v="CUST-0019"/>
    <s v="PROD-043"/>
    <x v="3"/>
    <n v="10"/>
    <n v="3350"/>
    <n v="3.2"/>
    <n v="32428"/>
    <s v="Completed"/>
    <s v="Chennai"/>
    <n v="0"/>
    <b v="1"/>
    <x v="5"/>
    <s v="Retail"/>
    <n v="22"/>
    <x v="0"/>
    <n v="1728"/>
  </r>
  <r>
    <s v="ORD-00392"/>
    <x v="244"/>
    <s v="CUST-0290"/>
    <s v="PROD-041"/>
    <x v="17"/>
    <n v="7"/>
    <n v="1540"/>
    <n v="0.5"/>
    <n v="10726.1"/>
    <s v="Completed"/>
    <s v="Delhi"/>
    <n v="0"/>
    <b v="0"/>
    <x v="5"/>
    <s v="Retail"/>
    <n v="63"/>
    <x v="2"/>
    <n v="647"/>
  </r>
  <r>
    <s v="ORD-00393"/>
    <x v="219"/>
    <s v="CUST-9557"/>
    <s v="PROD-014"/>
    <x v="17"/>
    <n v="10"/>
    <n v="3620"/>
    <n v="22"/>
    <n v="28236"/>
    <s v="Completed"/>
    <s v="Pune"/>
    <n v="0"/>
    <b v="1"/>
    <x v="0"/>
    <e v="#N/A"/>
    <e v="#N/A"/>
    <x v="2"/>
    <n v="2509"/>
  </r>
  <r>
    <s v="ORD-00394"/>
    <x v="98"/>
    <s v="CUST-0291"/>
    <s v="PROD-053"/>
    <x v="17"/>
    <n v="2"/>
    <n v="470"/>
    <n v="26.5"/>
    <n v="690.9"/>
    <s v="Pending"/>
    <s v="Pune"/>
    <n v="0"/>
    <b v="0"/>
    <x v="1"/>
    <s v="SMB"/>
    <n v="29"/>
    <x v="2"/>
    <n v="302"/>
  </r>
  <r>
    <s v="ORD-00395"/>
    <x v="46"/>
    <s v="CUST-0045"/>
    <s v="PROD-028"/>
    <x v="9"/>
    <n v="6"/>
    <n v="3660"/>
    <n v="1.5"/>
    <n v="21630.6"/>
    <s v="Completed"/>
    <s v="Chennai"/>
    <n v="0"/>
    <b v="0"/>
    <x v="2"/>
    <s v="SMB"/>
    <n v="39"/>
    <x v="1"/>
    <n v="2214"/>
  </r>
  <r>
    <s v="ORD-00396"/>
    <x v="39"/>
    <s v="CUST-0281"/>
    <s v="PROD-056"/>
    <x v="21"/>
    <n v="10"/>
    <n v="6940"/>
    <n v="1.9"/>
    <n v="68081.399999999994"/>
    <s v="Completed"/>
    <s v="Bengaluru"/>
    <n v="0"/>
    <b v="1"/>
    <x v="1"/>
    <s v="Corporate"/>
    <n v="57"/>
    <x v="3"/>
    <n v="2827"/>
  </r>
  <r>
    <s v="ORD-00397"/>
    <x v="245"/>
    <s v="CUST-0073"/>
    <s v="PROD-042"/>
    <x v="1"/>
    <n v="8"/>
    <n v="2290"/>
    <n v="27.9"/>
    <n v="13208.72"/>
    <s v="Completed"/>
    <s v="Pune"/>
    <n v="0"/>
    <b v="1"/>
    <x v="5"/>
    <s v="Corporate"/>
    <n v="40"/>
    <x v="0"/>
    <n v="1219"/>
  </r>
  <r>
    <s v="ORD-00398"/>
    <x v="52"/>
    <s v="CUST-0043"/>
    <s v="PROD-012"/>
    <x v="6"/>
    <n v="9"/>
    <n v="3160"/>
    <n v="10.199999999999999"/>
    <n v="25539.119999999999"/>
    <s v="Completed"/>
    <s v="Hyderabad"/>
    <n v="0"/>
    <b v="1"/>
    <x v="0"/>
    <s v="Retail"/>
    <n v="61"/>
    <x v="2"/>
    <n v="1886"/>
  </r>
  <r>
    <s v="ORD-00399"/>
    <x v="246"/>
    <s v="CUST-0154"/>
    <s v="PROD-034"/>
    <x v="8"/>
    <n v="6"/>
    <n v="5080"/>
    <n v="25.4"/>
    <n v="22738.080000000002"/>
    <s v="Completed"/>
    <s v="Pune"/>
    <n v="0"/>
    <b v="1"/>
    <x v="3"/>
    <s v="Retail"/>
    <n v="36"/>
    <x v="2"/>
    <n v="2459"/>
  </r>
  <r>
    <s v="ORD-00400"/>
    <x v="247"/>
    <s v="CUST-0061"/>
    <s v="PROD-021"/>
    <x v="27"/>
    <n v="6"/>
    <n v="2760"/>
    <n v="21.3"/>
    <n v="13032.72"/>
    <s v="Completed"/>
    <s v="Hyderabad"/>
    <n v="0"/>
    <b v="1"/>
    <x v="2"/>
    <s v="Retail"/>
    <n v="64"/>
    <x v="1"/>
    <n v="1435"/>
  </r>
  <r>
    <s v="ORD-00401"/>
    <x v="32"/>
    <s v="CUST-9654"/>
    <s v="PROD-009"/>
    <x v="27"/>
    <n v="5"/>
    <n v="1220"/>
    <n v="7.6"/>
    <n v="5636.4"/>
    <s v="Completed"/>
    <s v="Mumbai"/>
    <n v="0"/>
    <b v="1"/>
    <x v="4"/>
    <e v="#N/A"/>
    <e v="#N/A"/>
    <x v="1"/>
    <n v="517"/>
  </r>
  <r>
    <s v="ORD-00402"/>
    <x v="81"/>
    <s v="CUST-0189"/>
    <s v="PROD-046"/>
    <x v="8"/>
    <n v="5"/>
    <n v="4880"/>
    <n v="8.5"/>
    <n v="22326"/>
    <s v="Completed"/>
    <s v="Chennai"/>
    <n v="0"/>
    <b v="1"/>
    <x v="5"/>
    <s v="Retail"/>
    <n v="41"/>
    <x v="2"/>
    <n v="2768"/>
  </r>
  <r>
    <s v="ORD-00403"/>
    <x v="102"/>
    <s v="CUST-0152"/>
    <s v="PROD-026"/>
    <x v="24"/>
    <n v="7"/>
    <n v="4070"/>
    <n v="28"/>
    <n v="20512.8"/>
    <s v="Completed"/>
    <s v="Bengaluru"/>
    <n v="0"/>
    <b v="1"/>
    <x v="2"/>
    <s v="SMB"/>
    <n v="64"/>
    <x v="3"/>
    <n v="2027"/>
  </r>
  <r>
    <s v="ORD-00404"/>
    <x v="47"/>
    <s v="CUST-0284"/>
    <s v="PROD-006"/>
    <x v="8"/>
    <n v="2"/>
    <n v="3970"/>
    <n v="14"/>
    <n v="6828.4"/>
    <s v="Completed"/>
    <s v="Hyderabad"/>
    <n v="0"/>
    <b v="1"/>
    <x v="4"/>
    <s v="SMB"/>
    <n v="65"/>
    <x v="2"/>
    <n v="2865"/>
  </r>
  <r>
    <s v="ORD-00405"/>
    <x v="134"/>
    <s v="CUST-0175"/>
    <s v="PROD-008"/>
    <x v="26"/>
    <n v="9"/>
    <n v="2660"/>
    <n v="10.1"/>
    <n v="21522.06"/>
    <s v="Completed"/>
    <s v="Delhi"/>
    <n v="0"/>
    <b v="0"/>
    <x v="4"/>
    <s v="Corporate"/>
    <n v="55"/>
    <x v="3"/>
    <n v="1259"/>
  </r>
  <r>
    <s v="ORD-00406"/>
    <x v="192"/>
    <s v="CUST-0093"/>
    <s v="PROD-055"/>
    <x v="24"/>
    <n v="9"/>
    <n v="2860"/>
    <n v="10.1"/>
    <n v="23140.26"/>
    <s v="Refunded"/>
    <s v="Pune"/>
    <n v="0"/>
    <b v="1"/>
    <x v="1"/>
    <s v="Retail"/>
    <n v="36"/>
    <x v="3"/>
    <n v="2028"/>
  </r>
  <r>
    <s v="ORD-00407"/>
    <x v="157"/>
    <s v="CUST-0033"/>
    <s v="PROD-009"/>
    <x v="0"/>
    <n v="7"/>
    <n v="1220"/>
    <n v="23.5"/>
    <n v="6533.1"/>
    <s v="Refunded"/>
    <s v="Delhi"/>
    <n v="0"/>
    <b v="1"/>
    <x v="4"/>
    <s v="Retail"/>
    <n v="35"/>
    <x v="0"/>
    <n v="517"/>
  </r>
  <r>
    <s v="ORD-00408"/>
    <x v="241"/>
    <s v="CUST-0294"/>
    <s v="PROD-022"/>
    <x v="17"/>
    <n v="1"/>
    <n v="2270"/>
    <n v="5.8"/>
    <n v="2138.34"/>
    <s v="Cancelled"/>
    <s v="Delhi"/>
    <n v="0"/>
    <b v="1"/>
    <x v="2"/>
    <s v="Corporate"/>
    <n v="31"/>
    <x v="2"/>
    <n v="1412"/>
  </r>
  <r>
    <s v="ORD-00409"/>
    <x v="248"/>
    <s v="CUST-0115"/>
    <s v="PROD-037"/>
    <x v="25"/>
    <n v="2"/>
    <n v="660"/>
    <n v="2.2999999999999998"/>
    <n v="1289.6400000000001"/>
    <s v="Completed"/>
    <s v="Mumbai"/>
    <n v="0"/>
    <b v="1"/>
    <x v="3"/>
    <s v="SMB"/>
    <n v="65"/>
    <x v="0"/>
    <n v="329"/>
  </r>
  <r>
    <s v="ORD-00410"/>
    <x v="236"/>
    <s v="CUST-0219"/>
    <s v="PROD-012"/>
    <x v="2"/>
    <n v="1"/>
    <n v="3160"/>
    <n v="5.6"/>
    <n v="2983.04"/>
    <s v="Completed"/>
    <s v="Chennai"/>
    <n v="0"/>
    <b v="1"/>
    <x v="0"/>
    <s v="Corporate"/>
    <n v="38"/>
    <x v="1"/>
    <n v="1886"/>
  </r>
  <r>
    <s v="ORD-00411"/>
    <x v="199"/>
    <s v="CUST-0180"/>
    <s v="PROD-002"/>
    <x v="22"/>
    <n v="1"/>
    <n v="2600"/>
    <n v="1"/>
    <n v="2574"/>
    <s v="Completed"/>
    <s v="Chennai"/>
    <n v="0"/>
    <b v="1"/>
    <x v="4"/>
    <s v="Retail"/>
    <n v="36"/>
    <x v="1"/>
    <n v="1052"/>
  </r>
  <r>
    <s v="ORD-00412"/>
    <x v="50"/>
    <s v="CUST-0148"/>
    <s v="PROD-039"/>
    <x v="2"/>
    <n v="4"/>
    <n v="4610"/>
    <n v="18.7"/>
    <n v="14991.72"/>
    <s v="Completed"/>
    <s v="Chennai"/>
    <n v="0"/>
    <b v="1"/>
    <x v="3"/>
    <s v="Retail"/>
    <n v="32"/>
    <x v="1"/>
    <n v="1850"/>
  </r>
  <r>
    <s v="ORD-00413"/>
    <x v="249"/>
    <s v="CUST-0026"/>
    <s v="PROD-013"/>
    <x v="26"/>
    <n v="3"/>
    <n v="3640"/>
    <n v="9.6999999999999993"/>
    <n v="9860.76"/>
    <s v="Cancelled"/>
    <s v="Pune"/>
    <n v="0"/>
    <b v="1"/>
    <x v="0"/>
    <s v="Retail"/>
    <n v="62"/>
    <x v="3"/>
    <n v="2611"/>
  </r>
  <r>
    <s v="ORD-00414"/>
    <x v="120"/>
    <s v="CUST-0246"/>
    <s v="PROD-015"/>
    <x v="10"/>
    <n v="6"/>
    <n v="2720"/>
    <n v="13"/>
    <n v="14198.4"/>
    <s v="Pending"/>
    <s v="Delhi"/>
    <n v="0"/>
    <b v="1"/>
    <x v="0"/>
    <s v="SMB"/>
    <n v="29"/>
    <x v="0"/>
    <n v="1962"/>
  </r>
  <r>
    <s v="ORD-00415"/>
    <x v="128"/>
    <s v="CUST-0125"/>
    <s v="PROD-059"/>
    <x v="4"/>
    <n v="5"/>
    <n v="3780"/>
    <n v="15.2"/>
    <n v="16027.2"/>
    <s v="Completed"/>
    <s v="Delhi"/>
    <n v="0"/>
    <b v="1"/>
    <x v="1"/>
    <s v="Retail"/>
    <n v="45"/>
    <x v="0"/>
    <n v="1860"/>
  </r>
  <r>
    <s v="ORD-00416"/>
    <x v="192"/>
    <s v="CUST-0190"/>
    <s v="PROD-035"/>
    <x v="14"/>
    <n v="9"/>
    <n v="1090"/>
    <n v="28.5"/>
    <n v="7014.15"/>
    <s v="Completed"/>
    <s v="Hyderabad"/>
    <n v="0"/>
    <b v="1"/>
    <x v="3"/>
    <s v="Retail"/>
    <n v="52"/>
    <x v="2"/>
    <n v="464"/>
  </r>
  <r>
    <s v="ORD-00417"/>
    <x v="248"/>
    <s v="CUST-0085"/>
    <s v="PROD-035"/>
    <x v="8"/>
    <n v="6"/>
    <n v="1090"/>
    <n v="28.7"/>
    <n v="4663.0200000000004"/>
    <s v="Completed"/>
    <s v="Chennai"/>
    <n v="0"/>
    <b v="1"/>
    <x v="3"/>
    <s v="Retail"/>
    <n v="26"/>
    <x v="2"/>
    <n v="464"/>
  </r>
  <r>
    <s v="ORD-00418"/>
    <x v="250"/>
    <s v="CUST-0249"/>
    <s v="PROD-017"/>
    <x v="14"/>
    <n v="5"/>
    <n v="2510"/>
    <n v="25"/>
    <n v="9412.5"/>
    <s v="Completed"/>
    <s v="Mumbai"/>
    <n v="0"/>
    <b v="0"/>
    <x v="0"/>
    <s v="Retail"/>
    <n v="44"/>
    <x v="2"/>
    <n v="1075"/>
  </r>
  <r>
    <s v="ORD-00419"/>
    <x v="251"/>
    <s v="CUST-0012"/>
    <s v="PROD-006"/>
    <x v="9"/>
    <n v="5"/>
    <n v="3970"/>
    <n v="26"/>
    <n v="14689"/>
    <s v="Completed"/>
    <s v="Pune"/>
    <n v="0"/>
    <b v="1"/>
    <x v="4"/>
    <s v="Retail"/>
    <n v="43"/>
    <x v="1"/>
    <n v="2865"/>
  </r>
  <r>
    <s v="ORD-00420"/>
    <x v="144"/>
    <s v="CUST-0251"/>
    <s v="PROD-026"/>
    <x v="19"/>
    <n v="9"/>
    <n v="4070"/>
    <n v="15.7"/>
    <n v="30879.09"/>
    <s v="Completed"/>
    <s v="Mumbai"/>
    <n v="0"/>
    <b v="1"/>
    <x v="2"/>
    <s v="Retail"/>
    <n v="44"/>
    <x v="0"/>
    <n v="2027"/>
  </r>
  <r>
    <s v="ORD-00421"/>
    <x v="196"/>
    <s v="CUST-0088"/>
    <s v="PROD-038"/>
    <x v="10"/>
    <n v="6"/>
    <n v="5490"/>
    <n v="8.5"/>
    <n v="30140.1"/>
    <s v="Refunded"/>
    <s v="Chennai"/>
    <n v="0"/>
    <b v="1"/>
    <x v="3"/>
    <s v="Retail"/>
    <n v="24"/>
    <x v="0"/>
    <n v="2549"/>
  </r>
  <r>
    <s v="ORD-00422"/>
    <x v="70"/>
    <s v="CUST-0037"/>
    <s v="PROD-054"/>
    <x v="24"/>
    <n v="9"/>
    <n v="1010"/>
    <n v="3.6"/>
    <n v="8762.76"/>
    <s v="Completed"/>
    <s v="Bengaluru"/>
    <n v="0"/>
    <b v="1"/>
    <x v="1"/>
    <s v="Retail"/>
    <n v="52"/>
    <x v="3"/>
    <n v="516"/>
  </r>
  <r>
    <s v="ORD-00423"/>
    <x v="252"/>
    <s v="CUST-0039"/>
    <s v="PROD-028"/>
    <x v="4"/>
    <n v="6"/>
    <n v="3660"/>
    <n v="10.8"/>
    <n v="19588.32"/>
    <s v="Completed"/>
    <s v="Bengaluru"/>
    <n v="0"/>
    <b v="0"/>
    <x v="2"/>
    <s v="Retail"/>
    <n v="37"/>
    <x v="0"/>
    <n v="2214"/>
  </r>
  <r>
    <s v="ORD-00424"/>
    <x v="111"/>
    <s v="CUST-0106"/>
    <s v="PROD-047"/>
    <x v="29"/>
    <n v="6"/>
    <n v="3450"/>
    <n v="10.7"/>
    <n v="18485.099999999999"/>
    <s v="Completed"/>
    <s v="Pune"/>
    <n v="0"/>
    <b v="1"/>
    <x v="5"/>
    <s v="Retail"/>
    <n v="22"/>
    <x v="1"/>
    <n v="2420"/>
  </r>
  <r>
    <s v="ORD-00425"/>
    <x v="229"/>
    <s v="CUST-0222"/>
    <s v="PROD-026"/>
    <x v="23"/>
    <n v="10"/>
    <n v="4070"/>
    <n v="23.4"/>
    <n v="31176.2"/>
    <s v="Refunded"/>
    <s v="Chennai"/>
    <n v="0"/>
    <b v="1"/>
    <x v="2"/>
    <s v="Retail"/>
    <n v="37"/>
    <x v="1"/>
    <n v="2027"/>
  </r>
  <r>
    <s v="ORD-00426"/>
    <x v="253"/>
    <s v="CUST-0130"/>
    <s v="PROD-003"/>
    <x v="5"/>
    <n v="9"/>
    <n v="3570"/>
    <n v="15.2"/>
    <n v="27246.240000000002"/>
    <s v="Completed"/>
    <s v="Bengaluru"/>
    <n v="0"/>
    <b v="1"/>
    <x v="4"/>
    <s v="Corporate"/>
    <n v="41"/>
    <x v="2"/>
    <n v="1665"/>
  </r>
  <r>
    <s v="ORD-00427"/>
    <x v="254"/>
    <s v="CUST-0281"/>
    <s v="PROD-056"/>
    <x v="1"/>
    <n v="10"/>
    <n v="6940"/>
    <n v="21.8"/>
    <n v="54270.8"/>
    <s v="Pending"/>
    <s v="Bengaluru"/>
    <n v="0"/>
    <b v="1"/>
    <x v="1"/>
    <s v="Corporate"/>
    <n v="57"/>
    <x v="0"/>
    <n v="2827"/>
  </r>
  <r>
    <s v="ORD-00428"/>
    <x v="135"/>
    <s v="CUST-0094"/>
    <s v="PROD-044"/>
    <x v="2"/>
    <n v="9"/>
    <n v="1650"/>
    <n v="24.3"/>
    <n v="11241.45"/>
    <s v="Completed"/>
    <s v="Pune"/>
    <n v="0"/>
    <b v="1"/>
    <x v="5"/>
    <s v="SMB"/>
    <n v="60"/>
    <x v="1"/>
    <n v="1222"/>
  </r>
  <r>
    <s v="ORD-00429"/>
    <x v="207"/>
    <s v="CUST-0271"/>
    <s v="PROD-007"/>
    <x v="2"/>
    <n v="10"/>
    <n v="1430"/>
    <n v="25.2"/>
    <n v="10696.4"/>
    <s v="Completed"/>
    <s v="Bengaluru"/>
    <n v="0"/>
    <b v="1"/>
    <x v="4"/>
    <s v="Corporate"/>
    <n v="41"/>
    <x v="1"/>
    <n v="861"/>
  </r>
  <r>
    <s v="ORD-00430"/>
    <x v="178"/>
    <s v="CUST-0110"/>
    <s v="PROD-025"/>
    <x v="9"/>
    <n v="4"/>
    <n v="4060"/>
    <n v="1.6"/>
    <n v="15980.16"/>
    <s v="Completed"/>
    <s v="Pune"/>
    <n v="0"/>
    <b v="1"/>
    <x v="2"/>
    <s v="Corporate"/>
    <n v="31"/>
    <x v="1"/>
    <n v="2911"/>
  </r>
  <r>
    <s v="ORD-00431"/>
    <x v="103"/>
    <s v="CUST-0262"/>
    <s v="PROD-032"/>
    <x v="1"/>
    <n v="9"/>
    <n v="370"/>
    <n v="17"/>
    <n v="2763.9"/>
    <s v="Completed"/>
    <s v="Mumbai"/>
    <n v="0"/>
    <b v="1"/>
    <x v="3"/>
    <s v="Retail"/>
    <n v="52"/>
    <x v="0"/>
    <n v="288"/>
  </r>
  <r>
    <s v="ORD-00432"/>
    <x v="94"/>
    <s v="CUST-0157"/>
    <s v="PROD-041"/>
    <x v="9"/>
    <n v="1"/>
    <n v="1540"/>
    <n v="24"/>
    <n v="1170.4000000000001"/>
    <s v="Cancelled"/>
    <s v="Pune"/>
    <n v="0"/>
    <b v="0"/>
    <x v="5"/>
    <s v="Corporate"/>
    <n v="52"/>
    <x v="1"/>
    <n v="647"/>
  </r>
  <r>
    <s v="ORD-00433"/>
    <x v="143"/>
    <s v="CUST-0135"/>
    <s v="PROD-002"/>
    <x v="5"/>
    <n v="9"/>
    <n v="2600"/>
    <n v="7.7"/>
    <n v="21598.2"/>
    <s v="Completed"/>
    <s v="Pune"/>
    <n v="0"/>
    <b v="1"/>
    <x v="4"/>
    <s v="SMB"/>
    <n v="24"/>
    <x v="2"/>
    <n v="1052"/>
  </r>
  <r>
    <s v="ORD-00434"/>
    <x v="255"/>
    <s v="CUST-0136"/>
    <s v="PROD-017"/>
    <x v="15"/>
    <n v="8"/>
    <n v="2510"/>
    <n v="3.7"/>
    <n v="19337.04"/>
    <s v="Completed"/>
    <s v="Chennai"/>
    <n v="0"/>
    <b v="0"/>
    <x v="0"/>
    <s v="SMB"/>
    <n v="26"/>
    <x v="1"/>
    <n v="1075"/>
  </r>
  <r>
    <s v="ORD-00435"/>
    <x v="256"/>
    <s v="CUST-0110"/>
    <s v="PROD-001"/>
    <x v="11"/>
    <n v="6"/>
    <n v="5330"/>
    <n v="8.4"/>
    <n v="29293.68"/>
    <s v="Completed"/>
    <s v="Pune"/>
    <n v="0"/>
    <b v="1"/>
    <x v="4"/>
    <s v="Corporate"/>
    <n v="31"/>
    <x v="0"/>
    <n v="2405"/>
  </r>
  <r>
    <s v="ORD-00436"/>
    <x v="190"/>
    <s v="CUST-0192"/>
    <s v="PROD-034"/>
    <x v="2"/>
    <n v="5"/>
    <n v="5080"/>
    <n v="10.3"/>
    <n v="22783.8"/>
    <s v="Completed"/>
    <s v="Bengaluru"/>
    <n v="0"/>
    <b v="1"/>
    <x v="3"/>
    <s v="Retail"/>
    <n v="55"/>
    <x v="1"/>
    <n v="2459"/>
  </r>
  <r>
    <s v="ORD-00437"/>
    <x v="257"/>
    <s v="CUST-0169"/>
    <s v="PROD-026"/>
    <x v="5"/>
    <n v="3"/>
    <n v="4070"/>
    <n v="23.7"/>
    <n v="9316.23"/>
    <s v="Completed"/>
    <s v="Bengaluru"/>
    <n v="0"/>
    <b v="1"/>
    <x v="2"/>
    <s v="SMB"/>
    <n v="42"/>
    <x v="2"/>
    <n v="2027"/>
  </r>
  <r>
    <s v="ORD-00438"/>
    <x v="187"/>
    <s v="CUST-0086"/>
    <s v="PROD-016"/>
    <x v="22"/>
    <n v="4"/>
    <n v="620"/>
    <n v="18.8"/>
    <n v="2013.76"/>
    <s v="Completed"/>
    <s v="Hyderabad"/>
    <n v="0"/>
    <b v="1"/>
    <x v="0"/>
    <s v="Corporate"/>
    <n v="56"/>
    <x v="1"/>
    <n v="396"/>
  </r>
  <r>
    <s v="ORD-00439"/>
    <x v="108"/>
    <s v="CUST-0217"/>
    <s v="PROD-010"/>
    <x v="21"/>
    <n v="10"/>
    <n v="2640"/>
    <n v="12.7"/>
    <n v="23047.200000000001"/>
    <s v="Completed"/>
    <s v="Pune"/>
    <n v="0"/>
    <b v="1"/>
    <x v="4"/>
    <s v="SMB"/>
    <n v="59"/>
    <x v="3"/>
    <n v="1149"/>
  </r>
  <r>
    <s v="ORD-00440"/>
    <x v="179"/>
    <s v="CUST-0119"/>
    <s v="PROD-026"/>
    <x v="14"/>
    <n v="2"/>
    <n v="4070"/>
    <n v="29"/>
    <n v="5779.4"/>
    <s v="Completed"/>
    <s v="Bengaluru"/>
    <n v="0"/>
    <b v="1"/>
    <x v="2"/>
    <s v="SMB"/>
    <n v="43"/>
    <x v="2"/>
    <n v="2027"/>
  </r>
  <r>
    <s v="ORD-00441"/>
    <x v="230"/>
    <s v="CUST-0011"/>
    <s v="PROD-054"/>
    <x v="0"/>
    <n v="8"/>
    <n v="1010"/>
    <n v="25.4"/>
    <n v="6027.68"/>
    <s v="Completed"/>
    <s v="Chennai"/>
    <n v="0"/>
    <b v="1"/>
    <x v="1"/>
    <s v="Corporate"/>
    <n v="41"/>
    <x v="0"/>
    <n v="516"/>
  </r>
  <r>
    <s v="ORD-00442"/>
    <x v="98"/>
    <s v="CUST-0059"/>
    <s v="PROD-036"/>
    <x v="1"/>
    <n v="8"/>
    <n v="3250"/>
    <n v="5.4"/>
    <n v="24596"/>
    <s v="Completed"/>
    <s v="Pune"/>
    <n v="0"/>
    <b v="1"/>
    <x v="3"/>
    <s v="Corporate"/>
    <n v="29"/>
    <x v="0"/>
    <n v="1556"/>
  </r>
  <r>
    <s v="ORD-00443"/>
    <x v="151"/>
    <s v="CUST-0210"/>
    <s v="PROD-007"/>
    <x v="18"/>
    <n v="7"/>
    <n v="1430"/>
    <n v="19.3"/>
    <n v="8078.07"/>
    <s v="Completed"/>
    <s v="Pune"/>
    <n v="0"/>
    <b v="1"/>
    <x v="4"/>
    <s v="Corporate"/>
    <n v="48"/>
    <x v="1"/>
    <n v="861"/>
  </r>
  <r>
    <s v="ORD-00444"/>
    <x v="100"/>
    <s v="CUST-0145"/>
    <s v="PROD-045"/>
    <x v="26"/>
    <n v="9"/>
    <n v="3020"/>
    <n v="15"/>
    <n v="23103"/>
    <s v="Completed"/>
    <s v="Bengaluru"/>
    <n v="0"/>
    <b v="1"/>
    <x v="5"/>
    <s v="SMB"/>
    <n v="44"/>
    <x v="3"/>
    <n v="1626"/>
  </r>
  <r>
    <s v="ORD-00445"/>
    <x v="258"/>
    <s v="CUST-9626"/>
    <s v="PROD-008"/>
    <x v="25"/>
    <n v="2"/>
    <n v="2660"/>
    <n v="21.4"/>
    <n v="4181.5200000000004"/>
    <s v="Completed"/>
    <s v="Chennai"/>
    <n v="0"/>
    <b v="0"/>
    <x v="4"/>
    <e v="#N/A"/>
    <e v="#N/A"/>
    <x v="0"/>
    <n v="1259"/>
  </r>
  <r>
    <s v="ORD-00446"/>
    <x v="156"/>
    <s v="CUST-0250"/>
    <s v="PROD-003"/>
    <x v="7"/>
    <n v="10"/>
    <n v="3570"/>
    <n v="20.3"/>
    <n v="28452.9"/>
    <s v="Completed"/>
    <s v="Delhi"/>
    <n v="0"/>
    <b v="1"/>
    <x v="4"/>
    <s v="Retail"/>
    <n v="31"/>
    <x v="3"/>
    <n v="1665"/>
  </r>
  <r>
    <s v="ORD-00447"/>
    <x v="259"/>
    <s v="CUST-0241"/>
    <s v="PROD-043"/>
    <x v="9"/>
    <n v="4"/>
    <n v="3350"/>
    <n v="28.1"/>
    <n v="9634.6"/>
    <s v="Completed"/>
    <s v="Pune"/>
    <n v="0"/>
    <b v="1"/>
    <x v="5"/>
    <s v="Corporate"/>
    <n v="47"/>
    <x v="1"/>
    <n v="1728"/>
  </r>
  <r>
    <s v="ORD-00448"/>
    <x v="260"/>
    <s v="CUST-0071"/>
    <s v="PROD-019"/>
    <x v="13"/>
    <n v="1"/>
    <n v="2480"/>
    <n v="13.5"/>
    <n v="2145.1999999999998"/>
    <s v="Completed"/>
    <s v="Delhi"/>
    <n v="0"/>
    <b v="1"/>
    <x v="0"/>
    <s v="Corporate"/>
    <n v="46"/>
    <x v="3"/>
    <n v="1173"/>
  </r>
  <r>
    <s v="ORD-00449"/>
    <x v="51"/>
    <s v="CUST-0017"/>
    <s v="PROD-052"/>
    <x v="15"/>
    <n v="10"/>
    <n v="5410"/>
    <n v="26.1"/>
    <n v="39979.9"/>
    <s v="Completed"/>
    <s v="Delhi"/>
    <n v="0"/>
    <b v="1"/>
    <x v="1"/>
    <s v="SMB"/>
    <n v="38"/>
    <x v="1"/>
    <n v="2265"/>
  </r>
  <r>
    <s v="ORD-00450"/>
    <x v="261"/>
    <s v="CUST-0007"/>
    <s v="PROD-037"/>
    <x v="12"/>
    <n v="2"/>
    <n v="660"/>
    <n v="5"/>
    <n v="1254"/>
    <s v="Completed"/>
    <s v="Bengaluru"/>
    <n v="0"/>
    <b v="1"/>
    <x v="3"/>
    <s v="Retail"/>
    <n v="47"/>
    <x v="3"/>
    <n v="329"/>
  </r>
  <r>
    <s v="ORD-00451"/>
    <x v="262"/>
    <s v="CUST-0054"/>
    <s v="PROD-054"/>
    <x v="0"/>
    <n v="10"/>
    <n v="1010"/>
    <n v="10"/>
    <n v="9090"/>
    <s v="Completed"/>
    <s v="Mumbai"/>
    <n v="0"/>
    <b v="1"/>
    <x v="1"/>
    <s v="Corporate"/>
    <n v="62"/>
    <x v="0"/>
    <n v="516"/>
  </r>
  <r>
    <s v="ORD-00452"/>
    <x v="263"/>
    <s v="CUST-0038"/>
    <s v="PROD-042"/>
    <x v="19"/>
    <n v="3"/>
    <n v="2290"/>
    <n v="8.9"/>
    <n v="6258.57"/>
    <s v="Completed"/>
    <s v="Mumbai"/>
    <n v="0"/>
    <b v="1"/>
    <x v="5"/>
    <s v="Retail"/>
    <n v="57"/>
    <x v="0"/>
    <n v="1219"/>
  </r>
  <r>
    <s v="ORD-00453"/>
    <x v="264"/>
    <s v="CUST-0066"/>
    <s v="PROD-047"/>
    <x v="19"/>
    <n v="9"/>
    <n v="3450"/>
    <n v="24.3"/>
    <n v="23504.85"/>
    <s v="Completed"/>
    <s v="Delhi"/>
    <n v="0"/>
    <b v="1"/>
    <x v="5"/>
    <s v="Retail"/>
    <n v="24"/>
    <x v="0"/>
    <n v="2420"/>
  </r>
  <r>
    <s v="ORD-00454"/>
    <x v="44"/>
    <s v="CUST-0161"/>
    <s v="PROD-013"/>
    <x v="11"/>
    <n v="10"/>
    <n v="3640"/>
    <n v="21.4"/>
    <n v="28610.400000000001"/>
    <s v="Cancelled"/>
    <s v="Chennai"/>
    <n v="0"/>
    <b v="1"/>
    <x v="0"/>
    <s v="Retail"/>
    <n v="38"/>
    <x v="0"/>
    <n v="2611"/>
  </r>
  <r>
    <s v="ORD-00455"/>
    <x v="260"/>
    <s v="CUST-0072"/>
    <s v="PROD-023"/>
    <x v="15"/>
    <n v="5"/>
    <n v="2380"/>
    <n v="12.2"/>
    <n v="10448.200000000001"/>
    <s v="Completed"/>
    <s v="Mumbai"/>
    <n v="0"/>
    <b v="1"/>
    <x v="2"/>
    <s v="Corporate"/>
    <n v="62"/>
    <x v="1"/>
    <n v="1182"/>
  </r>
  <r>
    <s v="ORD-00456"/>
    <x v="265"/>
    <s v="CUST-0232"/>
    <s v="PROD-052"/>
    <x v="21"/>
    <n v="10"/>
    <n v="5410"/>
    <n v="29.8"/>
    <n v="37978.199999999997"/>
    <s v="Completed"/>
    <s v="Hyderabad"/>
    <n v="0"/>
    <b v="1"/>
    <x v="1"/>
    <s v="Retail"/>
    <n v="38"/>
    <x v="3"/>
    <n v="2265"/>
  </r>
  <r>
    <s v="ORD-00457"/>
    <x v="67"/>
    <s v="CUST-0054"/>
    <s v="PROD-044"/>
    <x v="13"/>
    <n v="3"/>
    <n v="1650"/>
    <n v="9.4"/>
    <n v="4484.7"/>
    <s v="Cancelled"/>
    <s v="Mumbai"/>
    <n v="0"/>
    <b v="1"/>
    <x v="5"/>
    <s v="Corporate"/>
    <n v="62"/>
    <x v="3"/>
    <n v="1222"/>
  </r>
  <r>
    <s v="ORD-00458"/>
    <x v="266"/>
    <s v="CUST-0214"/>
    <s v="PROD-002"/>
    <x v="24"/>
    <n v="7"/>
    <n v="2600"/>
    <n v="19.899999999999999"/>
    <n v="14578.2"/>
    <s v="Pending"/>
    <s v="Mumbai"/>
    <n v="0"/>
    <b v="1"/>
    <x v="4"/>
    <s v="Retail"/>
    <n v="22"/>
    <x v="3"/>
    <n v="1052"/>
  </r>
  <r>
    <s v="ORD-00135"/>
    <x v="267"/>
    <s v="CUST-0236"/>
    <s v="PROD-039"/>
    <x v="25"/>
    <n v="4"/>
    <n v="4610"/>
    <n v="13.2"/>
    <n v="16005.92"/>
    <s v="Completed"/>
    <s v="Hyderabad"/>
    <n v="0"/>
    <b v="1"/>
    <x v="3"/>
    <s v="SMB"/>
    <n v="28"/>
    <x v="0"/>
    <n v="1850"/>
  </r>
  <r>
    <s v="ORD-00460"/>
    <x v="268"/>
    <s v="CUST-0031"/>
    <s v="PROD-039"/>
    <x v="13"/>
    <n v="9"/>
    <n v="4610"/>
    <n v="25.8"/>
    <n v="30785.58"/>
    <s v="Completed"/>
    <s v="Hyderabad"/>
    <n v="0"/>
    <b v="1"/>
    <x v="3"/>
    <s v="Retail"/>
    <n v="53"/>
    <x v="3"/>
    <n v="1850"/>
  </r>
  <r>
    <s v="ORD-00461"/>
    <x v="269"/>
    <s v="CUST-0123"/>
    <s v="PROD-005"/>
    <x v="2"/>
    <n v="5"/>
    <n v="300"/>
    <n v="11.8"/>
    <n v="1323"/>
    <s v="Completed"/>
    <s v="Chennai"/>
    <n v="0"/>
    <b v="1"/>
    <x v="4"/>
    <s v="Corporate"/>
    <n v="44"/>
    <x v="1"/>
    <n v="128"/>
  </r>
  <r>
    <s v="ORD-00462"/>
    <x v="270"/>
    <s v="CUST-0019"/>
    <s v="PROD-011"/>
    <x v="16"/>
    <n v="3"/>
    <n v="3450"/>
    <n v="14.2"/>
    <n v="8880.2999999999993"/>
    <s v="Completed"/>
    <s v="Chennai"/>
    <n v="0"/>
    <b v="1"/>
    <x v="0"/>
    <s v="Retail"/>
    <n v="22"/>
    <x v="3"/>
    <n v="1748"/>
  </r>
  <r>
    <s v="ORD-00463"/>
    <x v="271"/>
    <s v="CUST-0171"/>
    <s v="PROD-015"/>
    <x v="8"/>
    <n v="2"/>
    <n v="2720"/>
    <n v="14.6"/>
    <n v="4645.76"/>
    <s v="Cancelled"/>
    <s v="Chennai"/>
    <n v="0"/>
    <b v="1"/>
    <x v="0"/>
    <s v="Corporate"/>
    <n v="30"/>
    <x v="2"/>
    <n v="1962"/>
  </r>
  <r>
    <s v="ORD-00464"/>
    <x v="17"/>
    <s v="CUST-0166"/>
    <s v="PROD-008"/>
    <x v="21"/>
    <n v="7"/>
    <n v="2660"/>
    <n v="27.4"/>
    <n v="13518.12"/>
    <s v="Cancelled"/>
    <s v="Hyderabad"/>
    <n v="0"/>
    <b v="0"/>
    <x v="4"/>
    <s v="Retail"/>
    <n v="31"/>
    <x v="3"/>
    <n v="1259"/>
  </r>
  <r>
    <s v="ORD-00465"/>
    <x v="272"/>
    <s v="CUST-0151"/>
    <s v="PROD-051"/>
    <x v="1"/>
    <n v="8"/>
    <n v="3450"/>
    <n v="20.399999999999999"/>
    <n v="21969.599999999999"/>
    <s v="Completed"/>
    <s v="Mumbai"/>
    <n v="0"/>
    <b v="1"/>
    <x v="1"/>
    <s v="Retail"/>
    <n v="53"/>
    <x v="0"/>
    <n v="2467"/>
  </r>
  <r>
    <s v="ORD-00466"/>
    <x v="273"/>
    <s v="CUST-0027"/>
    <s v="PROD-052"/>
    <x v="29"/>
    <n v="2"/>
    <n v="5410"/>
    <n v="7.2"/>
    <n v="10040.959999999999"/>
    <s v="Completed"/>
    <s v="Hyderabad"/>
    <n v="0"/>
    <b v="1"/>
    <x v="1"/>
    <s v="Corporate"/>
    <n v="52"/>
    <x v="1"/>
    <n v="2265"/>
  </r>
  <r>
    <s v="ORD-00467"/>
    <x v="162"/>
    <s v="CUST-0171"/>
    <s v="PROD-004"/>
    <x v="22"/>
    <n v="3"/>
    <n v="3870"/>
    <n v="4.2"/>
    <n v="11122.38"/>
    <s v="Completed"/>
    <s v="Chennai"/>
    <n v="0"/>
    <b v="1"/>
    <x v="4"/>
    <s v="Corporate"/>
    <n v="30"/>
    <x v="1"/>
    <n v="1559"/>
  </r>
  <r>
    <s v="ORD-00468"/>
    <x v="60"/>
    <s v="CUST-0094"/>
    <s v="PROD-024"/>
    <x v="1"/>
    <n v="10"/>
    <n v="2270"/>
    <n v="17.3"/>
    <n v="18772.900000000001"/>
    <s v="Completed"/>
    <s v="Pune"/>
    <n v="0"/>
    <b v="1"/>
    <x v="2"/>
    <s v="SMB"/>
    <n v="60"/>
    <x v="0"/>
    <n v="1203"/>
  </r>
  <r>
    <s v="ORD-00469"/>
    <x v="18"/>
    <s v="CUST-0223"/>
    <s v="PROD-001"/>
    <x v="5"/>
    <n v="1"/>
    <n v="5330"/>
    <n v="24.2"/>
    <n v="4040.14"/>
    <s v="Completed"/>
    <s v="Bengaluru"/>
    <n v="0"/>
    <b v="1"/>
    <x v="4"/>
    <s v="Retail"/>
    <n v="46"/>
    <x v="2"/>
    <n v="2405"/>
  </r>
  <r>
    <s v="ORD-00470"/>
    <x v="85"/>
    <s v="CUST-0281"/>
    <s v="PROD-043"/>
    <x v="15"/>
    <n v="2"/>
    <n v="3350"/>
    <n v="23.4"/>
    <n v="5132.2"/>
    <s v="Completed"/>
    <s v="Bengaluru"/>
    <n v="0"/>
    <b v="1"/>
    <x v="5"/>
    <s v="Corporate"/>
    <n v="57"/>
    <x v="1"/>
    <n v="1728"/>
  </r>
  <r>
    <s v="ORD-00471"/>
    <x v="274"/>
    <s v="CUST-0148"/>
    <s v="PROD-045"/>
    <x v="3"/>
    <n v="7"/>
    <n v="3020"/>
    <n v="23.7"/>
    <n v="16129.82"/>
    <s v="Completed"/>
    <s v="Chennai"/>
    <n v="0"/>
    <b v="1"/>
    <x v="5"/>
    <s v="Retail"/>
    <n v="32"/>
    <x v="0"/>
    <n v="1626"/>
  </r>
  <r>
    <s v="ORD-00472"/>
    <x v="275"/>
    <s v="CUST-0010"/>
    <s v="PROD-012"/>
    <x v="16"/>
    <n v="7"/>
    <n v="3160"/>
    <n v="22.8"/>
    <n v="17076.64"/>
    <s v="Completed"/>
    <s v="Mumbai"/>
    <n v="0"/>
    <b v="1"/>
    <x v="0"/>
    <s v="SMB"/>
    <n v="61"/>
    <x v="3"/>
    <n v="1886"/>
  </r>
  <r>
    <s v="ORD-00473"/>
    <x v="110"/>
    <s v="CUST-0254"/>
    <s v="PROD-053"/>
    <x v="16"/>
    <n v="2"/>
    <n v="470"/>
    <n v="28.8"/>
    <n v="669.28"/>
    <s v="Cancelled"/>
    <s v="Bengaluru"/>
    <n v="0"/>
    <b v="0"/>
    <x v="1"/>
    <s v="Retail"/>
    <n v="35"/>
    <x v="3"/>
    <n v="302"/>
  </r>
  <r>
    <s v="ORD-00474"/>
    <x v="253"/>
    <s v="CUST-0126"/>
    <s v="PROD-036"/>
    <x v="13"/>
    <n v="2"/>
    <n v="3250"/>
    <n v="24.7"/>
    <n v="4894.5"/>
    <s v="Completed"/>
    <s v="Mumbai"/>
    <n v="0"/>
    <b v="1"/>
    <x v="3"/>
    <s v="Retail"/>
    <n v="37"/>
    <x v="3"/>
    <n v="1556"/>
  </r>
  <r>
    <s v="ORD-00475"/>
    <x v="252"/>
    <s v="CUST-0018"/>
    <s v="PROD-054"/>
    <x v="12"/>
    <n v="2"/>
    <n v="1010"/>
    <n v="5.2"/>
    <n v="1914.96"/>
    <s v="Cancelled"/>
    <s v="Pune"/>
    <n v="0"/>
    <b v="1"/>
    <x v="1"/>
    <s v="SMB"/>
    <n v="54"/>
    <x v="3"/>
    <n v="516"/>
  </r>
  <r>
    <s v="ORD-00476"/>
    <x v="276"/>
    <s v="CUST-0089"/>
    <s v="PROD-005"/>
    <x v="19"/>
    <n v="9"/>
    <n v="300"/>
    <n v="7.9"/>
    <n v="2486.6999999999998"/>
    <s v="Completed"/>
    <s v="Mumbai"/>
    <n v="0"/>
    <b v="1"/>
    <x v="4"/>
    <s v="SMB"/>
    <n v="43"/>
    <x v="0"/>
    <n v="128"/>
  </r>
  <r>
    <s v="ORD-00477"/>
    <x v="277"/>
    <s v="CUST-0157"/>
    <s v="PROD-048"/>
    <x v="3"/>
    <n v="10"/>
    <n v="5100"/>
    <n v="26.3"/>
    <n v="37587"/>
    <s v="Pending"/>
    <s v="Pune"/>
    <n v="0"/>
    <b v="1"/>
    <x v="5"/>
    <s v="Corporate"/>
    <n v="52"/>
    <x v="0"/>
    <n v="2237"/>
  </r>
  <r>
    <s v="ORD-00478"/>
    <x v="278"/>
    <s v="CUST-0201"/>
    <s v="PROD-043"/>
    <x v="8"/>
    <n v="1"/>
    <n v="3350"/>
    <n v="8.5"/>
    <n v="3065.25"/>
    <s v="Cancelled"/>
    <s v="Hyderabad"/>
    <n v="0"/>
    <b v="1"/>
    <x v="5"/>
    <s v="Retail"/>
    <n v="31"/>
    <x v="2"/>
    <n v="1728"/>
  </r>
  <r>
    <s v="ORD-01195"/>
    <x v="211"/>
    <s v="CUST-0091"/>
    <s v="PROD-036"/>
    <x v="24"/>
    <n v="2"/>
    <n v="3250"/>
    <n v="25.7"/>
    <n v="4829.5"/>
    <s v="Refunded"/>
    <s v="Delhi"/>
    <n v="1"/>
    <b v="1"/>
    <x v="3"/>
    <s v="Retail"/>
    <n v="55"/>
    <x v="3"/>
    <n v="1556"/>
  </r>
  <r>
    <s v="ORD-00480"/>
    <x v="279"/>
    <s v="CUST-0052"/>
    <s v="PROD-028"/>
    <x v="4"/>
    <n v="10"/>
    <n v="3660"/>
    <n v="12"/>
    <n v="32208"/>
    <s v="Completed"/>
    <s v="Pune"/>
    <n v="0"/>
    <b v="0"/>
    <x v="2"/>
    <s v="Retail"/>
    <n v="38"/>
    <x v="0"/>
    <n v="2214"/>
  </r>
  <r>
    <s v="ORD-00481"/>
    <x v="126"/>
    <s v="CUST-0069"/>
    <s v="PROD-058"/>
    <x v="18"/>
    <n v="1"/>
    <n v="2400"/>
    <n v="24.5"/>
    <n v="1812"/>
    <s v="Completed"/>
    <s v="Chennai"/>
    <n v="0"/>
    <b v="1"/>
    <x v="1"/>
    <s v="Retail"/>
    <n v="51"/>
    <x v="1"/>
    <n v="974"/>
  </r>
  <r>
    <s v="ORD-00482"/>
    <x v="263"/>
    <s v="CUST-0294"/>
    <s v="PROD-035"/>
    <x v="9"/>
    <n v="1"/>
    <n v="1090"/>
    <n v="18.399999999999999"/>
    <n v="889.44"/>
    <s v="Completed"/>
    <s v="Delhi"/>
    <n v="0"/>
    <b v="1"/>
    <x v="3"/>
    <s v="Corporate"/>
    <n v="31"/>
    <x v="1"/>
    <n v="464"/>
  </r>
  <r>
    <s v="ORD-00483"/>
    <x v="280"/>
    <s v="CUST-0019"/>
    <s v="PROD-059"/>
    <x v="15"/>
    <n v="6"/>
    <n v="3780"/>
    <n v="15.9"/>
    <n v="19073.88"/>
    <s v="Completed"/>
    <s v="Chennai"/>
    <n v="0"/>
    <b v="1"/>
    <x v="1"/>
    <s v="Retail"/>
    <n v="22"/>
    <x v="1"/>
    <n v="1860"/>
  </r>
  <r>
    <s v="ORD-00484"/>
    <x v="259"/>
    <s v="CUST-0087"/>
    <s v="PROD-043"/>
    <x v="7"/>
    <n v="3"/>
    <n v="3350"/>
    <n v="18.8"/>
    <n v="8160.6"/>
    <s v="Refunded"/>
    <s v="Pune"/>
    <n v="0"/>
    <b v="1"/>
    <x v="5"/>
    <s v="SMB"/>
    <n v="49"/>
    <x v="3"/>
    <n v="1728"/>
  </r>
  <r>
    <s v="ORD-00485"/>
    <x v="46"/>
    <s v="CUST-0281"/>
    <s v="PROD-040"/>
    <x v="14"/>
    <n v="3"/>
    <n v="1080"/>
    <n v="3.4"/>
    <n v="3129.84"/>
    <s v="Completed"/>
    <s v="Bengaluru"/>
    <n v="0"/>
    <b v="1"/>
    <x v="3"/>
    <s v="Corporate"/>
    <n v="57"/>
    <x v="2"/>
    <n v="519"/>
  </r>
  <r>
    <s v="ORD-00486"/>
    <x v="281"/>
    <s v="CUST-0248"/>
    <s v="PROD-026"/>
    <x v="24"/>
    <n v="6"/>
    <n v="4070"/>
    <n v="27.7"/>
    <n v="17655.66"/>
    <s v="Pending"/>
    <s v="Chennai"/>
    <n v="0"/>
    <b v="1"/>
    <x v="2"/>
    <s v="SMB"/>
    <n v="57"/>
    <x v="3"/>
    <n v="2027"/>
  </r>
  <r>
    <s v="ORD-00487"/>
    <x v="282"/>
    <s v="CUST-0019"/>
    <s v="PROD-041"/>
    <x v="17"/>
    <n v="5"/>
    <n v="1540"/>
    <n v="24.9"/>
    <n v="5782.7"/>
    <s v="Completed"/>
    <s v="Chennai"/>
    <n v="0"/>
    <b v="0"/>
    <x v="5"/>
    <s v="Retail"/>
    <n v="22"/>
    <x v="2"/>
    <n v="647"/>
  </r>
  <r>
    <s v="ORD-00488"/>
    <x v="255"/>
    <s v="CUST-0092"/>
    <s v="PROD-021"/>
    <x v="8"/>
    <n v="6"/>
    <n v="2760"/>
    <n v="29.9"/>
    <n v="11608.56"/>
    <s v="Completed"/>
    <s v="Bengaluru"/>
    <n v="0"/>
    <b v="1"/>
    <x v="2"/>
    <s v="SMB"/>
    <n v="28"/>
    <x v="2"/>
    <n v="1435"/>
  </r>
  <r>
    <s v="ORD-00489"/>
    <x v="167"/>
    <s v="CUST-0195"/>
    <s v="PROD-006"/>
    <x v="24"/>
    <n v="8"/>
    <n v="3970"/>
    <n v="23.7"/>
    <n v="24232.880000000001"/>
    <s v="Completed"/>
    <s v="Bengaluru"/>
    <n v="0"/>
    <b v="1"/>
    <x v="4"/>
    <s v="Retail"/>
    <n v="28"/>
    <x v="3"/>
    <n v="2865"/>
  </r>
  <r>
    <s v="ORD-00490"/>
    <x v="254"/>
    <s v="CUST-0126"/>
    <s v="PROD-011"/>
    <x v="13"/>
    <n v="1"/>
    <n v="3450"/>
    <n v="7.4"/>
    <n v="3194.7"/>
    <s v="Completed"/>
    <s v="Mumbai"/>
    <n v="0"/>
    <b v="1"/>
    <x v="0"/>
    <s v="Retail"/>
    <n v="37"/>
    <x v="3"/>
    <n v="1748"/>
  </r>
  <r>
    <s v="ORD-00491"/>
    <x v="231"/>
    <s v="CUST-0274"/>
    <s v="PROD-018"/>
    <x v="1"/>
    <n v="3"/>
    <n v="3560"/>
    <n v="15.2"/>
    <n v="9056.64"/>
    <s v="Completed"/>
    <s v="Bengaluru"/>
    <n v="0"/>
    <b v="1"/>
    <x v="0"/>
    <s v="Corporate"/>
    <n v="36"/>
    <x v="0"/>
    <n v="2629"/>
  </r>
  <r>
    <s v="ORD-00492"/>
    <x v="49"/>
    <s v="CUST-0059"/>
    <s v="PROD-003"/>
    <x v="14"/>
    <n v="4"/>
    <n v="3570"/>
    <n v="18.899999999999999"/>
    <n v="11581.08"/>
    <s v="Completed"/>
    <s v="Pune"/>
    <n v="0"/>
    <b v="1"/>
    <x v="4"/>
    <s v="Corporate"/>
    <n v="29"/>
    <x v="2"/>
    <n v="1665"/>
  </r>
  <r>
    <s v="ORD-00493"/>
    <x v="22"/>
    <s v="CUST-0264"/>
    <s v="PROD-057"/>
    <x v="5"/>
    <n v="9"/>
    <n v="960"/>
    <n v="14"/>
    <n v="7430.4"/>
    <s v="Refunded"/>
    <s v="Pune"/>
    <n v="0"/>
    <b v="1"/>
    <x v="1"/>
    <s v="Retail"/>
    <n v="59"/>
    <x v="2"/>
    <n v="705"/>
  </r>
  <r>
    <s v="ORD-00494"/>
    <x v="5"/>
    <s v="CUST-0157"/>
    <s v="PROD-047"/>
    <x v="29"/>
    <n v="9"/>
    <n v="3450"/>
    <n v="6"/>
    <n v="29187"/>
    <s v="Cancelled"/>
    <s v="Pune"/>
    <n v="0"/>
    <b v="1"/>
    <x v="5"/>
    <s v="Corporate"/>
    <n v="52"/>
    <x v="1"/>
    <n v="2420"/>
  </r>
  <r>
    <s v="ORD-00495"/>
    <x v="136"/>
    <s v="CUST-0028"/>
    <s v="PROD-043"/>
    <x v="27"/>
    <n v="7"/>
    <n v="3350"/>
    <n v="14"/>
    <n v="20167"/>
    <s v="Cancelled"/>
    <s v="Bengaluru"/>
    <n v="0"/>
    <b v="1"/>
    <x v="5"/>
    <s v="Retail"/>
    <n v="59"/>
    <x v="1"/>
    <n v="1728"/>
  </r>
  <r>
    <s v="ORD-00496"/>
    <x v="129"/>
    <s v="CUST-0033"/>
    <s v="PROD-049"/>
    <x v="10"/>
    <n v="6"/>
    <n v="960"/>
    <n v="10.1"/>
    <n v="5178.24"/>
    <s v="Completed"/>
    <s v="Delhi"/>
    <n v="0"/>
    <b v="1"/>
    <x v="5"/>
    <s v="Retail"/>
    <n v="35"/>
    <x v="0"/>
    <n v="675"/>
  </r>
  <r>
    <s v="ORD-00497"/>
    <x v="186"/>
    <s v="CUST-0280"/>
    <s v="PROD-005"/>
    <x v="29"/>
    <n v="7"/>
    <n v="300"/>
    <n v="21.9"/>
    <n v="1640.1"/>
    <s v="Completed"/>
    <s v="Delhi"/>
    <n v="0"/>
    <b v="1"/>
    <x v="4"/>
    <s v="SMB"/>
    <n v="27"/>
    <x v="1"/>
    <n v="128"/>
  </r>
  <r>
    <s v="ORD-00498"/>
    <x v="44"/>
    <s v="CUST-0232"/>
    <s v="PROD-023"/>
    <x v="7"/>
    <n v="2"/>
    <n v="2380"/>
    <n v="6.8"/>
    <n v="4436.32"/>
    <s v="Completed"/>
    <s v="Hyderabad"/>
    <n v="0"/>
    <b v="1"/>
    <x v="2"/>
    <s v="Retail"/>
    <n v="38"/>
    <x v="3"/>
    <n v="1182"/>
  </r>
  <r>
    <s v="ORD-00499"/>
    <x v="129"/>
    <s v="CUST-0270"/>
    <s v="PROD-057"/>
    <x v="6"/>
    <n v="5"/>
    <n v="960"/>
    <n v="15"/>
    <n v="4080"/>
    <s v="Cancelled"/>
    <s v="Bengaluru"/>
    <n v="0"/>
    <b v="1"/>
    <x v="1"/>
    <s v="Retail"/>
    <n v="29"/>
    <x v="2"/>
    <n v="705"/>
  </r>
  <r>
    <s v="ORD-00500"/>
    <x v="251"/>
    <s v="CUST-0203"/>
    <s v="PROD-059"/>
    <x v="27"/>
    <n v="10"/>
    <n v="3780"/>
    <n v="24.1"/>
    <n v="28690.2"/>
    <s v="Refunded"/>
    <s v="Chennai"/>
    <n v="0"/>
    <b v="1"/>
    <x v="1"/>
    <s v="SMB"/>
    <n v="55"/>
    <x v="1"/>
    <n v="1860"/>
  </r>
  <r>
    <s v="ORD-00501"/>
    <x v="36"/>
    <s v="CUST-0069"/>
    <s v="PROD-041"/>
    <x v="16"/>
    <n v="4"/>
    <n v="1540"/>
    <n v="14.2"/>
    <n v="5285.28"/>
    <s v="Cancelled"/>
    <s v="Chennai"/>
    <n v="0"/>
    <b v="0"/>
    <x v="5"/>
    <s v="Retail"/>
    <n v="51"/>
    <x v="3"/>
    <n v="647"/>
  </r>
  <r>
    <s v="ORD-00502"/>
    <x v="113"/>
    <s v="CUST-0037"/>
    <s v="PROD-017"/>
    <x v="1"/>
    <n v="10"/>
    <n v="2510"/>
    <n v="20.8"/>
    <n v="19879.2"/>
    <s v="Completed"/>
    <s v="Bengaluru"/>
    <n v="0"/>
    <b v="0"/>
    <x v="0"/>
    <s v="Retail"/>
    <n v="52"/>
    <x v="0"/>
    <n v="1075"/>
  </r>
  <r>
    <s v="ORD-00503"/>
    <x v="163"/>
    <s v="CUST-0149"/>
    <s v="PROD-025"/>
    <x v="2"/>
    <n v="9"/>
    <n v="4060"/>
    <n v="27.1"/>
    <n v="26637.66"/>
    <s v="Completed"/>
    <s v="Hyderabad"/>
    <n v="0"/>
    <b v="1"/>
    <x v="2"/>
    <s v="Retail"/>
    <n v="44"/>
    <x v="1"/>
    <n v="2911"/>
  </r>
  <r>
    <s v="ORD-00504"/>
    <x v="198"/>
    <s v="CUST-0131"/>
    <s v="PROD-058"/>
    <x v="5"/>
    <n v="4"/>
    <n v="2400"/>
    <n v="19.100000000000001"/>
    <n v="7766.4"/>
    <s v="Completed"/>
    <s v="Delhi"/>
    <n v="0"/>
    <b v="1"/>
    <x v="1"/>
    <s v="SMB"/>
    <n v="28"/>
    <x v="2"/>
    <n v="974"/>
  </r>
  <r>
    <s v="ORD-00505"/>
    <x v="283"/>
    <s v="CUST-0071"/>
    <s v="PROD-046"/>
    <x v="24"/>
    <n v="8"/>
    <n v="4880"/>
    <n v="9.1999999999999993"/>
    <n v="35448.32"/>
    <s v="Cancelled"/>
    <s v="Delhi"/>
    <n v="0"/>
    <b v="1"/>
    <x v="5"/>
    <s v="Corporate"/>
    <n v="46"/>
    <x v="3"/>
    <n v="2768"/>
  </r>
  <r>
    <s v="ORD-00506"/>
    <x v="261"/>
    <s v="CUST-0249"/>
    <s v="PROD-048"/>
    <x v="7"/>
    <n v="9"/>
    <n v="5100"/>
    <n v="11.1"/>
    <n v="40805.1"/>
    <s v="Cancelled"/>
    <s v="Mumbai"/>
    <n v="0"/>
    <b v="1"/>
    <x v="5"/>
    <s v="Retail"/>
    <n v="44"/>
    <x v="3"/>
    <n v="2237"/>
  </r>
  <r>
    <s v="ORD-00507"/>
    <x v="161"/>
    <s v="CUST-0181"/>
    <s v="PROD-005"/>
    <x v="8"/>
    <n v="4"/>
    <n v="300"/>
    <n v="16.7"/>
    <n v="999.6"/>
    <s v="Completed"/>
    <s v="Delhi"/>
    <n v="0"/>
    <b v="1"/>
    <x v="4"/>
    <s v="SMB"/>
    <n v="38"/>
    <x v="2"/>
    <n v="128"/>
  </r>
  <r>
    <s v="ORD-00508"/>
    <x v="68"/>
    <s v="CUST-0085"/>
    <s v="PROD-019"/>
    <x v="2"/>
    <n v="6"/>
    <n v="2480"/>
    <n v="3.3"/>
    <n v="14388.96"/>
    <s v="Completed"/>
    <s v="Chennai"/>
    <n v="0"/>
    <b v="1"/>
    <x v="0"/>
    <s v="Retail"/>
    <n v="26"/>
    <x v="1"/>
    <n v="1173"/>
  </r>
  <r>
    <s v="ORD-00509"/>
    <x v="28"/>
    <s v="CUST-0180"/>
    <s v="PROD-044"/>
    <x v="12"/>
    <n v="10"/>
    <n v="1650"/>
    <n v="22.9"/>
    <n v="12721.5"/>
    <s v="Refunded"/>
    <s v="Chennai"/>
    <n v="0"/>
    <b v="1"/>
    <x v="5"/>
    <s v="Retail"/>
    <n v="36"/>
    <x v="3"/>
    <n v="1222"/>
  </r>
  <r>
    <s v="ORD-00510"/>
    <x v="158"/>
    <s v="CUST-0103"/>
    <s v="PROD-029"/>
    <x v="27"/>
    <n v="3"/>
    <n v="2210"/>
    <n v="11.1"/>
    <n v="5894.07"/>
    <s v="Completed"/>
    <s v="Hyderabad"/>
    <n v="0"/>
    <b v="1"/>
    <x v="2"/>
    <s v="Corporate"/>
    <n v="54"/>
    <x v="1"/>
    <n v="1010"/>
  </r>
  <r>
    <s v="ORD-00511"/>
    <x v="5"/>
    <s v="CUST-0174"/>
    <s v="PROD-019"/>
    <x v="1"/>
    <n v="10"/>
    <n v="2480"/>
    <n v="13"/>
    <n v="21576"/>
    <s v="Pending"/>
    <s v="Pune"/>
    <n v="0"/>
    <b v="1"/>
    <x v="0"/>
    <s v="Retail"/>
    <n v="54"/>
    <x v="0"/>
    <n v="1173"/>
  </r>
  <r>
    <s v="ORD-00512"/>
    <x v="98"/>
    <s v="CUST-0071"/>
    <s v="PROD-001"/>
    <x v="12"/>
    <n v="10"/>
    <n v="5330"/>
    <n v="0.7"/>
    <n v="52926.9"/>
    <s v="Completed"/>
    <s v="Delhi"/>
    <n v="0"/>
    <b v="1"/>
    <x v="4"/>
    <s v="Corporate"/>
    <n v="46"/>
    <x v="3"/>
    <n v="2405"/>
  </r>
  <r>
    <s v="ORD-00513"/>
    <x v="109"/>
    <s v="CUST-0266"/>
    <s v="PROD-026"/>
    <x v="27"/>
    <n v="9"/>
    <n v="4070"/>
    <n v="15.6"/>
    <n v="30915.72"/>
    <s v="Completed"/>
    <s v="Pune"/>
    <n v="0"/>
    <b v="1"/>
    <x v="2"/>
    <s v="Retail"/>
    <n v="65"/>
    <x v="1"/>
    <n v="2027"/>
  </r>
  <r>
    <s v="ORD-00514"/>
    <x v="284"/>
    <s v="CUST-0148"/>
    <s v="PROD-015"/>
    <x v="19"/>
    <n v="5"/>
    <n v="2720"/>
    <n v="10.3"/>
    <n v="12199.2"/>
    <s v="Cancelled"/>
    <s v="Chennai"/>
    <n v="0"/>
    <b v="1"/>
    <x v="0"/>
    <s v="Retail"/>
    <n v="32"/>
    <x v="0"/>
    <n v="1962"/>
  </r>
  <r>
    <s v="ORD-00515"/>
    <x v="285"/>
    <s v="CUST-0030"/>
    <s v="PROD-055"/>
    <x v="20"/>
    <n v="6"/>
    <n v="2860"/>
    <n v="28.9"/>
    <n v="12200.76"/>
    <s v="Completed"/>
    <s v="Bengaluru"/>
    <n v="0"/>
    <b v="1"/>
    <x v="1"/>
    <s v="Corporate"/>
    <n v="43"/>
    <x v="2"/>
    <n v="2028"/>
  </r>
  <r>
    <s v="ORD-00516"/>
    <x v="165"/>
    <s v="CUST-0128"/>
    <s v="PROD-014"/>
    <x v="27"/>
    <n v="5"/>
    <n v="3620"/>
    <n v="18.2"/>
    <n v="14805.8"/>
    <s v="Completed"/>
    <s v="Hyderabad"/>
    <n v="0"/>
    <b v="1"/>
    <x v="0"/>
    <s v="Retail"/>
    <n v="35"/>
    <x v="1"/>
    <n v="2509"/>
  </r>
  <r>
    <s v="ORD-00517"/>
    <x v="39"/>
    <s v="CUST-0056"/>
    <s v="PROD-044"/>
    <x v="26"/>
    <n v="3"/>
    <n v="1650"/>
    <n v="10.7"/>
    <n v="4420.3500000000004"/>
    <s v="Completed"/>
    <s v="Bengaluru"/>
    <n v="0"/>
    <b v="1"/>
    <x v="5"/>
    <s v="SMB"/>
    <n v="46"/>
    <x v="3"/>
    <n v="1222"/>
  </r>
  <r>
    <s v="ORD-00518"/>
    <x v="185"/>
    <s v="CUST-0178"/>
    <s v="PROD-060"/>
    <x v="20"/>
    <n v="8"/>
    <n v="190"/>
    <n v="18"/>
    <n v="1246.4000000000001"/>
    <s v="Pending"/>
    <s v="Hyderabad"/>
    <n v="0"/>
    <b v="1"/>
    <x v="1"/>
    <s v="Retail"/>
    <n v="25"/>
    <x v="2"/>
    <n v="147"/>
  </r>
  <r>
    <s v="ORD-00519"/>
    <x v="68"/>
    <s v="CUST-0237"/>
    <s v="PROD-042"/>
    <x v="20"/>
    <n v="7"/>
    <n v="2290"/>
    <n v="12.5"/>
    <n v="14026.25"/>
    <s v="Completed"/>
    <s v="Mumbai"/>
    <n v="0"/>
    <b v="1"/>
    <x v="5"/>
    <s v="Retail"/>
    <n v="49"/>
    <x v="2"/>
    <n v="1219"/>
  </r>
  <r>
    <s v="ORD-00520"/>
    <x v="198"/>
    <s v="CUST-0143"/>
    <s v="PROD-001"/>
    <x v="21"/>
    <n v="2"/>
    <n v="5330"/>
    <n v="26.5"/>
    <n v="7835.1"/>
    <s v="Completed"/>
    <s v="Chennai"/>
    <n v="0"/>
    <b v="1"/>
    <x v="4"/>
    <s v="SMB"/>
    <n v="52"/>
    <x v="3"/>
    <n v="2405"/>
  </r>
  <r>
    <s v="ORD-00521"/>
    <x v="233"/>
    <s v="CUST-0233"/>
    <s v="PROD-001"/>
    <x v="15"/>
    <n v="4"/>
    <n v="5330"/>
    <n v="25.6"/>
    <n v="15862.08"/>
    <s v="Completed"/>
    <s v="Mumbai"/>
    <n v="0"/>
    <b v="1"/>
    <x v="4"/>
    <s v="SMB"/>
    <n v="65"/>
    <x v="1"/>
    <n v="2405"/>
  </r>
  <r>
    <s v="ORD-00522"/>
    <x v="286"/>
    <s v="CUST-0161"/>
    <s v="PROD-034"/>
    <x v="3"/>
    <n v="4"/>
    <n v="5080"/>
    <n v="28.6"/>
    <n v="14508.48"/>
    <s v="Completed"/>
    <s v="Chennai"/>
    <n v="0"/>
    <b v="1"/>
    <x v="3"/>
    <s v="Retail"/>
    <n v="38"/>
    <x v="0"/>
    <n v="2459"/>
  </r>
  <r>
    <s v="ORD-00523"/>
    <x v="40"/>
    <s v="CUST-0087"/>
    <s v="PROD-032"/>
    <x v="25"/>
    <n v="4"/>
    <n v="370"/>
    <n v="12.6"/>
    <n v="1293.52"/>
    <s v="Pending"/>
    <s v="Pune"/>
    <n v="0"/>
    <b v="1"/>
    <x v="3"/>
    <s v="SMB"/>
    <n v="49"/>
    <x v="0"/>
    <n v="288"/>
  </r>
  <r>
    <s v="ORD-00524"/>
    <x v="230"/>
    <s v="CUST-0235"/>
    <s v="PROD-053"/>
    <x v="22"/>
    <n v="9"/>
    <n v="470"/>
    <n v="3.6"/>
    <n v="4077.72"/>
    <s v="Completed"/>
    <s v="Chennai"/>
    <n v="0"/>
    <b v="0"/>
    <x v="1"/>
    <s v="Retail"/>
    <n v="31"/>
    <x v="1"/>
    <n v="302"/>
  </r>
  <r>
    <s v="ORD-00525"/>
    <x v="287"/>
    <s v="CUST-0183"/>
    <s v="PROD-052"/>
    <x v="28"/>
    <n v="4"/>
    <n v="5410"/>
    <n v="11.3"/>
    <n v="19194.68"/>
    <s v="Refunded"/>
    <s v="Mumbai"/>
    <n v="0"/>
    <b v="1"/>
    <x v="1"/>
    <s v="SMB"/>
    <n v="27"/>
    <x v="2"/>
    <n v="2265"/>
  </r>
  <r>
    <s v="ORD-00526"/>
    <x v="288"/>
    <s v="CUST-0199"/>
    <s v="PROD-014"/>
    <x v="0"/>
    <n v="10"/>
    <n v="3620"/>
    <n v="2.5"/>
    <n v="35295"/>
    <s v="Completed"/>
    <s v="Hyderabad"/>
    <n v="0"/>
    <b v="1"/>
    <x v="0"/>
    <s v="SMB"/>
    <n v="31"/>
    <x v="0"/>
    <n v="2509"/>
  </r>
  <r>
    <s v="ORD-00527"/>
    <x v="82"/>
    <s v="CUST-0034"/>
    <s v="PROD-021"/>
    <x v="14"/>
    <n v="1"/>
    <n v="2760"/>
    <n v="22.2"/>
    <n v="2147.2800000000002"/>
    <s v="Completed"/>
    <s v="Delhi"/>
    <n v="0"/>
    <b v="1"/>
    <x v="2"/>
    <s v="Retail"/>
    <n v="47"/>
    <x v="2"/>
    <n v="1435"/>
  </r>
  <r>
    <s v="ORD-00528"/>
    <x v="0"/>
    <s v="CUST-0206"/>
    <s v="PROD-047"/>
    <x v="19"/>
    <n v="7"/>
    <n v="3450"/>
    <n v="8.6"/>
    <n v="22073.1"/>
    <s v="Completed"/>
    <s v="Mumbai"/>
    <n v="0"/>
    <b v="1"/>
    <x v="5"/>
    <s v="Retail"/>
    <n v="40"/>
    <x v="0"/>
    <n v="2420"/>
  </r>
  <r>
    <s v="ORD-00529"/>
    <x v="196"/>
    <s v="CUST-0246"/>
    <s v="PROD-028"/>
    <x v="8"/>
    <n v="6"/>
    <n v="3660"/>
    <n v="10.6"/>
    <n v="19632.240000000002"/>
    <s v="Completed"/>
    <s v="Delhi"/>
    <n v="0"/>
    <b v="0"/>
    <x v="2"/>
    <s v="SMB"/>
    <n v="29"/>
    <x v="2"/>
    <n v="2214"/>
  </r>
  <r>
    <s v="ORD-00530"/>
    <x v="147"/>
    <s v="CUST-0075"/>
    <s v="PROD-003"/>
    <x v="8"/>
    <n v="10"/>
    <n v="3570"/>
    <n v="1.2"/>
    <n v="35271.599999999999"/>
    <s v="Completed"/>
    <s v="Mumbai"/>
    <n v="0"/>
    <b v="1"/>
    <x v="4"/>
    <s v="Corporate"/>
    <n v="55"/>
    <x v="2"/>
    <n v="1665"/>
  </r>
  <r>
    <s v="ORD-00531"/>
    <x v="176"/>
    <s v="CUST-0298"/>
    <s v="PROD-035"/>
    <x v="18"/>
    <n v="8"/>
    <n v="1090"/>
    <n v="13.2"/>
    <n v="7568.96"/>
    <s v="Refunded"/>
    <s v="Delhi"/>
    <n v="0"/>
    <b v="1"/>
    <x v="3"/>
    <s v="Retail"/>
    <n v="44"/>
    <x v="1"/>
    <n v="464"/>
  </r>
  <r>
    <s v="ORD-00532"/>
    <x v="153"/>
    <s v="CUST-0165"/>
    <s v="PROD-014"/>
    <x v="26"/>
    <n v="8"/>
    <n v="3620"/>
    <n v="29"/>
    <n v="20561.599999999999"/>
    <s v="Completed"/>
    <s v="Pune"/>
    <n v="0"/>
    <b v="1"/>
    <x v="0"/>
    <s v="Retail"/>
    <n v="29"/>
    <x v="3"/>
    <n v="2509"/>
  </r>
  <r>
    <s v="ORD-00533"/>
    <x v="289"/>
    <s v="CUST-0033"/>
    <s v="PROD-046"/>
    <x v="9"/>
    <n v="7"/>
    <n v="4880"/>
    <n v="25.6"/>
    <n v="25415.040000000001"/>
    <s v="Refunded"/>
    <s v="Delhi"/>
    <n v="0"/>
    <b v="1"/>
    <x v="5"/>
    <s v="Retail"/>
    <n v="35"/>
    <x v="1"/>
    <n v="2768"/>
  </r>
  <r>
    <s v="ORD-00534"/>
    <x v="224"/>
    <s v="CUST-0205"/>
    <s v="PROD-053"/>
    <x v="8"/>
    <n v="2"/>
    <n v="470"/>
    <n v="9.6999999999999993"/>
    <n v="848.82"/>
    <s v="Completed"/>
    <s v="Pune"/>
    <n v="0"/>
    <b v="0"/>
    <x v="1"/>
    <s v="Corporate"/>
    <n v="29"/>
    <x v="2"/>
    <n v="302"/>
  </r>
  <r>
    <s v="ORD-00535"/>
    <x v="149"/>
    <s v="CUST-0037"/>
    <s v="PROD-042"/>
    <x v="24"/>
    <n v="6"/>
    <n v="2290"/>
    <n v="8.9"/>
    <n v="12517.14"/>
    <s v="Completed"/>
    <s v="Bengaluru"/>
    <n v="0"/>
    <b v="1"/>
    <x v="5"/>
    <s v="Retail"/>
    <n v="52"/>
    <x v="3"/>
    <n v="1219"/>
  </r>
  <r>
    <s v="ORD-00536"/>
    <x v="290"/>
    <s v="CUST-0228"/>
    <s v="PROD-023"/>
    <x v="9"/>
    <n v="3"/>
    <n v="2380"/>
    <n v="2.7"/>
    <n v="6947.22"/>
    <s v="Pending"/>
    <s v="Pune"/>
    <n v="0"/>
    <b v="1"/>
    <x v="2"/>
    <s v="Corporate"/>
    <n v="37"/>
    <x v="1"/>
    <n v="1182"/>
  </r>
  <r>
    <s v="ORD-00537"/>
    <x v="270"/>
    <s v="CUST-0279"/>
    <s v="PROD-023"/>
    <x v="4"/>
    <n v="9"/>
    <n v="2380"/>
    <n v="20.100000000000001"/>
    <n v="17114.580000000002"/>
    <s v="Completed"/>
    <s v="Mumbai"/>
    <n v="0"/>
    <b v="1"/>
    <x v="2"/>
    <s v="Retail"/>
    <n v="56"/>
    <x v="0"/>
    <n v="1182"/>
  </r>
  <r>
    <s v="ORD-00538"/>
    <x v="291"/>
    <s v="CUST-0271"/>
    <s v="PROD-052"/>
    <x v="2"/>
    <n v="8"/>
    <n v="5410"/>
    <n v="11.2"/>
    <n v="38432.639999999999"/>
    <s v="Completed"/>
    <s v="Bengaluru"/>
    <n v="0"/>
    <b v="1"/>
    <x v="1"/>
    <s v="Corporate"/>
    <n v="41"/>
    <x v="1"/>
    <n v="2265"/>
  </r>
  <r>
    <s v="ORD-00539"/>
    <x v="150"/>
    <s v="CUST-0127"/>
    <s v="PROD-007"/>
    <x v="4"/>
    <n v="1"/>
    <n v="1430"/>
    <n v="19.600000000000001"/>
    <n v="1149.72"/>
    <s v="Completed"/>
    <s v="Bengaluru"/>
    <n v="0"/>
    <b v="1"/>
    <x v="4"/>
    <s v="SMB"/>
    <n v="36"/>
    <x v="0"/>
    <n v="861"/>
  </r>
  <r>
    <s v="ORD-00540"/>
    <x v="292"/>
    <s v="CUST-0007"/>
    <s v="PROD-058"/>
    <x v="28"/>
    <n v="9"/>
    <n v="2400"/>
    <n v="5"/>
    <n v="20520"/>
    <s v="Completed"/>
    <s v="Bengaluru"/>
    <n v="0"/>
    <b v="1"/>
    <x v="1"/>
    <s v="Retail"/>
    <n v="47"/>
    <x v="2"/>
    <n v="974"/>
  </r>
  <r>
    <s v="ORD-00541"/>
    <x v="293"/>
    <s v="CUST-0005"/>
    <s v="PROD-027"/>
    <x v="19"/>
    <n v="1"/>
    <n v="3780"/>
    <n v="4.7"/>
    <n v="3602.34"/>
    <s v="Completed"/>
    <s v="Chennai"/>
    <n v="0"/>
    <b v="1"/>
    <x v="2"/>
    <s v="Corporate"/>
    <n v="52"/>
    <x v="0"/>
    <n v="2436"/>
  </r>
  <r>
    <s v="ORD-00542"/>
    <x v="95"/>
    <s v="CUST-0072"/>
    <s v="PROD-016"/>
    <x v="7"/>
    <n v="2"/>
    <n v="620"/>
    <n v="8"/>
    <n v="1140.8"/>
    <s v="Completed"/>
    <s v="Mumbai"/>
    <n v="0"/>
    <b v="1"/>
    <x v="0"/>
    <s v="Corporate"/>
    <n v="62"/>
    <x v="3"/>
    <n v="396"/>
  </r>
  <r>
    <s v="ORD-00543"/>
    <x v="229"/>
    <s v="CUST-0167"/>
    <s v="PROD-060"/>
    <x v="0"/>
    <n v="3"/>
    <n v="190"/>
    <n v="17.899999999999999"/>
    <n v="467.97"/>
    <s v="Pending"/>
    <s v="Delhi"/>
    <n v="0"/>
    <b v="1"/>
    <x v="1"/>
    <s v="Retail"/>
    <n v="43"/>
    <x v="0"/>
    <n v="147"/>
  </r>
  <r>
    <s v="ORD-00544"/>
    <x v="10"/>
    <s v="CUST-0244"/>
    <s v="PROD-014"/>
    <x v="7"/>
    <n v="2"/>
    <n v="3620"/>
    <n v="15.5"/>
    <n v="6117.8"/>
    <s v="Completed"/>
    <s v="Bengaluru"/>
    <n v="0"/>
    <b v="1"/>
    <x v="0"/>
    <s v="Retail"/>
    <n v="61"/>
    <x v="3"/>
    <n v="2509"/>
  </r>
  <r>
    <s v="ORD-00545"/>
    <x v="294"/>
    <s v="CUST-0086"/>
    <s v="PROD-055"/>
    <x v="26"/>
    <n v="5"/>
    <n v="2860"/>
    <n v="26.8"/>
    <n v="10467.6"/>
    <s v="Completed"/>
    <s v="Hyderabad"/>
    <n v="0"/>
    <b v="1"/>
    <x v="1"/>
    <s v="Corporate"/>
    <n v="56"/>
    <x v="3"/>
    <n v="2028"/>
  </r>
  <r>
    <s v="ORD-00546"/>
    <x v="198"/>
    <s v="CUST-0091"/>
    <s v="PROD-058"/>
    <x v="12"/>
    <n v="6"/>
    <n v="2400"/>
    <n v="19.2"/>
    <n v="11635.2"/>
    <s v="Cancelled"/>
    <s v="Delhi"/>
    <n v="0"/>
    <b v="1"/>
    <x v="1"/>
    <s v="Retail"/>
    <n v="55"/>
    <x v="3"/>
    <n v="974"/>
  </r>
  <r>
    <s v="ORD-00547"/>
    <x v="14"/>
    <s v="CUST-0169"/>
    <s v="PROD-034"/>
    <x v="18"/>
    <n v="7"/>
    <n v="5080"/>
    <n v="16.600000000000001"/>
    <n v="29657.040000000001"/>
    <s v="Pending"/>
    <s v="Bengaluru"/>
    <n v="0"/>
    <b v="1"/>
    <x v="3"/>
    <s v="SMB"/>
    <n v="42"/>
    <x v="1"/>
    <n v="2459"/>
  </r>
  <r>
    <s v="ORD-00548"/>
    <x v="295"/>
    <s v="CUST-0273"/>
    <s v="PROD-034"/>
    <x v="15"/>
    <n v="10"/>
    <n v="5080"/>
    <n v="24.6"/>
    <n v="38303.199999999997"/>
    <s v="Completed"/>
    <s v="Hyderabad"/>
    <n v="0"/>
    <b v="1"/>
    <x v="3"/>
    <s v="Corporate"/>
    <n v="32"/>
    <x v="1"/>
    <n v="2459"/>
  </r>
  <r>
    <s v="ORD-00549"/>
    <x v="147"/>
    <s v="CUST-0233"/>
    <s v="PROD-057"/>
    <x v="4"/>
    <n v="7"/>
    <n v="960"/>
    <n v="16.600000000000001"/>
    <n v="5604.48"/>
    <s v="Completed"/>
    <s v="Mumbai"/>
    <n v="0"/>
    <b v="1"/>
    <x v="1"/>
    <s v="SMB"/>
    <n v="65"/>
    <x v="0"/>
    <n v="705"/>
  </r>
  <r>
    <s v="ORD-00550"/>
    <x v="296"/>
    <s v="CUST-0175"/>
    <s v="PROD-028"/>
    <x v="8"/>
    <n v="3"/>
    <n v="3660"/>
    <n v="3.2"/>
    <n v="10628.64"/>
    <s v="Pending"/>
    <s v="Delhi"/>
    <n v="0"/>
    <b v="0"/>
    <x v="2"/>
    <s v="Corporate"/>
    <n v="55"/>
    <x v="2"/>
    <n v="2214"/>
  </r>
  <r>
    <s v="ORD-00551"/>
    <x v="160"/>
    <s v="CUST-0241"/>
    <s v="PROD-010"/>
    <x v="18"/>
    <n v="6"/>
    <n v="2640"/>
    <n v="26.3"/>
    <n v="11674.08"/>
    <s v="Completed"/>
    <s v="Pune"/>
    <n v="0"/>
    <b v="1"/>
    <x v="4"/>
    <s v="Corporate"/>
    <n v="47"/>
    <x v="1"/>
    <n v="1149"/>
  </r>
  <r>
    <s v="ORD-00552"/>
    <x v="254"/>
    <s v="CUST-0024"/>
    <s v="PROD-009"/>
    <x v="18"/>
    <n v="6"/>
    <n v="1220"/>
    <n v="22.3"/>
    <n v="5687.64"/>
    <s v="Cancelled"/>
    <s v="Chennai"/>
    <n v="0"/>
    <b v="1"/>
    <x v="4"/>
    <s v="SMB"/>
    <n v="64"/>
    <x v="1"/>
    <n v="517"/>
  </r>
  <r>
    <s v="ORD-00553"/>
    <x v="138"/>
    <s v="CUST-0252"/>
    <s v="PROD-005"/>
    <x v="22"/>
    <n v="1"/>
    <n v="300"/>
    <n v="0.7"/>
    <n v="297.89999999999998"/>
    <s v="Completed"/>
    <s v="Bengaluru"/>
    <n v="0"/>
    <b v="1"/>
    <x v="4"/>
    <s v="Retail"/>
    <n v="27"/>
    <x v="1"/>
    <n v="128"/>
  </r>
  <r>
    <s v="ORD-00554"/>
    <x v="43"/>
    <s v="CUST-0245"/>
    <s v="PROD-054"/>
    <x v="16"/>
    <n v="2"/>
    <n v="1010"/>
    <n v="28"/>
    <n v="1454.4"/>
    <s v="Completed"/>
    <s v="Hyderabad"/>
    <n v="0"/>
    <b v="1"/>
    <x v="1"/>
    <s v="Retail"/>
    <n v="65"/>
    <x v="3"/>
    <n v="516"/>
  </r>
  <r>
    <s v="ORD-00555"/>
    <x v="192"/>
    <s v="CUST-0046"/>
    <s v="PROD-002"/>
    <x v="23"/>
    <n v="5"/>
    <n v="2600"/>
    <n v="0.8"/>
    <n v="12896"/>
    <s v="Cancelled"/>
    <s v="Delhi"/>
    <n v="0"/>
    <b v="1"/>
    <x v="4"/>
    <s v="SMB"/>
    <n v="45"/>
    <x v="1"/>
    <n v="1052"/>
  </r>
  <r>
    <s v="ORD-00556"/>
    <x v="186"/>
    <s v="CUST-0050"/>
    <s v="PROD-056"/>
    <x v="17"/>
    <n v="3"/>
    <n v="6940"/>
    <n v="10.7"/>
    <n v="18592.259999999998"/>
    <s v="Cancelled"/>
    <s v="Mumbai"/>
    <n v="0"/>
    <b v="1"/>
    <x v="1"/>
    <s v="Retail"/>
    <n v="37"/>
    <x v="2"/>
    <n v="2827"/>
  </r>
  <r>
    <s v="ORD-00557"/>
    <x v="297"/>
    <s v="CUST-0227"/>
    <s v="PROD-032"/>
    <x v="23"/>
    <n v="1"/>
    <n v="370"/>
    <n v="10.3"/>
    <n v="331.89"/>
    <s v="Refunded"/>
    <s v="Bengaluru"/>
    <n v="0"/>
    <b v="1"/>
    <x v="3"/>
    <s v="SMB"/>
    <n v="44"/>
    <x v="1"/>
    <n v="288"/>
  </r>
  <r>
    <s v="ORD-00558"/>
    <x v="298"/>
    <s v="CUST-0218"/>
    <s v="PROD-027"/>
    <x v="20"/>
    <n v="2"/>
    <n v="3780"/>
    <n v="29.4"/>
    <n v="5337.36"/>
    <s v="Completed"/>
    <s v="Mumbai"/>
    <n v="0"/>
    <b v="1"/>
    <x v="2"/>
    <s v="Retail"/>
    <n v="39"/>
    <x v="2"/>
    <n v="2436"/>
  </r>
  <r>
    <s v="ORD-00559"/>
    <x v="39"/>
    <s v="CUST-0087"/>
    <s v="PROD-030"/>
    <x v="24"/>
    <n v="5"/>
    <n v="970"/>
    <n v="14.6"/>
    <n v="4141.8999999999996"/>
    <s v="Completed"/>
    <s v="Pune"/>
    <n v="0"/>
    <b v="1"/>
    <x v="2"/>
    <s v="SMB"/>
    <n v="49"/>
    <x v="3"/>
    <n v="434"/>
  </r>
  <r>
    <s v="ORD-00560"/>
    <x v="117"/>
    <s v="CUST-0209"/>
    <s v="PROD-022"/>
    <x v="25"/>
    <n v="3"/>
    <n v="2270"/>
    <n v="6.5"/>
    <n v="6367.35"/>
    <s v="Completed"/>
    <s v="Pune"/>
    <n v="0"/>
    <b v="1"/>
    <x v="2"/>
    <s v="Retail"/>
    <n v="31"/>
    <x v="0"/>
    <n v="1412"/>
  </r>
  <r>
    <s v="ORD-00561"/>
    <x v="299"/>
    <s v="CUST-0212"/>
    <s v="PROD-041"/>
    <x v="20"/>
    <n v="10"/>
    <n v="1540"/>
    <n v="16.5"/>
    <n v="12859"/>
    <s v="Completed"/>
    <s v="Chennai"/>
    <n v="0"/>
    <b v="0"/>
    <x v="5"/>
    <s v="SMB"/>
    <n v="46"/>
    <x v="2"/>
    <n v="647"/>
  </r>
  <r>
    <s v="ORD-00562"/>
    <x v="51"/>
    <s v="CUST-0180"/>
    <s v="PROD-021"/>
    <x v="21"/>
    <n v="4"/>
    <n v="2760"/>
    <n v="19.8"/>
    <n v="8854.08"/>
    <s v="Completed"/>
    <s v="Chennai"/>
    <n v="0"/>
    <b v="1"/>
    <x v="2"/>
    <s v="Retail"/>
    <n v="36"/>
    <x v="3"/>
    <n v="1435"/>
  </r>
  <r>
    <s v="ORD-00563"/>
    <x v="10"/>
    <s v="CUST-0025"/>
    <s v="PROD-024"/>
    <x v="14"/>
    <n v="3"/>
    <n v="2270"/>
    <n v="29.5"/>
    <n v="4801.05"/>
    <s v="Refunded"/>
    <s v="Bengaluru"/>
    <n v="0"/>
    <b v="1"/>
    <x v="2"/>
    <s v="Retail"/>
    <n v="23"/>
    <x v="2"/>
    <n v="1203"/>
  </r>
  <r>
    <s v="ORD-00564"/>
    <x v="196"/>
    <s v="CUST-0271"/>
    <s v="PROD-045"/>
    <x v="15"/>
    <n v="8"/>
    <n v="3020"/>
    <n v="1.2"/>
    <n v="23870.080000000002"/>
    <s v="Completed"/>
    <s v="Bengaluru"/>
    <n v="0"/>
    <b v="1"/>
    <x v="5"/>
    <s v="Corporate"/>
    <n v="41"/>
    <x v="1"/>
    <n v="1626"/>
  </r>
  <r>
    <s v="ORD-00565"/>
    <x v="156"/>
    <s v="CUST-0026"/>
    <s v="PROD-023"/>
    <x v="26"/>
    <n v="6"/>
    <n v="2380"/>
    <n v="20.399999999999999"/>
    <n v="11366.88"/>
    <s v="Completed"/>
    <s v="Pune"/>
    <n v="0"/>
    <b v="1"/>
    <x v="2"/>
    <s v="Retail"/>
    <n v="62"/>
    <x v="3"/>
    <n v="1182"/>
  </r>
  <r>
    <s v="ORD-00566"/>
    <x v="19"/>
    <s v="CUST-0058"/>
    <s v="PROD-056"/>
    <x v="8"/>
    <n v="1"/>
    <n v="6940"/>
    <n v="15"/>
    <n v="5899"/>
    <s v="Cancelled"/>
    <s v="Bengaluru"/>
    <n v="0"/>
    <b v="1"/>
    <x v="1"/>
    <s v="SMB"/>
    <n v="49"/>
    <x v="2"/>
    <n v="2827"/>
  </r>
  <r>
    <s v="ORD-00567"/>
    <x v="16"/>
    <s v="CUST-0033"/>
    <s v="PROD-008"/>
    <x v="9"/>
    <n v="1"/>
    <n v="2660"/>
    <n v="11.6"/>
    <n v="2351.44"/>
    <s v="Completed"/>
    <s v="Delhi"/>
    <n v="0"/>
    <b v="0"/>
    <x v="4"/>
    <s v="Retail"/>
    <n v="35"/>
    <x v="1"/>
    <n v="1259"/>
  </r>
  <r>
    <s v="ORD-00568"/>
    <x v="289"/>
    <s v="CUST-0057"/>
    <s v="PROD-030"/>
    <x v="22"/>
    <n v="4"/>
    <n v="970"/>
    <n v="11.6"/>
    <n v="3429.92"/>
    <s v="Completed"/>
    <s v="Pune"/>
    <n v="0"/>
    <b v="1"/>
    <x v="2"/>
    <s v="Retail"/>
    <n v="35"/>
    <x v="1"/>
    <n v="434"/>
  </r>
  <r>
    <s v="ORD-00569"/>
    <x v="215"/>
    <s v="CUST-0231"/>
    <s v="PROD-022"/>
    <x v="25"/>
    <n v="7"/>
    <n v="2270"/>
    <n v="27.9"/>
    <n v="11456.69"/>
    <s v="Completed"/>
    <s v="Chennai"/>
    <n v="0"/>
    <b v="1"/>
    <x v="2"/>
    <s v="Retail"/>
    <n v="61"/>
    <x v="0"/>
    <n v="1412"/>
  </r>
  <r>
    <s v="ORD-00570"/>
    <x v="300"/>
    <s v="CUST-0031"/>
    <s v="PROD-054"/>
    <x v="29"/>
    <n v="8"/>
    <n v="1010"/>
    <n v="13.7"/>
    <n v="6973.04"/>
    <s v="Cancelled"/>
    <s v="Hyderabad"/>
    <n v="0"/>
    <b v="1"/>
    <x v="1"/>
    <s v="Retail"/>
    <n v="53"/>
    <x v="1"/>
    <n v="516"/>
  </r>
  <r>
    <s v="ORD-00571"/>
    <x v="259"/>
    <s v="CUST-0228"/>
    <s v="PROD-023"/>
    <x v="19"/>
    <n v="8"/>
    <n v="2380"/>
    <n v="15.3"/>
    <n v="16126.88"/>
    <s v="Cancelled"/>
    <s v="Pune"/>
    <n v="0"/>
    <b v="1"/>
    <x v="2"/>
    <s v="Corporate"/>
    <n v="37"/>
    <x v="0"/>
    <n v="1182"/>
  </r>
  <r>
    <s v="ORD-00572"/>
    <x v="142"/>
    <s v="CUST-0127"/>
    <s v="PROD-053"/>
    <x v="26"/>
    <n v="10"/>
    <n v="470"/>
    <n v="2.1"/>
    <n v="4601.3"/>
    <s v="Completed"/>
    <s v="Bengaluru"/>
    <n v="0"/>
    <b v="0"/>
    <x v="1"/>
    <s v="SMB"/>
    <n v="36"/>
    <x v="3"/>
    <n v="302"/>
  </r>
  <r>
    <s v="ORD-00573"/>
    <x v="178"/>
    <s v="CUST-0117"/>
    <s v="PROD-048"/>
    <x v="5"/>
    <n v="5"/>
    <n v="5100"/>
    <n v="9.6999999999999993"/>
    <n v="23026.5"/>
    <s v="Completed"/>
    <s v="Delhi"/>
    <n v="0"/>
    <b v="1"/>
    <x v="5"/>
    <s v="SMB"/>
    <n v="34"/>
    <x v="2"/>
    <n v="2237"/>
  </r>
  <r>
    <s v="ORD-00574"/>
    <x v="73"/>
    <s v="CUST-0159"/>
    <s v="PROD-049"/>
    <x v="17"/>
    <n v="9"/>
    <n v="960"/>
    <n v="17.7"/>
    <n v="7110.72"/>
    <s v="Completed"/>
    <s v="Hyderabad"/>
    <n v="0"/>
    <b v="1"/>
    <x v="5"/>
    <s v="Retail"/>
    <n v="32"/>
    <x v="2"/>
    <n v="675"/>
  </r>
  <r>
    <s v="ORD-00575"/>
    <x v="35"/>
    <s v="CUST-0064"/>
    <s v="PROD-026"/>
    <x v="0"/>
    <n v="2"/>
    <n v="4070"/>
    <n v="2.1"/>
    <n v="7969.06"/>
    <s v="Completed"/>
    <s v="Hyderabad"/>
    <n v="0"/>
    <b v="1"/>
    <x v="2"/>
    <s v="SMB"/>
    <n v="40"/>
    <x v="0"/>
    <n v="2027"/>
  </r>
  <r>
    <s v="ORD-00576"/>
    <x v="243"/>
    <s v="CUST-0272"/>
    <s v="PROD-031"/>
    <x v="13"/>
    <n v="5"/>
    <n v="3730"/>
    <n v="16.5"/>
    <n v="15572.75"/>
    <s v="Completed"/>
    <s v="Mumbai"/>
    <n v="0"/>
    <b v="1"/>
    <x v="3"/>
    <s v="SMB"/>
    <n v="47"/>
    <x v="3"/>
    <n v="2135"/>
  </r>
  <r>
    <s v="ORD-00577"/>
    <x v="55"/>
    <s v="CUST-0071"/>
    <s v="PROD-055"/>
    <x v="24"/>
    <n v="1"/>
    <n v="2860"/>
    <n v="10.4"/>
    <n v="2562.56"/>
    <s v="Cancelled"/>
    <s v="Delhi"/>
    <n v="0"/>
    <b v="1"/>
    <x v="1"/>
    <s v="Corporate"/>
    <n v="46"/>
    <x v="3"/>
    <n v="2028"/>
  </r>
  <r>
    <s v="ORD-00578"/>
    <x v="11"/>
    <s v="CUST-0045"/>
    <s v="PROD-046"/>
    <x v="26"/>
    <n v="4"/>
    <n v="4880"/>
    <n v="27.5"/>
    <n v="14152"/>
    <s v="Pending"/>
    <s v="Chennai"/>
    <n v="0"/>
    <b v="1"/>
    <x v="5"/>
    <s v="SMB"/>
    <n v="39"/>
    <x v="3"/>
    <n v="2768"/>
  </r>
  <r>
    <s v="ORD-00579"/>
    <x v="19"/>
    <s v="CUST-0148"/>
    <s v="PROD-022"/>
    <x v="24"/>
    <n v="3"/>
    <n v="2270"/>
    <n v="6.7"/>
    <n v="6353.73"/>
    <s v="Completed"/>
    <s v="Chennai"/>
    <n v="0"/>
    <b v="1"/>
    <x v="2"/>
    <s v="Retail"/>
    <n v="32"/>
    <x v="3"/>
    <n v="1412"/>
  </r>
  <r>
    <s v="ORD-00580"/>
    <x v="55"/>
    <s v="CUST-0097"/>
    <s v="PROD-025"/>
    <x v="0"/>
    <n v="10"/>
    <n v="4060"/>
    <n v="3.6"/>
    <n v="39138.400000000001"/>
    <s v="Pending"/>
    <s v="Mumbai"/>
    <n v="0"/>
    <b v="1"/>
    <x v="2"/>
    <s v="Retail"/>
    <n v="65"/>
    <x v="0"/>
    <n v="2911"/>
  </r>
  <r>
    <s v="ORD-00581"/>
    <x v="301"/>
    <s v="CUST-0151"/>
    <s v="PROD-010"/>
    <x v="10"/>
    <n v="8"/>
    <n v="2640"/>
    <n v="28.8"/>
    <n v="15037.44"/>
    <s v="Completed"/>
    <s v="Mumbai"/>
    <n v="0"/>
    <b v="1"/>
    <x v="4"/>
    <s v="Retail"/>
    <n v="53"/>
    <x v="0"/>
    <n v="1149"/>
  </r>
  <r>
    <s v="ORD-00582"/>
    <x v="302"/>
    <s v="CUST-0048"/>
    <s v="PROD-031"/>
    <x v="27"/>
    <n v="6"/>
    <n v="3730"/>
    <n v="21.9"/>
    <n v="17478.78"/>
    <s v="Completed"/>
    <s v="Delhi"/>
    <n v="0"/>
    <b v="1"/>
    <x v="3"/>
    <s v="Retail"/>
    <n v="59"/>
    <x v="1"/>
    <n v="2135"/>
  </r>
  <r>
    <s v="ORD-00583"/>
    <x v="68"/>
    <s v="CUST-0048"/>
    <s v="PROD-001"/>
    <x v="3"/>
    <n v="9"/>
    <n v="5330"/>
    <n v="29.4"/>
    <n v="33866.82"/>
    <s v="Cancelled"/>
    <s v="Delhi"/>
    <n v="0"/>
    <b v="1"/>
    <x v="4"/>
    <s v="Retail"/>
    <n v="59"/>
    <x v="0"/>
    <n v="2405"/>
  </r>
  <r>
    <s v="ORD-00584"/>
    <x v="94"/>
    <s v="CUST-0156"/>
    <s v="PROD-011"/>
    <x v="28"/>
    <n v="1"/>
    <n v="3450"/>
    <n v="23.3"/>
    <n v="2646.15"/>
    <s v="Completed"/>
    <s v="Mumbai"/>
    <n v="0"/>
    <b v="1"/>
    <x v="0"/>
    <s v="Retail"/>
    <n v="33"/>
    <x v="2"/>
    <n v="1748"/>
  </r>
  <r>
    <s v="ORD-00585"/>
    <x v="227"/>
    <s v="CUST-0022"/>
    <s v="PROD-050"/>
    <x v="21"/>
    <n v="3"/>
    <n v="6080"/>
    <n v="14.5"/>
    <n v="15595.2"/>
    <s v="Completed"/>
    <s v="Bengaluru"/>
    <n v="0"/>
    <b v="1"/>
    <x v="5"/>
    <s v="Corporate"/>
    <n v="55"/>
    <x v="3"/>
    <n v="2617"/>
  </r>
  <r>
    <s v="ORD-00586"/>
    <x v="303"/>
    <s v="CUST-0193"/>
    <s v="PROD-031"/>
    <x v="25"/>
    <n v="4"/>
    <n v="3730"/>
    <n v="3.4"/>
    <n v="14412.72"/>
    <s v="Cancelled"/>
    <s v="Bengaluru"/>
    <n v="0"/>
    <b v="1"/>
    <x v="3"/>
    <s v="Retail"/>
    <n v="42"/>
    <x v="0"/>
    <n v="2135"/>
  </r>
  <r>
    <s v="ORD-00587"/>
    <x v="304"/>
    <s v="CUST-0189"/>
    <s v="PROD-008"/>
    <x v="24"/>
    <n v="10"/>
    <n v="2660"/>
    <n v="2.1"/>
    <n v="26041.4"/>
    <s v="Completed"/>
    <s v="Chennai"/>
    <n v="0"/>
    <b v="0"/>
    <x v="4"/>
    <s v="Retail"/>
    <n v="41"/>
    <x v="3"/>
    <n v="1259"/>
  </r>
  <r>
    <s v="ORD-00588"/>
    <x v="41"/>
    <s v="CUST-0101"/>
    <s v="PROD-029"/>
    <x v="13"/>
    <n v="7"/>
    <n v="2210"/>
    <n v="17.100000000000001"/>
    <n v="12824.63"/>
    <s v="Completed"/>
    <s v="Hyderabad"/>
    <n v="0"/>
    <b v="1"/>
    <x v="2"/>
    <s v="SMB"/>
    <n v="40"/>
    <x v="3"/>
    <n v="1010"/>
  </r>
  <r>
    <s v="ORD-00589"/>
    <x v="84"/>
    <s v="CUST-0006"/>
    <s v="PROD-059"/>
    <x v="22"/>
    <n v="6"/>
    <n v="3780"/>
    <n v="12.7"/>
    <n v="19799.64"/>
    <s v="Completed"/>
    <s v="Pune"/>
    <n v="0"/>
    <b v="1"/>
    <x v="1"/>
    <s v="SMB"/>
    <n v="44"/>
    <x v="1"/>
    <n v="1860"/>
  </r>
  <r>
    <s v="ORD-00590"/>
    <x v="249"/>
    <s v="CUST-0235"/>
    <s v="PROD-038"/>
    <x v="20"/>
    <n v="4"/>
    <n v="5490"/>
    <n v="26.9"/>
    <n v="16052.76"/>
    <s v="Completed"/>
    <s v="Chennai"/>
    <n v="0"/>
    <b v="1"/>
    <x v="3"/>
    <s v="Retail"/>
    <n v="31"/>
    <x v="2"/>
    <n v="2549"/>
  </r>
  <r>
    <s v="ORD-00591"/>
    <x v="116"/>
    <s v="CUST-0045"/>
    <s v="PROD-008"/>
    <x v="22"/>
    <n v="9"/>
    <n v="2660"/>
    <n v="21.9"/>
    <n v="18697.14"/>
    <s v="Completed"/>
    <s v="Chennai"/>
    <n v="0"/>
    <b v="0"/>
    <x v="4"/>
    <s v="SMB"/>
    <n v="39"/>
    <x v="1"/>
    <n v="1259"/>
  </r>
  <r>
    <s v="ORD-00592"/>
    <x v="160"/>
    <s v="CUST-0028"/>
    <s v="PROD-056"/>
    <x v="8"/>
    <n v="9"/>
    <n v="6940"/>
    <n v="8"/>
    <n v="57463.199999999997"/>
    <s v="Completed"/>
    <s v="Bengaluru"/>
    <n v="0"/>
    <b v="1"/>
    <x v="1"/>
    <s v="Retail"/>
    <n v="59"/>
    <x v="2"/>
    <n v="2827"/>
  </r>
  <r>
    <s v="ORD-00593"/>
    <x v="73"/>
    <s v="CUST-0241"/>
    <s v="PROD-004"/>
    <x v="3"/>
    <n v="1"/>
    <n v="3870"/>
    <n v="22.6"/>
    <n v="2995.38"/>
    <s v="Completed"/>
    <s v="Pune"/>
    <n v="0"/>
    <b v="1"/>
    <x v="4"/>
    <s v="Corporate"/>
    <n v="47"/>
    <x v="0"/>
    <n v="1559"/>
  </r>
  <r>
    <s v="ORD-00594"/>
    <x v="240"/>
    <s v="CUST-0278"/>
    <s v="PROD-035"/>
    <x v="4"/>
    <n v="3"/>
    <n v="1090"/>
    <n v="28.1"/>
    <n v="2351.13"/>
    <s v="Completed"/>
    <s v="Hyderabad"/>
    <n v="0"/>
    <b v="1"/>
    <x v="3"/>
    <s v="Retail"/>
    <n v="41"/>
    <x v="0"/>
    <n v="464"/>
  </r>
  <r>
    <s v="ORD-00595"/>
    <x v="111"/>
    <s v="CUST-0009"/>
    <s v="PROD-002"/>
    <x v="19"/>
    <n v="2"/>
    <n v="2600"/>
    <n v="5.6"/>
    <n v="4908.8"/>
    <s v="Completed"/>
    <s v="Mumbai"/>
    <n v="0"/>
    <b v="1"/>
    <x v="4"/>
    <s v="Retail"/>
    <n v="61"/>
    <x v="0"/>
    <n v="1052"/>
  </r>
  <r>
    <s v="ORD-00596"/>
    <x v="54"/>
    <s v="CUST-0217"/>
    <s v="PROD-057"/>
    <x v="16"/>
    <n v="4"/>
    <n v="960"/>
    <n v="21.7"/>
    <n v="3006.72"/>
    <s v="Completed"/>
    <s v="Pune"/>
    <n v="0"/>
    <b v="1"/>
    <x v="1"/>
    <s v="SMB"/>
    <n v="59"/>
    <x v="3"/>
    <n v="705"/>
  </r>
  <r>
    <s v="ORD-00597"/>
    <x v="80"/>
    <s v="CUST-0289"/>
    <s v="PROD-032"/>
    <x v="17"/>
    <n v="6"/>
    <n v="370"/>
    <n v="22.5"/>
    <n v="1720.5"/>
    <s v="Completed"/>
    <s v="Mumbai"/>
    <n v="0"/>
    <b v="1"/>
    <x v="3"/>
    <s v="Retail"/>
    <n v="54"/>
    <x v="2"/>
    <n v="288"/>
  </r>
  <r>
    <s v="ORD-00598"/>
    <x v="51"/>
    <s v="CUST-0176"/>
    <s v="PROD-034"/>
    <x v="3"/>
    <n v="5"/>
    <n v="5080"/>
    <n v="23.8"/>
    <n v="19354.8"/>
    <s v="Completed"/>
    <s v="Bengaluru"/>
    <n v="0"/>
    <b v="1"/>
    <x v="3"/>
    <s v="SMB"/>
    <n v="34"/>
    <x v="0"/>
    <n v="2459"/>
  </r>
  <r>
    <s v="ORD-00599"/>
    <x v="67"/>
    <s v="CUST-0026"/>
    <s v="PROD-041"/>
    <x v="11"/>
    <n v="5"/>
    <n v="1540"/>
    <n v="6.1"/>
    <n v="7230.3"/>
    <s v="Completed"/>
    <s v="Pune"/>
    <n v="0"/>
    <b v="0"/>
    <x v="5"/>
    <s v="Retail"/>
    <n v="62"/>
    <x v="0"/>
    <n v="647"/>
  </r>
  <r>
    <s v="ORD-00600"/>
    <x v="305"/>
    <s v="CUST-0213"/>
    <s v="PROD-024"/>
    <x v="15"/>
    <n v="7"/>
    <n v="2270"/>
    <n v="0.4"/>
    <n v="15826.44"/>
    <s v="Completed"/>
    <s v="Mumbai"/>
    <n v="1"/>
    <b v="1"/>
    <x v="2"/>
    <s v="Retail"/>
    <n v="37"/>
    <x v="1"/>
    <n v="1203"/>
  </r>
  <r>
    <s v="ORD-00601"/>
    <x v="236"/>
    <s v="CUST-0190"/>
    <s v="PROD-057"/>
    <x v="15"/>
    <n v="2"/>
    <n v="960"/>
    <n v="3.7"/>
    <n v="1848.96"/>
    <s v="Completed"/>
    <s v="Hyderabad"/>
    <n v="0"/>
    <b v="1"/>
    <x v="1"/>
    <s v="Retail"/>
    <n v="52"/>
    <x v="1"/>
    <n v="705"/>
  </r>
  <r>
    <s v="ORD-00602"/>
    <x v="306"/>
    <s v="CUST-0150"/>
    <s v="PROD-007"/>
    <x v="28"/>
    <n v="6"/>
    <n v="1430"/>
    <n v="2"/>
    <n v="8408.4"/>
    <s v="Pending"/>
    <s v="Pune"/>
    <n v="0"/>
    <b v="1"/>
    <x v="4"/>
    <s v="SMB"/>
    <n v="53"/>
    <x v="2"/>
    <n v="861"/>
  </r>
  <r>
    <s v="ORD-00603"/>
    <x v="276"/>
    <s v="CUST-0129"/>
    <s v="PROD-047"/>
    <x v="3"/>
    <n v="10"/>
    <n v="3450"/>
    <n v="19.100000000000001"/>
    <n v="27910.5"/>
    <s v="Completed"/>
    <s v="Hyderabad"/>
    <n v="0"/>
    <b v="1"/>
    <x v="5"/>
    <s v="Retail"/>
    <n v="29"/>
    <x v="0"/>
    <n v="2420"/>
  </r>
  <r>
    <s v="ORD-00604"/>
    <x v="249"/>
    <s v="CUST-0080"/>
    <s v="PROD-009"/>
    <x v="17"/>
    <n v="8"/>
    <n v="1220"/>
    <n v="16.899999999999999"/>
    <n v="8110.56"/>
    <s v="Completed"/>
    <s v="Pune"/>
    <n v="0"/>
    <b v="1"/>
    <x v="4"/>
    <s v="SMB"/>
    <n v="30"/>
    <x v="2"/>
    <n v="517"/>
  </r>
  <r>
    <s v="ORD-00605"/>
    <x v="96"/>
    <s v="CUST-0034"/>
    <s v="PROD-021"/>
    <x v="16"/>
    <n v="9"/>
    <n v="2760"/>
    <n v="16.899999999999999"/>
    <n v="20642.04"/>
    <s v="Completed"/>
    <s v="Delhi"/>
    <n v="0"/>
    <b v="1"/>
    <x v="2"/>
    <s v="Retail"/>
    <n v="47"/>
    <x v="3"/>
    <n v="1435"/>
  </r>
  <r>
    <s v="ORD-00606"/>
    <x v="106"/>
    <s v="CUST-0179"/>
    <s v="PROD-043"/>
    <x v="21"/>
    <n v="6"/>
    <n v="3350"/>
    <n v="11.8"/>
    <n v="17728.2"/>
    <s v="Pending"/>
    <s v="Mumbai"/>
    <n v="0"/>
    <b v="1"/>
    <x v="5"/>
    <s v="SMB"/>
    <n v="54"/>
    <x v="3"/>
    <n v="1728"/>
  </r>
  <r>
    <s v="ORD-00607"/>
    <x v="23"/>
    <s v="CUST-0176"/>
    <s v="PROD-048"/>
    <x v="22"/>
    <n v="6"/>
    <n v="5100"/>
    <n v="13.2"/>
    <n v="26560.799999999999"/>
    <s v="Completed"/>
    <s v="Bengaluru"/>
    <n v="0"/>
    <b v="1"/>
    <x v="5"/>
    <s v="SMB"/>
    <n v="34"/>
    <x v="1"/>
    <n v="2237"/>
  </r>
  <r>
    <s v="ORD-00608"/>
    <x v="267"/>
    <s v="CUST-0144"/>
    <s v="PROD-010"/>
    <x v="28"/>
    <n v="6"/>
    <n v="2640"/>
    <n v="26.2"/>
    <n v="11689.92"/>
    <s v="Completed"/>
    <s v="Chennai"/>
    <n v="0"/>
    <b v="1"/>
    <x v="4"/>
    <s v="Retail"/>
    <n v="49"/>
    <x v="2"/>
    <n v="1149"/>
  </r>
  <r>
    <s v="ORD-00609"/>
    <x v="111"/>
    <s v="CUST-0218"/>
    <s v="PROD-028"/>
    <x v="29"/>
    <n v="1"/>
    <n v="3660"/>
    <n v="19.7"/>
    <n v="2938.98"/>
    <s v="Completed"/>
    <s v="Mumbai"/>
    <n v="0"/>
    <b v="0"/>
    <x v="2"/>
    <s v="Retail"/>
    <n v="39"/>
    <x v="1"/>
    <n v="2214"/>
  </r>
  <r>
    <s v="ORD-00610"/>
    <x v="290"/>
    <s v="CUST-0249"/>
    <s v="PROD-032"/>
    <x v="28"/>
    <n v="5"/>
    <n v="370"/>
    <n v="21.7"/>
    <n v="1448.55"/>
    <s v="Completed"/>
    <s v="Mumbai"/>
    <n v="0"/>
    <b v="1"/>
    <x v="3"/>
    <s v="Retail"/>
    <n v="44"/>
    <x v="2"/>
    <n v="288"/>
  </r>
  <r>
    <s v="ORD-00611"/>
    <x v="260"/>
    <s v="CUST-0092"/>
    <s v="PROD-016"/>
    <x v="5"/>
    <n v="5"/>
    <n v="620"/>
    <n v="10.199999999999999"/>
    <n v="2783.8"/>
    <s v="Completed"/>
    <s v="Bengaluru"/>
    <n v="0"/>
    <b v="1"/>
    <x v="0"/>
    <s v="SMB"/>
    <n v="28"/>
    <x v="2"/>
    <n v="396"/>
  </r>
  <r>
    <s v="ORD-00612"/>
    <x v="40"/>
    <s v="CUST-0245"/>
    <s v="PROD-053"/>
    <x v="26"/>
    <n v="8"/>
    <n v="470"/>
    <n v="2.4"/>
    <n v="3669.76"/>
    <s v="Completed"/>
    <s v="Hyderabad"/>
    <n v="0"/>
    <b v="0"/>
    <x v="1"/>
    <s v="Retail"/>
    <n v="65"/>
    <x v="3"/>
    <n v="302"/>
  </r>
  <r>
    <s v="ORD-00613"/>
    <x v="294"/>
    <s v="CUST-0134"/>
    <s v="PROD-042"/>
    <x v="1"/>
    <n v="3"/>
    <n v="2290"/>
    <n v="20.8"/>
    <n v="5441.04"/>
    <s v="Completed"/>
    <s v="Delhi"/>
    <n v="1"/>
    <b v="1"/>
    <x v="5"/>
    <s v="Retail"/>
    <n v="40"/>
    <x v="0"/>
    <n v="1219"/>
  </r>
  <r>
    <s v="ORD-00614"/>
    <x v="92"/>
    <s v="CUST-0063"/>
    <s v="PROD-057"/>
    <x v="6"/>
    <n v="4"/>
    <n v="960"/>
    <n v="28.8"/>
    <n v="2734.08"/>
    <s v="Pending"/>
    <s v="Mumbai"/>
    <n v="0"/>
    <b v="1"/>
    <x v="1"/>
    <s v="SMB"/>
    <n v="53"/>
    <x v="2"/>
    <n v="705"/>
  </r>
  <r>
    <s v="ORD-00615"/>
    <x v="307"/>
    <s v="CUST-0172"/>
    <s v="PROD-028"/>
    <x v="9"/>
    <n v="5"/>
    <n v="3660"/>
    <n v="11.9"/>
    <n v="16122.3"/>
    <s v="Pending"/>
    <s v="Pune"/>
    <n v="0"/>
    <b v="0"/>
    <x v="2"/>
    <s v="Retail"/>
    <n v="65"/>
    <x v="1"/>
    <n v="2214"/>
  </r>
  <r>
    <s v="ORD-00616"/>
    <x v="173"/>
    <s v="CUST-0139"/>
    <s v="PROD-003"/>
    <x v="7"/>
    <n v="5"/>
    <n v="3570"/>
    <n v="12.4"/>
    <n v="15636.6"/>
    <s v="Completed"/>
    <s v="Hyderabad"/>
    <n v="0"/>
    <b v="1"/>
    <x v="4"/>
    <s v="SMB"/>
    <n v="65"/>
    <x v="3"/>
    <n v="1665"/>
  </r>
  <r>
    <s v="ORD-00617"/>
    <x v="246"/>
    <s v="CUST-0275"/>
    <s v="PROD-033"/>
    <x v="21"/>
    <n v="9"/>
    <n v="2030"/>
    <n v="23.4"/>
    <n v="13994.82"/>
    <s v="Completed"/>
    <s v="Mumbai"/>
    <n v="0"/>
    <b v="1"/>
    <x v="3"/>
    <s v="Retail"/>
    <n v="36"/>
    <x v="3"/>
    <n v="1143"/>
  </r>
  <r>
    <s v="ORD-00618"/>
    <x v="60"/>
    <s v="CUST-0006"/>
    <s v="PROD-015"/>
    <x v="6"/>
    <n v="7"/>
    <n v="2720"/>
    <n v="11.2"/>
    <n v="16907.52"/>
    <s v="Refunded"/>
    <s v="Pune"/>
    <n v="0"/>
    <b v="1"/>
    <x v="0"/>
    <s v="SMB"/>
    <n v="44"/>
    <x v="2"/>
    <n v="1962"/>
  </r>
  <r>
    <s v="ORD-00619"/>
    <x v="180"/>
    <s v="CUST-0279"/>
    <s v="PROD-003"/>
    <x v="4"/>
    <n v="2"/>
    <n v="3570"/>
    <n v="6.1"/>
    <n v="6704.46"/>
    <s v="Cancelled"/>
    <s v="Mumbai"/>
    <n v="0"/>
    <b v="1"/>
    <x v="4"/>
    <s v="Retail"/>
    <n v="56"/>
    <x v="0"/>
    <n v="1665"/>
  </r>
  <r>
    <s v="ORD-00620"/>
    <x v="308"/>
    <s v="CUST-0093"/>
    <s v="PROD-058"/>
    <x v="19"/>
    <n v="5"/>
    <n v="2400"/>
    <n v="16.100000000000001"/>
    <n v="10068"/>
    <s v="Completed"/>
    <s v="Pune"/>
    <n v="0"/>
    <b v="1"/>
    <x v="1"/>
    <s v="Retail"/>
    <n v="36"/>
    <x v="0"/>
    <n v="974"/>
  </r>
  <r>
    <s v="ORD-00621"/>
    <x v="95"/>
    <s v="CUST-0063"/>
    <s v="PROD-024"/>
    <x v="25"/>
    <n v="4"/>
    <n v="2270"/>
    <n v="27.5"/>
    <n v="6583"/>
    <s v="Pending"/>
    <s v="Mumbai"/>
    <n v="0"/>
    <b v="1"/>
    <x v="2"/>
    <s v="SMB"/>
    <n v="53"/>
    <x v="0"/>
    <n v="1203"/>
  </r>
  <r>
    <s v="ORD-00622"/>
    <x v="89"/>
    <s v="CUST-0071"/>
    <s v="PROD-030"/>
    <x v="27"/>
    <n v="1"/>
    <n v="970"/>
    <n v="12.7"/>
    <n v="846.81"/>
    <s v="Completed"/>
    <s v="Delhi"/>
    <n v="0"/>
    <b v="1"/>
    <x v="2"/>
    <s v="Corporate"/>
    <n v="46"/>
    <x v="1"/>
    <n v="434"/>
  </r>
  <r>
    <s v="ORD-00623"/>
    <x v="246"/>
    <s v="CUST-0119"/>
    <s v="PROD-056"/>
    <x v="26"/>
    <n v="5"/>
    <n v="6940"/>
    <n v="16.2"/>
    <n v="29078.6"/>
    <s v="Completed"/>
    <s v="Bengaluru"/>
    <n v="0"/>
    <b v="1"/>
    <x v="1"/>
    <s v="SMB"/>
    <n v="43"/>
    <x v="3"/>
    <n v="2827"/>
  </r>
  <r>
    <s v="ORD-00624"/>
    <x v="261"/>
    <s v="CUST-0035"/>
    <s v="PROD-056"/>
    <x v="18"/>
    <n v="4"/>
    <n v="6940"/>
    <n v="15.1"/>
    <n v="23568.240000000002"/>
    <s v="Completed"/>
    <s v="Hyderabad"/>
    <n v="0"/>
    <b v="1"/>
    <x v="1"/>
    <s v="Retail"/>
    <n v="53"/>
    <x v="1"/>
    <n v="2827"/>
  </r>
  <r>
    <s v="ORD-00625"/>
    <x v="78"/>
    <s v="CUST-0042"/>
    <s v="PROD-054"/>
    <x v="3"/>
    <n v="1"/>
    <n v="1010"/>
    <n v="1.7"/>
    <n v="992.83"/>
    <s v="Completed"/>
    <s v="Pune"/>
    <n v="0"/>
    <b v="1"/>
    <x v="1"/>
    <s v="Retail"/>
    <n v="25"/>
    <x v="0"/>
    <n v="516"/>
  </r>
  <r>
    <s v="ORD-00626"/>
    <x v="303"/>
    <s v="CUST-0033"/>
    <s v="PROD-004"/>
    <x v="0"/>
    <n v="6"/>
    <n v="3870"/>
    <n v="12.2"/>
    <n v="20387.16"/>
    <s v="Completed"/>
    <s v="Delhi"/>
    <n v="0"/>
    <b v="1"/>
    <x v="4"/>
    <s v="Retail"/>
    <n v="35"/>
    <x v="0"/>
    <n v="1559"/>
  </r>
  <r>
    <s v="ORD-00627"/>
    <x v="309"/>
    <s v="CUST-0077"/>
    <s v="PROD-048"/>
    <x v="23"/>
    <n v="9"/>
    <n v="5100"/>
    <n v="26.4"/>
    <n v="33782.400000000001"/>
    <s v="Completed"/>
    <s v="Hyderabad"/>
    <n v="0"/>
    <b v="1"/>
    <x v="5"/>
    <s v="SMB"/>
    <n v="48"/>
    <x v="1"/>
    <n v="2237"/>
  </r>
  <r>
    <s v="ORD-00628"/>
    <x v="310"/>
    <s v="CUST-0266"/>
    <s v="PROD-012"/>
    <x v="4"/>
    <n v="2"/>
    <n v="3160"/>
    <n v="13.4"/>
    <n v="5473.12"/>
    <s v="Refunded"/>
    <s v="Pune"/>
    <n v="0"/>
    <b v="1"/>
    <x v="0"/>
    <s v="Retail"/>
    <n v="65"/>
    <x v="0"/>
    <n v="1886"/>
  </r>
  <r>
    <s v="ORD-00629"/>
    <x v="211"/>
    <s v="CUST-0272"/>
    <s v="PROD-029"/>
    <x v="23"/>
    <n v="8"/>
    <n v="2210"/>
    <n v="26"/>
    <n v="13083.2"/>
    <s v="Completed"/>
    <s v="Mumbai"/>
    <n v="0"/>
    <b v="1"/>
    <x v="2"/>
    <s v="SMB"/>
    <n v="47"/>
    <x v="1"/>
    <n v="1010"/>
  </r>
  <r>
    <s v="ORD-00630"/>
    <x v="237"/>
    <s v="CUST-0253"/>
    <s v="PROD-018"/>
    <x v="17"/>
    <n v="5"/>
    <n v="3560"/>
    <n v="15"/>
    <n v="15130"/>
    <s v="Completed"/>
    <s v="Delhi"/>
    <n v="0"/>
    <b v="1"/>
    <x v="0"/>
    <s v="SMB"/>
    <n v="53"/>
    <x v="2"/>
    <n v="2629"/>
  </r>
  <r>
    <s v="ORD-00631"/>
    <x v="142"/>
    <s v="CUST-0252"/>
    <s v="PROD-016"/>
    <x v="9"/>
    <n v="10"/>
    <n v="620"/>
    <n v="15.8"/>
    <n v="5220.3999999999996"/>
    <s v="Refunded"/>
    <s v="Bengaluru"/>
    <n v="0"/>
    <b v="1"/>
    <x v="0"/>
    <s v="Retail"/>
    <n v="27"/>
    <x v="1"/>
    <n v="396"/>
  </r>
  <r>
    <s v="ORD-00632"/>
    <x v="276"/>
    <s v="CUST-0097"/>
    <s v="PROD-021"/>
    <x v="25"/>
    <n v="3"/>
    <n v="2760"/>
    <n v="1.9"/>
    <n v="8122.68"/>
    <s v="Cancelled"/>
    <s v="Mumbai"/>
    <n v="0"/>
    <b v="1"/>
    <x v="2"/>
    <s v="Retail"/>
    <n v="65"/>
    <x v="0"/>
    <n v="1435"/>
  </r>
  <r>
    <s v="ORD-00633"/>
    <x v="287"/>
    <s v="CUST-0283"/>
    <s v="PROD-054"/>
    <x v="1"/>
    <n v="10"/>
    <n v="1010"/>
    <n v="28.9"/>
    <n v="7181.1"/>
    <s v="Completed"/>
    <s v="Delhi"/>
    <n v="0"/>
    <b v="1"/>
    <x v="1"/>
    <s v="SMB"/>
    <n v="50"/>
    <x v="0"/>
    <n v="516"/>
  </r>
  <r>
    <s v="ORD-00634"/>
    <x v="279"/>
    <s v="CUST-0064"/>
    <s v="PROD-013"/>
    <x v="25"/>
    <n v="1"/>
    <n v="3640"/>
    <n v="9.6999999999999993"/>
    <n v="3286.92"/>
    <s v="Completed"/>
    <s v="Hyderabad"/>
    <n v="0"/>
    <b v="1"/>
    <x v="0"/>
    <s v="SMB"/>
    <n v="40"/>
    <x v="0"/>
    <n v="2611"/>
  </r>
  <r>
    <s v="ORD-00635"/>
    <x v="135"/>
    <s v="CUST-0143"/>
    <s v="PROD-020"/>
    <x v="9"/>
    <n v="1"/>
    <n v="820"/>
    <n v="15"/>
    <n v="697"/>
    <s v="Completed"/>
    <s v="Chennai"/>
    <n v="0"/>
    <b v="1"/>
    <x v="0"/>
    <s v="SMB"/>
    <n v="52"/>
    <x v="1"/>
    <n v="391"/>
  </r>
  <r>
    <s v="ORD-00636"/>
    <x v="305"/>
    <s v="CUST-0265"/>
    <s v="PROD-013"/>
    <x v="23"/>
    <n v="4"/>
    <n v="3640"/>
    <n v="17"/>
    <n v="12084.8"/>
    <s v="Completed"/>
    <s v="Chennai"/>
    <n v="0"/>
    <b v="1"/>
    <x v="0"/>
    <s v="Retail"/>
    <n v="49"/>
    <x v="1"/>
    <n v="2611"/>
  </r>
  <r>
    <s v="ORD-00637"/>
    <x v="54"/>
    <s v="CUST-0158"/>
    <s v="PROD-023"/>
    <x v="25"/>
    <n v="7"/>
    <n v="2380"/>
    <n v="25.5"/>
    <n v="12411.7"/>
    <s v="Completed"/>
    <s v="Pune"/>
    <n v="0"/>
    <b v="1"/>
    <x v="2"/>
    <s v="Corporate"/>
    <n v="42"/>
    <x v="0"/>
    <n v="1182"/>
  </r>
  <r>
    <s v="ORD-00638"/>
    <x v="311"/>
    <s v="CUST-0154"/>
    <s v="PROD-037"/>
    <x v="4"/>
    <n v="1"/>
    <n v="660"/>
    <n v="2.5"/>
    <n v="643.5"/>
    <s v="Completed"/>
    <s v="Pune"/>
    <n v="0"/>
    <b v="1"/>
    <x v="3"/>
    <s v="Retail"/>
    <n v="36"/>
    <x v="0"/>
    <n v="329"/>
  </r>
  <r>
    <s v="ORD-00639"/>
    <x v="177"/>
    <s v="CUST-0057"/>
    <s v="PROD-004"/>
    <x v="16"/>
    <n v="7"/>
    <n v="3870"/>
    <n v="20.3"/>
    <n v="21590.73"/>
    <s v="Pending"/>
    <s v="Pune"/>
    <n v="0"/>
    <b v="1"/>
    <x v="4"/>
    <s v="Retail"/>
    <n v="35"/>
    <x v="3"/>
    <n v="1559"/>
  </r>
  <r>
    <s v="ORD-00640"/>
    <x v="176"/>
    <s v="CUST-0088"/>
    <s v="PROD-032"/>
    <x v="29"/>
    <n v="10"/>
    <n v="370"/>
    <n v="1.3"/>
    <n v="3651.9"/>
    <s v="Refunded"/>
    <s v="Chennai"/>
    <n v="0"/>
    <b v="1"/>
    <x v="3"/>
    <s v="Retail"/>
    <n v="24"/>
    <x v="1"/>
    <n v="288"/>
  </r>
  <r>
    <s v="ORD-00641"/>
    <x v="13"/>
    <s v="CUST-0064"/>
    <s v="PROD-014"/>
    <x v="26"/>
    <n v="1"/>
    <n v="3620"/>
    <n v="1.4"/>
    <n v="3569.32"/>
    <s v="Completed"/>
    <s v="Hyderabad"/>
    <n v="0"/>
    <b v="1"/>
    <x v="0"/>
    <s v="SMB"/>
    <n v="40"/>
    <x v="3"/>
    <n v="2509"/>
  </r>
  <r>
    <s v="ORD-00642"/>
    <x v="308"/>
    <s v="CUST-0192"/>
    <s v="PROD-008"/>
    <x v="1"/>
    <n v="10"/>
    <n v="2660"/>
    <n v="20.2"/>
    <n v="21226.799999999999"/>
    <s v="Completed"/>
    <s v="Bengaluru"/>
    <n v="0"/>
    <b v="0"/>
    <x v="4"/>
    <s v="Retail"/>
    <n v="55"/>
    <x v="0"/>
    <n v="1259"/>
  </r>
  <r>
    <s v="ORD-00643"/>
    <x v="105"/>
    <s v="CUST-0175"/>
    <s v="PROD-051"/>
    <x v="15"/>
    <n v="10"/>
    <n v="3450"/>
    <n v="25.1"/>
    <n v="25840.5"/>
    <s v="Completed"/>
    <s v="Delhi"/>
    <n v="0"/>
    <b v="1"/>
    <x v="1"/>
    <s v="Corporate"/>
    <n v="55"/>
    <x v="1"/>
    <n v="2467"/>
  </r>
  <r>
    <s v="ORD-00644"/>
    <x v="98"/>
    <s v="CUST-0083"/>
    <s v="PROD-025"/>
    <x v="22"/>
    <n v="3"/>
    <n v="4060"/>
    <n v="2.5"/>
    <n v="11875.5"/>
    <s v="Refunded"/>
    <s v="Bengaluru"/>
    <n v="0"/>
    <b v="1"/>
    <x v="2"/>
    <s v="Corporate"/>
    <n v="31"/>
    <x v="1"/>
    <n v="2911"/>
  </r>
  <r>
    <s v="ORD-00645"/>
    <x v="137"/>
    <s v="CUST-0142"/>
    <s v="PROD-057"/>
    <x v="13"/>
    <n v="3"/>
    <n v="960"/>
    <n v="6.6"/>
    <n v="2689.92"/>
    <s v="Cancelled"/>
    <s v="Chennai"/>
    <n v="0"/>
    <b v="1"/>
    <x v="1"/>
    <s v="Corporate"/>
    <n v="55"/>
    <x v="3"/>
    <n v="705"/>
  </r>
  <r>
    <s v="ORD-00646"/>
    <x v="196"/>
    <s v="CUST-0185"/>
    <s v="PROD-008"/>
    <x v="4"/>
    <n v="4"/>
    <n v="2660"/>
    <n v="16.899999999999999"/>
    <n v="8841.84"/>
    <s v="Completed"/>
    <s v="Hyderabad"/>
    <n v="0"/>
    <b v="0"/>
    <x v="4"/>
    <s v="SMB"/>
    <n v="43"/>
    <x v="0"/>
    <n v="1259"/>
  </r>
  <r>
    <s v="ORD-00647"/>
    <x v="264"/>
    <s v="CUST-0284"/>
    <s v="PROD-024"/>
    <x v="26"/>
    <n v="6"/>
    <n v="2270"/>
    <n v="16.7"/>
    <n v="11345.46"/>
    <s v="Completed"/>
    <s v="Hyderabad"/>
    <n v="0"/>
    <b v="1"/>
    <x v="2"/>
    <s v="SMB"/>
    <n v="65"/>
    <x v="3"/>
    <n v="1203"/>
  </r>
  <r>
    <s v="ORD-00648"/>
    <x v="0"/>
    <s v="CUST-0092"/>
    <s v="PROD-027"/>
    <x v="5"/>
    <n v="5"/>
    <n v="3780"/>
    <n v="21.5"/>
    <n v="14836.5"/>
    <s v="Completed"/>
    <s v="Bengaluru"/>
    <n v="0"/>
    <b v="1"/>
    <x v="2"/>
    <s v="SMB"/>
    <n v="28"/>
    <x v="2"/>
    <n v="2436"/>
  </r>
  <r>
    <s v="ORD-00649"/>
    <x v="265"/>
    <s v="CUST-0091"/>
    <s v="PROD-037"/>
    <x v="7"/>
    <n v="10"/>
    <n v="660"/>
    <n v="18.8"/>
    <n v="5359.2"/>
    <s v="Completed"/>
    <s v="Delhi"/>
    <n v="0"/>
    <b v="1"/>
    <x v="3"/>
    <s v="Retail"/>
    <n v="55"/>
    <x v="3"/>
    <n v="329"/>
  </r>
  <r>
    <s v="ORD-00650"/>
    <x v="3"/>
    <s v="CUST-0155"/>
    <s v="PROD-031"/>
    <x v="6"/>
    <n v="10"/>
    <n v="3730"/>
    <n v="15.1"/>
    <n v="31667.7"/>
    <s v="Completed"/>
    <s v="Pune"/>
    <n v="0"/>
    <b v="1"/>
    <x v="3"/>
    <s v="Corporate"/>
    <n v="40"/>
    <x v="2"/>
    <n v="2135"/>
  </r>
  <r>
    <s v="ORD-00651"/>
    <x v="115"/>
    <s v="CUST-0280"/>
    <s v="PROD-025"/>
    <x v="13"/>
    <n v="6"/>
    <n v="4060"/>
    <n v="20.100000000000001"/>
    <n v="19463.64"/>
    <s v="Pending"/>
    <s v="Delhi"/>
    <n v="0"/>
    <b v="1"/>
    <x v="2"/>
    <s v="SMB"/>
    <n v="27"/>
    <x v="3"/>
    <n v="2911"/>
  </r>
  <r>
    <s v="ORD-00652"/>
    <x v="283"/>
    <s v="CUST-0127"/>
    <s v="PROD-024"/>
    <x v="11"/>
    <n v="2"/>
    <n v="2270"/>
    <n v="17.7"/>
    <n v="3736.42"/>
    <s v="Completed"/>
    <s v="Bengaluru"/>
    <n v="0"/>
    <b v="1"/>
    <x v="2"/>
    <s v="SMB"/>
    <n v="36"/>
    <x v="0"/>
    <n v="1203"/>
  </r>
  <r>
    <s v="ORD-00653"/>
    <x v="294"/>
    <s v="CUST-0077"/>
    <s v="PROD-003"/>
    <x v="8"/>
    <n v="9"/>
    <n v="3570"/>
    <n v="29.9"/>
    <n v="22523.13"/>
    <s v="Completed"/>
    <s v="Hyderabad"/>
    <n v="0"/>
    <b v="1"/>
    <x v="4"/>
    <s v="SMB"/>
    <n v="48"/>
    <x v="2"/>
    <n v="1665"/>
  </r>
  <r>
    <s v="ORD-00654"/>
    <x v="126"/>
    <s v="CUST-0190"/>
    <s v="PROD-029"/>
    <x v="10"/>
    <n v="7"/>
    <n v="2210"/>
    <n v="25"/>
    <n v="11602.5"/>
    <s v="Completed"/>
    <s v="Hyderabad"/>
    <n v="0"/>
    <b v="1"/>
    <x v="2"/>
    <s v="Retail"/>
    <n v="52"/>
    <x v="0"/>
    <n v="1010"/>
  </r>
  <r>
    <s v="ORD-00655"/>
    <x v="257"/>
    <s v="CUST-0089"/>
    <s v="PROD-057"/>
    <x v="17"/>
    <n v="2"/>
    <n v="960"/>
    <n v="8.1999999999999993"/>
    <n v="1762.56"/>
    <s v="Cancelled"/>
    <s v="Mumbai"/>
    <n v="0"/>
    <b v="1"/>
    <x v="1"/>
    <s v="SMB"/>
    <n v="43"/>
    <x v="2"/>
    <n v="705"/>
  </r>
  <r>
    <s v="ORD-00656"/>
    <x v="24"/>
    <s v="CUST-0141"/>
    <s v="PROD-059"/>
    <x v="17"/>
    <n v="9"/>
    <n v="3780"/>
    <n v="28.4"/>
    <n v="24358.32"/>
    <s v="Pending"/>
    <s v="Hyderabad"/>
    <n v="0"/>
    <b v="1"/>
    <x v="1"/>
    <s v="Corporate"/>
    <n v="22"/>
    <x v="2"/>
    <n v="1860"/>
  </r>
  <r>
    <s v="ORD-00657"/>
    <x v="248"/>
    <s v="CUST-0123"/>
    <s v="PROD-048"/>
    <x v="2"/>
    <n v="2"/>
    <n v="5100"/>
    <n v="8.6"/>
    <n v="9322.7999999999993"/>
    <s v="Completed"/>
    <s v="Chennai"/>
    <n v="0"/>
    <b v="1"/>
    <x v="5"/>
    <s v="Corporate"/>
    <n v="44"/>
    <x v="1"/>
    <n v="2237"/>
  </r>
  <r>
    <s v="ORD-00658"/>
    <x v="85"/>
    <s v="CUST-0041"/>
    <s v="PROD-019"/>
    <x v="13"/>
    <n v="4"/>
    <n v="2480"/>
    <n v="16.600000000000001"/>
    <n v="8273.2800000000007"/>
    <s v="Completed"/>
    <s v="Bengaluru"/>
    <n v="0"/>
    <b v="1"/>
    <x v="0"/>
    <s v="SMB"/>
    <n v="26"/>
    <x v="3"/>
    <n v="1173"/>
  </r>
  <r>
    <s v="ORD-00659"/>
    <x v="68"/>
    <s v="CUST-0257"/>
    <s v="PROD-040"/>
    <x v="26"/>
    <n v="10"/>
    <n v="1080"/>
    <n v="14.5"/>
    <n v="9234"/>
    <s v="Completed"/>
    <s v="Mumbai"/>
    <n v="0"/>
    <b v="1"/>
    <x v="3"/>
    <s v="Corporate"/>
    <n v="46"/>
    <x v="3"/>
    <n v="519"/>
  </r>
  <r>
    <s v="ORD-00660"/>
    <x v="312"/>
    <s v="CUST-0134"/>
    <s v="PROD-002"/>
    <x v="20"/>
    <n v="7"/>
    <n v="2600"/>
    <n v="21"/>
    <n v="14378"/>
    <s v="Completed"/>
    <s v="Delhi"/>
    <n v="0"/>
    <b v="1"/>
    <x v="4"/>
    <s v="Retail"/>
    <n v="40"/>
    <x v="2"/>
    <n v="1052"/>
  </r>
  <r>
    <s v="ORD-00661"/>
    <x v="81"/>
    <s v="CUST-0180"/>
    <s v="PROD-002"/>
    <x v="15"/>
    <n v="7"/>
    <n v="2600"/>
    <n v="6.7"/>
    <n v="16980.599999999999"/>
    <s v="Pending"/>
    <s v="Chennai"/>
    <n v="0"/>
    <b v="1"/>
    <x v="4"/>
    <s v="Retail"/>
    <n v="36"/>
    <x v="1"/>
    <n v="1052"/>
  </r>
  <r>
    <s v="ORD-00662"/>
    <x v="210"/>
    <s v="CUST-0283"/>
    <s v="PROD-020"/>
    <x v="12"/>
    <n v="8"/>
    <n v="820"/>
    <n v="17.8"/>
    <n v="5392.32"/>
    <s v="Pending"/>
    <s v="Delhi"/>
    <n v="0"/>
    <b v="1"/>
    <x v="0"/>
    <s v="SMB"/>
    <n v="50"/>
    <x v="3"/>
    <n v="391"/>
  </r>
  <r>
    <s v="ORD-00663"/>
    <x v="147"/>
    <s v="CUST-0047"/>
    <s v="PROD-057"/>
    <x v="18"/>
    <n v="3"/>
    <n v="960"/>
    <n v="17.8"/>
    <n v="2367.36"/>
    <s v="Completed"/>
    <s v="Pune"/>
    <n v="0"/>
    <b v="1"/>
    <x v="1"/>
    <s v="Retail"/>
    <n v="49"/>
    <x v="1"/>
    <n v="705"/>
  </r>
  <r>
    <s v="ORD-00664"/>
    <x v="114"/>
    <s v="CUST-0175"/>
    <s v="PROD-041"/>
    <x v="12"/>
    <n v="2"/>
    <n v="1540"/>
    <n v="1.8"/>
    <n v="3024.56"/>
    <s v="Cancelled"/>
    <s v="Delhi"/>
    <n v="0"/>
    <b v="0"/>
    <x v="5"/>
    <s v="Corporate"/>
    <n v="55"/>
    <x v="3"/>
    <n v="647"/>
  </r>
  <r>
    <s v="ORD-00665"/>
    <x v="81"/>
    <s v="CUST-0227"/>
    <s v="PROD-056"/>
    <x v="14"/>
    <n v="5"/>
    <n v="6940"/>
    <n v="2.9"/>
    <n v="33693.699999999997"/>
    <s v="Completed"/>
    <s v="Bengaluru"/>
    <n v="0"/>
    <b v="1"/>
    <x v="1"/>
    <s v="SMB"/>
    <n v="44"/>
    <x v="2"/>
    <n v="2827"/>
  </r>
  <r>
    <s v="ORD-00666"/>
    <x v="101"/>
    <s v="CUST-0287"/>
    <s v="PROD-041"/>
    <x v="22"/>
    <n v="5"/>
    <n v="1540"/>
    <n v="28.8"/>
    <n v="5482.4"/>
    <s v="Completed"/>
    <s v="Chennai"/>
    <n v="0"/>
    <b v="0"/>
    <x v="5"/>
    <s v="SMB"/>
    <n v="53"/>
    <x v="1"/>
    <n v="647"/>
  </r>
  <r>
    <s v="ORD-00667"/>
    <x v="179"/>
    <s v="CUST-0004"/>
    <s v="PROD-031"/>
    <x v="27"/>
    <n v="8"/>
    <n v="3730"/>
    <n v="21.1"/>
    <n v="23543.759999999998"/>
    <s v="Completed"/>
    <s v="Delhi"/>
    <n v="0"/>
    <b v="1"/>
    <x v="3"/>
    <s v="Retail"/>
    <n v="53"/>
    <x v="1"/>
    <n v="2135"/>
  </r>
  <r>
    <s v="ORD-00668"/>
    <x v="208"/>
    <s v="CUST-0234"/>
    <s v="PROD-021"/>
    <x v="12"/>
    <n v="7"/>
    <n v="2760"/>
    <n v="1.2"/>
    <n v="19088.16"/>
    <s v="Cancelled"/>
    <s v="Bengaluru"/>
    <n v="0"/>
    <b v="1"/>
    <x v="2"/>
    <s v="Retail"/>
    <n v="34"/>
    <x v="3"/>
    <n v="1435"/>
  </r>
  <r>
    <s v="ORD-00669"/>
    <x v="313"/>
    <s v="CUST-0255"/>
    <s v="PROD-006"/>
    <x v="16"/>
    <n v="3"/>
    <n v="3970"/>
    <n v="18.3"/>
    <n v="9730.4699999999993"/>
    <s v="Completed"/>
    <s v="Chennai"/>
    <n v="0"/>
    <b v="1"/>
    <x v="4"/>
    <s v="Corporate"/>
    <n v="51"/>
    <x v="3"/>
    <n v="2865"/>
  </r>
  <r>
    <s v="ORD-00670"/>
    <x v="274"/>
    <s v="CUST-0092"/>
    <s v="PROD-027"/>
    <x v="12"/>
    <n v="4"/>
    <n v="3780"/>
    <n v="24.6"/>
    <n v="11400.48"/>
    <s v="Completed"/>
    <s v="Bengaluru"/>
    <n v="0"/>
    <b v="1"/>
    <x v="2"/>
    <s v="SMB"/>
    <n v="28"/>
    <x v="3"/>
    <n v="2436"/>
  </r>
  <r>
    <s v="ORD-00671"/>
    <x v="146"/>
    <s v="CUST-0037"/>
    <s v="PROD-015"/>
    <x v="4"/>
    <n v="10"/>
    <n v="2720"/>
    <n v="12.8"/>
    <n v="23718.400000000001"/>
    <s v="Completed"/>
    <s v="Bengaluru"/>
    <n v="0"/>
    <b v="1"/>
    <x v="0"/>
    <s v="Retail"/>
    <n v="52"/>
    <x v="0"/>
    <n v="1962"/>
  </r>
  <r>
    <s v="ORD-00672"/>
    <x v="2"/>
    <s v="CUST-0208"/>
    <s v="PROD-006"/>
    <x v="21"/>
    <n v="5"/>
    <n v="3970"/>
    <n v="5.9"/>
    <n v="18678.849999999999"/>
    <s v="Completed"/>
    <s v="Mumbai"/>
    <n v="0"/>
    <b v="1"/>
    <x v="4"/>
    <s v="Retail"/>
    <n v="49"/>
    <x v="3"/>
    <n v="2865"/>
  </r>
  <r>
    <s v="ORD-00673"/>
    <x v="131"/>
    <s v="CUST-0008"/>
    <s v="PROD-020"/>
    <x v="23"/>
    <n v="3"/>
    <n v="820"/>
    <n v="19.399999999999999"/>
    <n v="1982.76"/>
    <s v="Completed"/>
    <s v="Pune"/>
    <n v="0"/>
    <b v="1"/>
    <x v="0"/>
    <s v="SMB"/>
    <n v="39"/>
    <x v="1"/>
    <n v="391"/>
  </r>
  <r>
    <s v="ORD-00674"/>
    <x v="314"/>
    <s v="CUST-0050"/>
    <s v="PROD-016"/>
    <x v="9"/>
    <n v="7"/>
    <n v="620"/>
    <n v="9.9"/>
    <n v="3910.34"/>
    <s v="Completed"/>
    <s v="Mumbai"/>
    <n v="0"/>
    <b v="1"/>
    <x v="0"/>
    <s v="Retail"/>
    <n v="37"/>
    <x v="1"/>
    <n v="396"/>
  </r>
  <r>
    <s v="ORD-00675"/>
    <x v="125"/>
    <s v="CUST-0166"/>
    <s v="PROD-042"/>
    <x v="28"/>
    <n v="8"/>
    <n v="2290"/>
    <n v="18.3"/>
    <n v="14967.44"/>
    <s v="Completed"/>
    <s v="Hyderabad"/>
    <n v="0"/>
    <b v="1"/>
    <x v="5"/>
    <s v="Retail"/>
    <n v="31"/>
    <x v="2"/>
    <n v="1219"/>
  </r>
  <r>
    <s v="ORD-00676"/>
    <x v="234"/>
    <s v="CUST-0271"/>
    <s v="PROD-030"/>
    <x v="5"/>
    <n v="3"/>
    <n v="970"/>
    <n v="18.399999999999999"/>
    <n v="2374.56"/>
    <s v="Completed"/>
    <s v="Bengaluru"/>
    <n v="0"/>
    <b v="1"/>
    <x v="2"/>
    <s v="Corporate"/>
    <n v="41"/>
    <x v="2"/>
    <n v="434"/>
  </r>
  <r>
    <s v="ORD-00677"/>
    <x v="140"/>
    <s v="CUST-0034"/>
    <s v="PROD-032"/>
    <x v="2"/>
    <n v="2"/>
    <n v="370"/>
    <n v="8.9"/>
    <n v="674.14"/>
    <s v="Completed"/>
    <s v="Delhi"/>
    <n v="0"/>
    <b v="1"/>
    <x v="3"/>
    <s v="Retail"/>
    <n v="47"/>
    <x v="1"/>
    <n v="288"/>
  </r>
  <r>
    <s v="ORD-00678"/>
    <x v="215"/>
    <s v="CUST-0016"/>
    <s v="PROD-007"/>
    <x v="0"/>
    <n v="1"/>
    <n v="1430"/>
    <n v="5.9"/>
    <n v="1345.63"/>
    <s v="Cancelled"/>
    <s v="Delhi"/>
    <n v="0"/>
    <b v="1"/>
    <x v="4"/>
    <s v="SMB"/>
    <n v="26"/>
    <x v="0"/>
    <n v="861"/>
  </r>
  <r>
    <s v="ORD-00679"/>
    <x v="315"/>
    <s v="CUST-0039"/>
    <s v="PROD-058"/>
    <x v="14"/>
    <n v="2"/>
    <n v="2400"/>
    <n v="29.1"/>
    <n v="3403.2"/>
    <s v="Completed"/>
    <s v="Bengaluru"/>
    <n v="0"/>
    <b v="1"/>
    <x v="1"/>
    <s v="Retail"/>
    <n v="37"/>
    <x v="2"/>
    <n v="974"/>
  </r>
  <r>
    <s v="ORD-00680"/>
    <x v="186"/>
    <s v="CUST-0253"/>
    <s v="PROD-007"/>
    <x v="23"/>
    <n v="9"/>
    <n v="1430"/>
    <n v="6"/>
    <n v="12097.8"/>
    <s v="Completed"/>
    <s v="Delhi"/>
    <n v="0"/>
    <b v="1"/>
    <x v="4"/>
    <s v="SMB"/>
    <n v="53"/>
    <x v="1"/>
    <n v="861"/>
  </r>
  <r>
    <s v="ORD-00681"/>
    <x v="256"/>
    <s v="CUST-0295"/>
    <s v="PROD-015"/>
    <x v="0"/>
    <n v="8"/>
    <n v="2720"/>
    <n v="25.7"/>
    <n v="16167.68"/>
    <s v="Completed"/>
    <s v="Delhi"/>
    <n v="0"/>
    <b v="1"/>
    <x v="0"/>
    <s v="SMB"/>
    <n v="48"/>
    <x v="0"/>
    <n v="1962"/>
  </r>
  <r>
    <s v="ORD-00682"/>
    <x v="160"/>
    <s v="CUST-0138"/>
    <s v="PROD-056"/>
    <x v="28"/>
    <n v="6"/>
    <n v="6940"/>
    <n v="25.7"/>
    <n v="30938.52"/>
    <s v="Completed"/>
    <s v="Chennai"/>
    <n v="0"/>
    <b v="1"/>
    <x v="1"/>
    <s v="Retail"/>
    <n v="24"/>
    <x v="2"/>
    <n v="2827"/>
  </r>
  <r>
    <s v="ORD-00683"/>
    <x v="22"/>
    <s v="CUST-0002"/>
    <s v="PROD-014"/>
    <x v="0"/>
    <n v="3"/>
    <n v="3620"/>
    <n v="29.7"/>
    <n v="7634.58"/>
    <s v="Completed"/>
    <s v="Pune"/>
    <n v="0"/>
    <b v="1"/>
    <x v="0"/>
    <s v="Corporate"/>
    <n v="42"/>
    <x v="0"/>
    <n v="2509"/>
  </r>
  <r>
    <s v="ORD-00684"/>
    <x v="70"/>
    <s v="CUST-0287"/>
    <s v="PROD-010"/>
    <x v="5"/>
    <n v="8"/>
    <n v="2640"/>
    <n v="24.4"/>
    <n v="15966.72"/>
    <s v="Completed"/>
    <s v="Chennai"/>
    <n v="0"/>
    <b v="1"/>
    <x v="4"/>
    <s v="SMB"/>
    <n v="53"/>
    <x v="2"/>
    <n v="1149"/>
  </r>
  <r>
    <s v="ORD-00685"/>
    <x v="134"/>
    <s v="CUST-0279"/>
    <s v="PROD-038"/>
    <x v="3"/>
    <n v="3"/>
    <n v="5490"/>
    <n v="13.5"/>
    <n v="14246.55"/>
    <s v="Completed"/>
    <s v="Mumbai"/>
    <n v="0"/>
    <b v="1"/>
    <x v="3"/>
    <s v="Retail"/>
    <n v="56"/>
    <x v="0"/>
    <n v="2549"/>
  </r>
  <r>
    <s v="ORD-00686"/>
    <x v="3"/>
    <s v="CUST-0008"/>
    <s v="PROD-034"/>
    <x v="21"/>
    <n v="3"/>
    <n v="5080"/>
    <n v="9.3000000000000007"/>
    <n v="13822.68"/>
    <s v="Completed"/>
    <s v="Pune"/>
    <n v="0"/>
    <b v="1"/>
    <x v="3"/>
    <s v="SMB"/>
    <n v="39"/>
    <x v="3"/>
    <n v="2459"/>
  </r>
  <r>
    <s v="ORD-00687"/>
    <x v="50"/>
    <s v="CUST-0092"/>
    <s v="PROD-042"/>
    <x v="14"/>
    <n v="4"/>
    <n v="2290"/>
    <n v="24.4"/>
    <n v="6924.96"/>
    <s v="Completed"/>
    <s v="Bengaluru"/>
    <n v="0"/>
    <b v="1"/>
    <x v="5"/>
    <s v="SMB"/>
    <n v="28"/>
    <x v="2"/>
    <n v="1219"/>
  </r>
  <r>
    <s v="ORD-00688"/>
    <x v="113"/>
    <s v="CUST-0106"/>
    <s v="PROD-033"/>
    <x v="23"/>
    <n v="10"/>
    <n v="2030"/>
    <n v="13.6"/>
    <n v="17539.2"/>
    <s v="Pending"/>
    <s v="Pune"/>
    <n v="0"/>
    <b v="1"/>
    <x v="3"/>
    <s v="Retail"/>
    <n v="22"/>
    <x v="1"/>
    <n v="1143"/>
  </r>
  <r>
    <s v="ORD-00689"/>
    <x v="84"/>
    <s v="CUST-0010"/>
    <s v="PROD-007"/>
    <x v="27"/>
    <n v="10"/>
    <n v="1430"/>
    <n v="16.100000000000001"/>
    <n v="11997.7"/>
    <s v="Cancelled"/>
    <s v="Mumbai"/>
    <n v="0"/>
    <b v="1"/>
    <x v="4"/>
    <s v="SMB"/>
    <n v="61"/>
    <x v="1"/>
    <n v="861"/>
  </r>
  <r>
    <s v="ORD-00690"/>
    <x v="298"/>
    <s v="CUST-0179"/>
    <s v="PROD-027"/>
    <x v="18"/>
    <n v="1"/>
    <n v="3780"/>
    <n v="22.7"/>
    <n v="2921.94"/>
    <s v="Completed"/>
    <s v="Mumbai"/>
    <n v="0"/>
    <b v="1"/>
    <x v="2"/>
    <s v="SMB"/>
    <n v="54"/>
    <x v="1"/>
    <n v="2436"/>
  </r>
  <r>
    <s v="ORD-00691"/>
    <x v="68"/>
    <s v="CUST-0216"/>
    <s v="PROD-012"/>
    <x v="13"/>
    <n v="10"/>
    <n v="3160"/>
    <n v="13.4"/>
    <n v="27365.599999999999"/>
    <s v="Completed"/>
    <s v="Mumbai"/>
    <n v="0"/>
    <b v="1"/>
    <x v="0"/>
    <s v="Retail"/>
    <n v="50"/>
    <x v="3"/>
    <n v="1886"/>
  </r>
  <r>
    <s v="ORD-00692"/>
    <x v="124"/>
    <s v="CUST-0172"/>
    <s v="PROD-007"/>
    <x v="11"/>
    <n v="2"/>
    <n v="1430"/>
    <n v="7.4"/>
    <n v="2648.36"/>
    <s v="Completed"/>
    <s v="Pune"/>
    <n v="0"/>
    <b v="1"/>
    <x v="4"/>
    <s v="Retail"/>
    <n v="65"/>
    <x v="0"/>
    <n v="861"/>
  </r>
  <r>
    <s v="ORD-00693"/>
    <x v="93"/>
    <s v="CUST-0152"/>
    <s v="PROD-012"/>
    <x v="3"/>
    <n v="5"/>
    <n v="3160"/>
    <n v="3.6"/>
    <n v="15231.2"/>
    <s v="Pending"/>
    <s v="Bengaluru"/>
    <n v="0"/>
    <b v="1"/>
    <x v="0"/>
    <s v="SMB"/>
    <n v="64"/>
    <x v="0"/>
    <n v="1886"/>
  </r>
  <r>
    <s v="ORD-00694"/>
    <x v="126"/>
    <s v="CUST-0154"/>
    <s v="PROD-042"/>
    <x v="10"/>
    <n v="2"/>
    <n v="2290"/>
    <n v="28.2"/>
    <n v="3288.44"/>
    <s v="Completed"/>
    <s v="Pune"/>
    <n v="0"/>
    <b v="1"/>
    <x v="5"/>
    <s v="Retail"/>
    <n v="36"/>
    <x v="0"/>
    <n v="1219"/>
  </r>
  <r>
    <s v="ORD-00695"/>
    <x v="250"/>
    <s v="CUST-0001"/>
    <s v="PROD-011"/>
    <x v="15"/>
    <n v="5"/>
    <n v="3450"/>
    <n v="18.100000000000001"/>
    <n v="14127.75"/>
    <s v="Cancelled"/>
    <s v="Pune"/>
    <n v="0"/>
    <b v="1"/>
    <x v="0"/>
    <s v="Retail"/>
    <n v="36"/>
    <x v="1"/>
    <n v="1748"/>
  </r>
  <r>
    <s v="ORD-00696"/>
    <x v="96"/>
    <s v="CUST-0069"/>
    <s v="PROD-018"/>
    <x v="19"/>
    <n v="1"/>
    <n v="3560"/>
    <n v="18.7"/>
    <n v="2894.28"/>
    <s v="Completed"/>
    <s v="Chennai"/>
    <n v="0"/>
    <b v="1"/>
    <x v="0"/>
    <s v="Retail"/>
    <n v="51"/>
    <x v="0"/>
    <n v="2629"/>
  </r>
  <r>
    <s v="ORD-00697"/>
    <x v="87"/>
    <s v="CUST-0200"/>
    <s v="PROD-058"/>
    <x v="18"/>
    <n v="9"/>
    <n v="2400"/>
    <n v="18.5"/>
    <n v="17604"/>
    <s v="Completed"/>
    <s v="Hyderabad"/>
    <n v="0"/>
    <b v="1"/>
    <x v="1"/>
    <s v="Corporate"/>
    <n v="46"/>
    <x v="1"/>
    <n v="974"/>
  </r>
  <r>
    <s v="ORD-00698"/>
    <x v="209"/>
    <s v="CUST-0164"/>
    <s v="PROD-004"/>
    <x v="12"/>
    <n v="9"/>
    <n v="3870"/>
    <n v="6.9"/>
    <n v="32426.73"/>
    <s v="Refunded"/>
    <s v="Chennai"/>
    <n v="0"/>
    <b v="1"/>
    <x v="4"/>
    <s v="Retail"/>
    <n v="60"/>
    <x v="3"/>
    <n v="1559"/>
  </r>
  <r>
    <s v="ORD-00699"/>
    <x v="247"/>
    <s v="CUST-0004"/>
    <s v="PROD-028"/>
    <x v="24"/>
    <n v="5"/>
    <n v="3660"/>
    <n v="11.7"/>
    <n v="16158.9"/>
    <s v="Completed"/>
    <s v="Delhi"/>
    <n v="0"/>
    <b v="0"/>
    <x v="2"/>
    <s v="Retail"/>
    <n v="53"/>
    <x v="3"/>
    <n v="2214"/>
  </r>
  <r>
    <s v="ORD-00700"/>
    <x v="63"/>
    <s v="CUST-0224"/>
    <s v="PROD-040"/>
    <x v="14"/>
    <n v="4"/>
    <n v="1080"/>
    <n v="17.5"/>
    <n v="3564"/>
    <s v="Completed"/>
    <s v="Chennai"/>
    <n v="0"/>
    <b v="1"/>
    <x v="3"/>
    <s v="Corporate"/>
    <n v="24"/>
    <x v="2"/>
    <n v="519"/>
  </r>
  <r>
    <s v="ORD-01185"/>
    <x v="92"/>
    <s v="CUST-0037"/>
    <s v="PROD-059"/>
    <x v="3"/>
    <n v="6"/>
    <n v="3780"/>
    <n v="27.8"/>
    <n v="16374.96"/>
    <s v="Completed"/>
    <s v="Bengaluru"/>
    <n v="1"/>
    <b v="1"/>
    <x v="1"/>
    <s v="Retail"/>
    <n v="52"/>
    <x v="0"/>
    <n v="1860"/>
  </r>
  <r>
    <s v="ORD-00702"/>
    <x v="126"/>
    <s v="CUST-0179"/>
    <s v="PROD-019"/>
    <x v="24"/>
    <n v="8"/>
    <n v="2480"/>
    <n v="15.7"/>
    <n v="16725.12"/>
    <s v="Pending"/>
    <s v="Mumbai"/>
    <n v="0"/>
    <b v="1"/>
    <x v="0"/>
    <s v="SMB"/>
    <n v="54"/>
    <x v="3"/>
    <n v="1173"/>
  </r>
  <r>
    <s v="ORD-00703"/>
    <x v="132"/>
    <s v="CUST-0018"/>
    <s v="PROD-054"/>
    <x v="2"/>
    <n v="10"/>
    <n v="1010"/>
    <n v="0.1"/>
    <n v="10089.9"/>
    <s v="Pending"/>
    <s v="Pune"/>
    <n v="0"/>
    <b v="1"/>
    <x v="1"/>
    <s v="SMB"/>
    <n v="54"/>
    <x v="1"/>
    <n v="516"/>
  </r>
  <r>
    <s v="ORD-00704"/>
    <x v="5"/>
    <s v="CUST-0184"/>
    <s v="PROD-053"/>
    <x v="15"/>
    <n v="3"/>
    <n v="470"/>
    <n v="1.1000000000000001"/>
    <n v="1394.49"/>
    <s v="Completed"/>
    <s v="Pune"/>
    <n v="0"/>
    <b v="0"/>
    <x v="1"/>
    <s v="Retail"/>
    <n v="63"/>
    <x v="1"/>
    <n v="302"/>
  </r>
  <r>
    <s v="ORD-00705"/>
    <x v="267"/>
    <s v="CUST-0066"/>
    <s v="PROD-024"/>
    <x v="7"/>
    <n v="4"/>
    <n v="2270"/>
    <n v="17.100000000000001"/>
    <n v="7527.32"/>
    <s v="Completed"/>
    <s v="Delhi"/>
    <n v="0"/>
    <b v="1"/>
    <x v="2"/>
    <s v="Retail"/>
    <n v="24"/>
    <x v="3"/>
    <n v="1203"/>
  </r>
  <r>
    <s v="ORD-00706"/>
    <x v="276"/>
    <s v="CUST-0053"/>
    <s v="PROD-021"/>
    <x v="9"/>
    <n v="7"/>
    <n v="2760"/>
    <n v="17.100000000000001"/>
    <n v="16016.28"/>
    <s v="Completed"/>
    <s v="Delhi"/>
    <n v="0"/>
    <b v="1"/>
    <x v="2"/>
    <s v="Retail"/>
    <n v="53"/>
    <x v="1"/>
    <n v="1435"/>
  </r>
  <r>
    <s v="ORD-00707"/>
    <x v="21"/>
    <s v="CUST-0278"/>
    <s v="PROD-051"/>
    <x v="4"/>
    <n v="6"/>
    <n v="3450"/>
    <n v="6.6"/>
    <n v="19333.8"/>
    <s v="Refunded"/>
    <s v="Hyderabad"/>
    <n v="0"/>
    <b v="1"/>
    <x v="1"/>
    <s v="Retail"/>
    <n v="41"/>
    <x v="0"/>
    <n v="2467"/>
  </r>
  <r>
    <s v="ORD-00708"/>
    <x v="316"/>
    <s v="CUST-0285"/>
    <s v="PROD-028"/>
    <x v="0"/>
    <n v="8"/>
    <n v="3660"/>
    <n v="7.2"/>
    <n v="27171.84"/>
    <s v="Completed"/>
    <s v="Hyderabad"/>
    <n v="0"/>
    <b v="0"/>
    <x v="2"/>
    <s v="Retail"/>
    <n v="22"/>
    <x v="0"/>
    <n v="2214"/>
  </r>
  <r>
    <s v="ORD-00709"/>
    <x v="317"/>
    <s v="CUST-0060"/>
    <s v="PROD-009"/>
    <x v="14"/>
    <n v="4"/>
    <n v="1220"/>
    <n v="24.3"/>
    <n v="3694.16"/>
    <s v="Cancelled"/>
    <s v="Pune"/>
    <n v="0"/>
    <b v="1"/>
    <x v="4"/>
    <s v="Retail"/>
    <n v="39"/>
    <x v="2"/>
    <n v="517"/>
  </r>
  <r>
    <s v="ORD-00710"/>
    <x v="294"/>
    <s v="CUST-0236"/>
    <s v="PROD-052"/>
    <x v="0"/>
    <n v="2"/>
    <n v="5410"/>
    <n v="0.9"/>
    <n v="10722.62"/>
    <s v="Pending"/>
    <s v="Hyderabad"/>
    <n v="0"/>
    <b v="1"/>
    <x v="1"/>
    <s v="SMB"/>
    <n v="28"/>
    <x v="0"/>
    <n v="2265"/>
  </r>
  <r>
    <s v="ORD-00711"/>
    <x v="94"/>
    <s v="CUST-0106"/>
    <s v="PROD-033"/>
    <x v="18"/>
    <n v="5"/>
    <n v="2030"/>
    <n v="25.2"/>
    <n v="7592.2"/>
    <s v="Completed"/>
    <s v="Pune"/>
    <n v="0"/>
    <b v="1"/>
    <x v="3"/>
    <s v="Retail"/>
    <n v="22"/>
    <x v="1"/>
    <n v="1143"/>
  </r>
  <r>
    <s v="ORD-00712"/>
    <x v="26"/>
    <s v="CUST-0085"/>
    <s v="PROD-009"/>
    <x v="27"/>
    <n v="5"/>
    <n v="1220"/>
    <n v="2.6"/>
    <n v="5941.4"/>
    <s v="Completed"/>
    <s v="Chennai"/>
    <n v="0"/>
    <b v="1"/>
    <x v="4"/>
    <s v="Retail"/>
    <n v="26"/>
    <x v="1"/>
    <n v="517"/>
  </r>
  <r>
    <s v="ORD-00713"/>
    <x v="77"/>
    <s v="CUST-0075"/>
    <s v="PROD-008"/>
    <x v="3"/>
    <n v="4"/>
    <n v="2660"/>
    <n v="19.100000000000001"/>
    <n v="8607.76"/>
    <s v="Refunded"/>
    <s v="Mumbai"/>
    <n v="0"/>
    <b v="0"/>
    <x v="4"/>
    <s v="Corporate"/>
    <n v="55"/>
    <x v="0"/>
    <n v="1259"/>
  </r>
  <r>
    <s v="ORD-00714"/>
    <x v="116"/>
    <s v="CUST-0169"/>
    <s v="PROD-026"/>
    <x v="29"/>
    <n v="3"/>
    <n v="4070"/>
    <n v="25.2"/>
    <n v="9133.08"/>
    <s v="Completed"/>
    <s v="Bengaluru"/>
    <n v="0"/>
    <b v="1"/>
    <x v="2"/>
    <s v="SMB"/>
    <n v="42"/>
    <x v="1"/>
    <n v="2027"/>
  </r>
  <r>
    <s v="ORD-00715"/>
    <x v="76"/>
    <s v="CUST-0166"/>
    <s v="PROD-049"/>
    <x v="2"/>
    <n v="10"/>
    <n v="960"/>
    <n v="0.3"/>
    <n v="9571.2000000000007"/>
    <s v="Completed"/>
    <s v="Hyderabad"/>
    <n v="0"/>
    <b v="1"/>
    <x v="5"/>
    <s v="Retail"/>
    <n v="31"/>
    <x v="1"/>
    <n v="675"/>
  </r>
  <r>
    <s v="ORD-00716"/>
    <x v="313"/>
    <s v="CUST-0065"/>
    <s v="PROD-031"/>
    <x v="20"/>
    <n v="2"/>
    <n v="3730"/>
    <n v="29.9"/>
    <n v="5229.46"/>
    <s v="Completed"/>
    <s v="Chennai"/>
    <n v="0"/>
    <b v="1"/>
    <x v="3"/>
    <s v="Corporate"/>
    <n v="49"/>
    <x v="2"/>
    <n v="2135"/>
  </r>
  <r>
    <s v="ORD-00717"/>
    <x v="95"/>
    <s v="CUST-0102"/>
    <s v="PROD-057"/>
    <x v="10"/>
    <n v="9"/>
    <n v="960"/>
    <n v="1.9"/>
    <n v="8475.84"/>
    <s v="Completed"/>
    <s v="Chennai"/>
    <n v="0"/>
    <b v="1"/>
    <x v="1"/>
    <s v="SMB"/>
    <n v="62"/>
    <x v="0"/>
    <n v="705"/>
  </r>
  <r>
    <s v="ORD-00718"/>
    <x v="253"/>
    <s v="CUST-0052"/>
    <s v="PROD-011"/>
    <x v="10"/>
    <n v="2"/>
    <n v="3450"/>
    <n v="22.9"/>
    <n v="5319.9"/>
    <s v="Pending"/>
    <s v="Pune"/>
    <n v="0"/>
    <b v="1"/>
    <x v="0"/>
    <s v="Retail"/>
    <n v="38"/>
    <x v="0"/>
    <n v="1748"/>
  </r>
  <r>
    <s v="ORD-00719"/>
    <x v="48"/>
    <s v="CUST-0130"/>
    <s v="PROD-052"/>
    <x v="9"/>
    <n v="3"/>
    <n v="5410"/>
    <n v="15.5"/>
    <n v="13714.35"/>
    <s v="Completed"/>
    <s v="Bengaluru"/>
    <n v="0"/>
    <b v="1"/>
    <x v="1"/>
    <s v="Corporate"/>
    <n v="41"/>
    <x v="1"/>
    <n v="2265"/>
  </r>
  <r>
    <s v="ORD-00720"/>
    <x v="120"/>
    <s v="CUST-0284"/>
    <s v="PROD-043"/>
    <x v="7"/>
    <n v="8"/>
    <n v="3350"/>
    <n v="18.399999999999999"/>
    <n v="21868.799999999999"/>
    <s v="Completed"/>
    <s v="Hyderabad"/>
    <n v="0"/>
    <b v="1"/>
    <x v="5"/>
    <s v="SMB"/>
    <n v="65"/>
    <x v="3"/>
    <n v="1728"/>
  </r>
  <r>
    <s v="ORD-00721"/>
    <x v="4"/>
    <s v="CUST-0053"/>
    <s v="PROD-015"/>
    <x v="4"/>
    <n v="5"/>
    <n v="2720"/>
    <n v="17.3"/>
    <n v="11247.2"/>
    <s v="Cancelled"/>
    <s v="Delhi"/>
    <n v="0"/>
    <b v="1"/>
    <x v="0"/>
    <s v="Retail"/>
    <n v="53"/>
    <x v="0"/>
    <n v="1962"/>
  </r>
  <r>
    <s v="ORD-00722"/>
    <x v="210"/>
    <s v="CUST-0293"/>
    <s v="PROD-028"/>
    <x v="21"/>
    <n v="8"/>
    <n v="3660"/>
    <n v="28.8"/>
    <n v="20847.36"/>
    <s v="Completed"/>
    <s v="Bengaluru"/>
    <n v="0"/>
    <b v="0"/>
    <x v="2"/>
    <s v="Retail"/>
    <n v="27"/>
    <x v="3"/>
    <n v="2214"/>
  </r>
  <r>
    <s v="ORD-00723"/>
    <x v="21"/>
    <s v="CUST-0242"/>
    <s v="PROD-005"/>
    <x v="22"/>
    <n v="6"/>
    <n v="300"/>
    <n v="23.9"/>
    <n v="1369.8"/>
    <s v="Cancelled"/>
    <s v="Chennai"/>
    <n v="0"/>
    <b v="1"/>
    <x v="4"/>
    <s v="SMB"/>
    <n v="59"/>
    <x v="1"/>
    <n v="128"/>
  </r>
  <r>
    <s v="ORD-00724"/>
    <x v="289"/>
    <s v="CUST-0226"/>
    <s v="PROD-042"/>
    <x v="17"/>
    <n v="3"/>
    <n v="2290"/>
    <n v="2.4"/>
    <n v="6705.12"/>
    <s v="Completed"/>
    <s v="Chennai"/>
    <n v="0"/>
    <b v="1"/>
    <x v="5"/>
    <s v="Corporate"/>
    <n v="52"/>
    <x v="2"/>
    <n v="1219"/>
  </r>
  <r>
    <s v="ORD-00725"/>
    <x v="210"/>
    <s v="CUST-0005"/>
    <s v="PROD-046"/>
    <x v="2"/>
    <n v="6"/>
    <n v="4880"/>
    <n v="11.1"/>
    <n v="26029.919999999998"/>
    <s v="Pending"/>
    <s v="Chennai"/>
    <n v="0"/>
    <b v="1"/>
    <x v="5"/>
    <s v="Corporate"/>
    <n v="52"/>
    <x v="1"/>
    <n v="2768"/>
  </r>
  <r>
    <s v="ORD-00726"/>
    <x v="254"/>
    <s v="CUST-0211"/>
    <s v="PROD-005"/>
    <x v="0"/>
    <n v="5"/>
    <n v="300"/>
    <n v="19.399999999999999"/>
    <n v="1209"/>
    <s v="Completed"/>
    <s v="Bengaluru"/>
    <n v="0"/>
    <b v="1"/>
    <x v="4"/>
    <s v="Retail"/>
    <n v="36"/>
    <x v="0"/>
    <n v="128"/>
  </r>
  <r>
    <s v="ORD-00727"/>
    <x v="208"/>
    <s v="CUST-0229"/>
    <s v="PROD-008"/>
    <x v="14"/>
    <n v="3"/>
    <n v="2660"/>
    <n v="28.5"/>
    <n v="5705.7"/>
    <s v="Pending"/>
    <s v="Hyderabad"/>
    <n v="0"/>
    <b v="0"/>
    <x v="4"/>
    <s v="SMB"/>
    <n v="25"/>
    <x v="2"/>
    <n v="1259"/>
  </r>
  <r>
    <s v="ORD-00728"/>
    <x v="224"/>
    <s v="CUST-0037"/>
    <s v="PROD-035"/>
    <x v="6"/>
    <n v="7"/>
    <n v="1090"/>
    <n v="10.3"/>
    <n v="6844.11"/>
    <s v="Completed"/>
    <s v="Bengaluru"/>
    <n v="0"/>
    <b v="1"/>
    <x v="3"/>
    <s v="Retail"/>
    <n v="52"/>
    <x v="2"/>
    <n v="464"/>
  </r>
  <r>
    <s v="ORD-00729"/>
    <x v="154"/>
    <s v="CUST-0059"/>
    <s v="PROD-007"/>
    <x v="27"/>
    <n v="9"/>
    <n v="1430"/>
    <n v="12.1"/>
    <n v="11312.73"/>
    <s v="Cancelled"/>
    <s v="Pune"/>
    <n v="0"/>
    <b v="1"/>
    <x v="4"/>
    <s v="Corporate"/>
    <n v="29"/>
    <x v="1"/>
    <n v="861"/>
  </r>
  <r>
    <s v="ORD-00730"/>
    <x v="112"/>
    <s v="CUST-0222"/>
    <s v="PROD-010"/>
    <x v="1"/>
    <n v="5"/>
    <n v="2640"/>
    <n v="26.8"/>
    <n v="9662.4"/>
    <s v="Completed"/>
    <s v="Chennai"/>
    <n v="0"/>
    <b v="1"/>
    <x v="4"/>
    <s v="Retail"/>
    <n v="37"/>
    <x v="0"/>
    <n v="1149"/>
  </r>
  <r>
    <s v="ORD-00731"/>
    <x v="71"/>
    <s v="CUST-0157"/>
    <s v="PROD-015"/>
    <x v="19"/>
    <n v="8"/>
    <n v="2720"/>
    <n v="17.5"/>
    <n v="17952"/>
    <s v="Completed"/>
    <s v="Pune"/>
    <n v="0"/>
    <b v="1"/>
    <x v="0"/>
    <s v="Corporate"/>
    <n v="52"/>
    <x v="0"/>
    <n v="1962"/>
  </r>
  <r>
    <s v="ORD-00732"/>
    <x v="226"/>
    <s v="CUST-0027"/>
    <s v="PROD-013"/>
    <x v="29"/>
    <n v="9"/>
    <n v="3640"/>
    <n v="3.6"/>
    <n v="31580.639999999999"/>
    <s v="Completed"/>
    <s v="Hyderabad"/>
    <n v="0"/>
    <b v="1"/>
    <x v="0"/>
    <s v="Corporate"/>
    <n v="52"/>
    <x v="1"/>
    <n v="2611"/>
  </r>
  <r>
    <s v="ORD-00733"/>
    <x v="211"/>
    <s v="CUST-9846"/>
    <s v="PROD-050"/>
    <x v="13"/>
    <n v="7"/>
    <n v="6080"/>
    <n v="23.6"/>
    <n v="32515.84"/>
    <s v="Completed"/>
    <s v="Mumbai"/>
    <n v="0"/>
    <b v="1"/>
    <x v="5"/>
    <e v="#N/A"/>
    <e v="#N/A"/>
    <x v="3"/>
    <n v="2617"/>
  </r>
  <r>
    <s v="ORD-00734"/>
    <x v="241"/>
    <s v="CUST-0011"/>
    <s v="PROD-001"/>
    <x v="15"/>
    <n v="7"/>
    <n v="5330"/>
    <n v="19.7"/>
    <n v="29959.93"/>
    <s v="Cancelled"/>
    <s v="Chennai"/>
    <n v="0"/>
    <b v="1"/>
    <x v="4"/>
    <s v="Corporate"/>
    <n v="41"/>
    <x v="1"/>
    <n v="2405"/>
  </r>
  <r>
    <s v="ORD-00735"/>
    <x v="106"/>
    <s v="CUST-0043"/>
    <s v="PROD-039"/>
    <x v="6"/>
    <n v="5"/>
    <n v="4610"/>
    <n v="3.6"/>
    <n v="22220.2"/>
    <s v="Completed"/>
    <s v="Hyderabad"/>
    <n v="0"/>
    <b v="1"/>
    <x v="3"/>
    <s v="Retail"/>
    <n v="61"/>
    <x v="2"/>
    <n v="1850"/>
  </r>
  <r>
    <s v="ORD-00736"/>
    <x v="272"/>
    <s v="CUST-0154"/>
    <s v="PROD-001"/>
    <x v="14"/>
    <n v="9"/>
    <n v="5330"/>
    <n v="22.9"/>
    <n v="36984.870000000003"/>
    <s v="Completed"/>
    <s v="Pune"/>
    <n v="0"/>
    <b v="1"/>
    <x v="4"/>
    <s v="Retail"/>
    <n v="36"/>
    <x v="2"/>
    <n v="2405"/>
  </r>
  <r>
    <s v="ORD-00737"/>
    <x v="242"/>
    <s v="CUST-0163"/>
    <s v="PROD-050"/>
    <x v="26"/>
    <n v="5"/>
    <n v="6080"/>
    <n v="6"/>
    <n v="28576"/>
    <s v="Refunded"/>
    <s v="Pune"/>
    <n v="0"/>
    <b v="1"/>
    <x v="5"/>
    <s v="Retail"/>
    <n v="49"/>
    <x v="3"/>
    <n v="2617"/>
  </r>
  <r>
    <s v="ORD-00738"/>
    <x v="193"/>
    <s v="CUST-0299"/>
    <s v="PROD-013"/>
    <x v="21"/>
    <n v="7"/>
    <n v="3640"/>
    <n v="5.5"/>
    <n v="24078.6"/>
    <s v="Completed"/>
    <s v="Mumbai"/>
    <n v="0"/>
    <b v="1"/>
    <x v="0"/>
    <s v="Corporate"/>
    <n v="51"/>
    <x v="3"/>
    <n v="2611"/>
  </r>
  <r>
    <s v="ORD-00739"/>
    <x v="260"/>
    <s v="CUST-0240"/>
    <s v="PROD-008"/>
    <x v="22"/>
    <n v="1"/>
    <n v="2660"/>
    <n v="6.1"/>
    <n v="2497.7399999999998"/>
    <s v="Cancelled"/>
    <s v="Chennai"/>
    <n v="0"/>
    <b v="0"/>
    <x v="4"/>
    <s v="Corporate"/>
    <n v="35"/>
    <x v="1"/>
    <n v="1259"/>
  </r>
  <r>
    <s v="ORD-00740"/>
    <x v="212"/>
    <s v="CUST-0291"/>
    <s v="PROD-043"/>
    <x v="15"/>
    <n v="8"/>
    <n v="3350"/>
    <n v="19.5"/>
    <n v="21574"/>
    <s v="Completed"/>
    <s v="Pune"/>
    <n v="0"/>
    <b v="1"/>
    <x v="5"/>
    <s v="SMB"/>
    <n v="29"/>
    <x v="1"/>
    <n v="1728"/>
  </r>
  <r>
    <s v="ORD-00741"/>
    <x v="83"/>
    <s v="CUST-0243"/>
    <s v="PROD-039"/>
    <x v="7"/>
    <n v="4"/>
    <n v="4610"/>
    <n v="24"/>
    <n v="14014.4"/>
    <s v="Completed"/>
    <s v="Pune"/>
    <n v="0"/>
    <b v="1"/>
    <x v="3"/>
    <s v="SMB"/>
    <n v="44"/>
    <x v="3"/>
    <n v="1850"/>
  </r>
  <r>
    <s v="ORD-00742"/>
    <x v="174"/>
    <s v="CUST-0073"/>
    <s v="PROD-055"/>
    <x v="2"/>
    <n v="7"/>
    <n v="2860"/>
    <n v="23.2"/>
    <n v="15375.36"/>
    <s v="Completed"/>
    <s v="Pune"/>
    <n v="0"/>
    <b v="1"/>
    <x v="1"/>
    <s v="Corporate"/>
    <n v="40"/>
    <x v="1"/>
    <n v="2028"/>
  </r>
  <r>
    <s v="ORD-00743"/>
    <x v="128"/>
    <s v="CUST-0154"/>
    <s v="PROD-043"/>
    <x v="22"/>
    <n v="7"/>
    <n v="3350"/>
    <n v="10.6"/>
    <n v="20964.3"/>
    <s v="Pending"/>
    <s v="Pune"/>
    <n v="0"/>
    <b v="1"/>
    <x v="5"/>
    <s v="Retail"/>
    <n v="36"/>
    <x v="1"/>
    <n v="1728"/>
  </r>
  <r>
    <s v="ORD-00744"/>
    <x v="55"/>
    <s v="CUST-0084"/>
    <s v="PROD-029"/>
    <x v="8"/>
    <n v="5"/>
    <n v="2210"/>
    <n v="12.1"/>
    <n v="9712.9500000000007"/>
    <s v="Completed"/>
    <s v="Chennai"/>
    <n v="0"/>
    <b v="1"/>
    <x v="2"/>
    <s v="Retail"/>
    <n v="28"/>
    <x v="2"/>
    <n v="1010"/>
  </r>
  <r>
    <s v="ORD-00745"/>
    <x v="90"/>
    <s v="CUST-0228"/>
    <s v="PROD-047"/>
    <x v="22"/>
    <n v="1"/>
    <n v="3450"/>
    <n v="19.100000000000001"/>
    <n v="2791.05"/>
    <s v="Pending"/>
    <s v="Pune"/>
    <n v="0"/>
    <b v="1"/>
    <x v="5"/>
    <s v="Corporate"/>
    <n v="37"/>
    <x v="1"/>
    <n v="2420"/>
  </r>
  <r>
    <s v="ORD-00746"/>
    <x v="78"/>
    <s v="CUST-0232"/>
    <s v="PROD-048"/>
    <x v="8"/>
    <n v="5"/>
    <n v="5100"/>
    <n v="2.8"/>
    <n v="24786"/>
    <s v="Completed"/>
    <s v="Hyderabad"/>
    <n v="0"/>
    <b v="1"/>
    <x v="5"/>
    <s v="Retail"/>
    <n v="38"/>
    <x v="2"/>
    <n v="2237"/>
  </r>
  <r>
    <s v="ORD-00747"/>
    <x v="318"/>
    <s v="CUST-0129"/>
    <s v="PROD-048"/>
    <x v="11"/>
    <n v="9"/>
    <n v="5100"/>
    <n v="24.4"/>
    <n v="34700.400000000001"/>
    <s v="Completed"/>
    <s v="Hyderabad"/>
    <n v="0"/>
    <b v="1"/>
    <x v="5"/>
    <s v="Retail"/>
    <n v="29"/>
    <x v="0"/>
    <n v="2237"/>
  </r>
  <r>
    <s v="ORD-00748"/>
    <x v="296"/>
    <s v="CUST-0189"/>
    <s v="PROD-037"/>
    <x v="3"/>
    <n v="9"/>
    <n v="660"/>
    <n v="19.8"/>
    <n v="4763.88"/>
    <s v="Completed"/>
    <s v="Chennai"/>
    <n v="0"/>
    <b v="1"/>
    <x v="3"/>
    <s v="Retail"/>
    <n v="41"/>
    <x v="0"/>
    <n v="329"/>
  </r>
  <r>
    <s v="ORD-00749"/>
    <x v="0"/>
    <s v="CUST-0122"/>
    <s v="PROD-026"/>
    <x v="3"/>
    <n v="3"/>
    <n v="4070"/>
    <n v="27.1"/>
    <n v="8901.09"/>
    <s v="Completed"/>
    <s v="Mumbai"/>
    <n v="0"/>
    <b v="1"/>
    <x v="2"/>
    <s v="Retail"/>
    <n v="44"/>
    <x v="0"/>
    <n v="2027"/>
  </r>
  <r>
    <s v="ORD-00750"/>
    <x v="172"/>
    <s v="CUST-0170"/>
    <s v="PROD-017"/>
    <x v="0"/>
    <n v="2"/>
    <n v="2510"/>
    <n v="29.1"/>
    <n v="3559.18"/>
    <s v="Completed"/>
    <s v="Mumbai"/>
    <n v="0"/>
    <b v="0"/>
    <x v="0"/>
    <s v="SMB"/>
    <n v="22"/>
    <x v="0"/>
    <n v="1075"/>
  </r>
  <r>
    <s v="ORD-00751"/>
    <x v="121"/>
    <s v="CUST-0291"/>
    <s v="PROD-036"/>
    <x v="14"/>
    <n v="4"/>
    <n v="3250"/>
    <n v="21.1"/>
    <n v="10257"/>
    <s v="Completed"/>
    <s v="Pune"/>
    <n v="0"/>
    <b v="1"/>
    <x v="3"/>
    <s v="SMB"/>
    <n v="29"/>
    <x v="2"/>
    <n v="1556"/>
  </r>
  <r>
    <s v="ORD-00752"/>
    <x v="77"/>
    <s v="CUST-0090"/>
    <s v="PROD-032"/>
    <x v="1"/>
    <n v="3"/>
    <n v="370"/>
    <n v="7.7"/>
    <n v="1024.53"/>
    <s v="Completed"/>
    <s v="Bengaluru"/>
    <n v="0"/>
    <b v="1"/>
    <x v="3"/>
    <s v="Corporate"/>
    <n v="26"/>
    <x v="0"/>
    <n v="288"/>
  </r>
  <r>
    <s v="ORD-00753"/>
    <x v="319"/>
    <s v="CUST-0205"/>
    <s v="PROD-020"/>
    <x v="3"/>
    <n v="10"/>
    <n v="820"/>
    <n v="3.5"/>
    <n v="7913"/>
    <s v="Completed"/>
    <s v="Pune"/>
    <n v="0"/>
    <b v="1"/>
    <x v="0"/>
    <s v="Corporate"/>
    <n v="29"/>
    <x v="0"/>
    <n v="391"/>
  </r>
  <r>
    <s v="ORD-00754"/>
    <x v="101"/>
    <s v="CUST-0192"/>
    <s v="PROD-026"/>
    <x v="20"/>
    <n v="4"/>
    <n v="4070"/>
    <n v="23.8"/>
    <n v="12405.36"/>
    <s v="Completed"/>
    <s v="Bengaluru"/>
    <n v="0"/>
    <b v="1"/>
    <x v="2"/>
    <s v="Retail"/>
    <n v="55"/>
    <x v="2"/>
    <n v="2027"/>
  </r>
  <r>
    <s v="ORD-00755"/>
    <x v="320"/>
    <s v="CUST-0270"/>
    <s v="PROD-023"/>
    <x v="23"/>
    <n v="1"/>
    <n v="2380"/>
    <n v="19.600000000000001"/>
    <n v="1913.52"/>
    <s v="Cancelled"/>
    <s v="Bengaluru"/>
    <n v="0"/>
    <b v="1"/>
    <x v="2"/>
    <s v="Retail"/>
    <n v="29"/>
    <x v="1"/>
    <n v="1182"/>
  </r>
  <r>
    <s v="ORD-00756"/>
    <x v="223"/>
    <s v="CUST-0266"/>
    <s v="PROD-038"/>
    <x v="14"/>
    <n v="3"/>
    <n v="5490"/>
    <n v="2.5"/>
    <n v="16058.25"/>
    <s v="Completed"/>
    <s v="Pune"/>
    <n v="0"/>
    <b v="1"/>
    <x v="3"/>
    <s v="Retail"/>
    <n v="65"/>
    <x v="2"/>
    <n v="2549"/>
  </r>
  <r>
    <s v="ORD-00757"/>
    <x v="155"/>
    <s v="CUST-0208"/>
    <s v="PROD-013"/>
    <x v="28"/>
    <n v="3"/>
    <n v="3640"/>
    <n v="23.3"/>
    <n v="8375.64"/>
    <s v="Completed"/>
    <s v="Mumbai"/>
    <n v="0"/>
    <b v="1"/>
    <x v="0"/>
    <s v="Retail"/>
    <n v="49"/>
    <x v="2"/>
    <n v="2611"/>
  </r>
  <r>
    <s v="ORD-00758"/>
    <x v="321"/>
    <s v="CUST-0224"/>
    <s v="PROD-039"/>
    <x v="26"/>
    <n v="2"/>
    <n v="4610"/>
    <n v="5"/>
    <n v="8759"/>
    <s v="Pending"/>
    <s v="Chennai"/>
    <n v="0"/>
    <b v="1"/>
    <x v="3"/>
    <s v="Corporate"/>
    <n v="24"/>
    <x v="3"/>
    <n v="1850"/>
  </r>
  <r>
    <s v="ORD-00759"/>
    <x v="264"/>
    <s v="CUST-0264"/>
    <s v="PROD-058"/>
    <x v="19"/>
    <n v="8"/>
    <n v="2400"/>
    <n v="10"/>
    <n v="17280"/>
    <s v="Pending"/>
    <s v="Pune"/>
    <n v="0"/>
    <b v="1"/>
    <x v="1"/>
    <s v="Retail"/>
    <n v="59"/>
    <x v="0"/>
    <n v="974"/>
  </r>
  <r>
    <s v="ORD-00760"/>
    <x v="100"/>
    <s v="CUST-0113"/>
    <s v="PROD-043"/>
    <x v="25"/>
    <n v="7"/>
    <n v="3350"/>
    <n v="23.7"/>
    <n v="17892.349999999999"/>
    <s v="Completed"/>
    <s v="Delhi"/>
    <n v="0"/>
    <b v="1"/>
    <x v="5"/>
    <s v="Retail"/>
    <n v="30"/>
    <x v="0"/>
    <n v="1728"/>
  </r>
  <r>
    <s v="ORD-00761"/>
    <x v="4"/>
    <s v="CUST-0160"/>
    <s v="PROD-013"/>
    <x v="27"/>
    <n v="4"/>
    <n v="3640"/>
    <n v="9.3000000000000007"/>
    <n v="13205.92"/>
    <s v="Cancelled"/>
    <s v="Hyderabad"/>
    <n v="0"/>
    <b v="1"/>
    <x v="0"/>
    <s v="Retail"/>
    <n v="27"/>
    <x v="1"/>
    <n v="2611"/>
  </r>
  <r>
    <s v="ORD-00762"/>
    <x v="133"/>
    <s v="CUST-0109"/>
    <s v="PROD-013"/>
    <x v="8"/>
    <n v="9"/>
    <n v="3640"/>
    <n v="13.1"/>
    <n v="28468.44"/>
    <s v="Pending"/>
    <s v="Pune"/>
    <n v="0"/>
    <b v="1"/>
    <x v="0"/>
    <s v="Retail"/>
    <n v="42"/>
    <x v="2"/>
    <n v="2611"/>
  </r>
  <r>
    <s v="ORD-00763"/>
    <x v="287"/>
    <s v="CUST-0107"/>
    <s v="PROD-033"/>
    <x v="2"/>
    <n v="2"/>
    <n v="2030"/>
    <n v="12.2"/>
    <n v="3564.68"/>
    <s v="Completed"/>
    <s v="Pune"/>
    <n v="0"/>
    <b v="1"/>
    <x v="3"/>
    <s v="Retail"/>
    <n v="50"/>
    <x v="1"/>
    <n v="1143"/>
  </r>
  <r>
    <s v="ORD-00764"/>
    <x v="314"/>
    <s v="CUST-0120"/>
    <s v="PROD-012"/>
    <x v="25"/>
    <n v="4"/>
    <n v="3160"/>
    <n v="7.5"/>
    <n v="11692"/>
    <s v="Completed"/>
    <s v="Mumbai"/>
    <n v="0"/>
    <b v="1"/>
    <x v="0"/>
    <s v="Retail"/>
    <n v="29"/>
    <x v="0"/>
    <n v="1886"/>
  </r>
  <r>
    <s v="ORD-00765"/>
    <x v="322"/>
    <s v="CUST-0225"/>
    <s v="PROD-026"/>
    <x v="20"/>
    <n v="10"/>
    <n v="4070"/>
    <n v="8.3000000000000007"/>
    <n v="37321.9"/>
    <s v="Completed"/>
    <s v="Chennai"/>
    <n v="0"/>
    <b v="1"/>
    <x v="2"/>
    <s v="SMB"/>
    <n v="26"/>
    <x v="2"/>
    <n v="2027"/>
  </r>
  <r>
    <s v="ORD-00766"/>
    <x v="30"/>
    <s v="CUST-0134"/>
    <s v="PROD-025"/>
    <x v="6"/>
    <n v="8"/>
    <n v="4060"/>
    <n v="8.5"/>
    <n v="29719.200000000001"/>
    <s v="Completed"/>
    <s v="Delhi"/>
    <n v="0"/>
    <b v="1"/>
    <x v="2"/>
    <s v="Retail"/>
    <n v="40"/>
    <x v="2"/>
    <n v="2911"/>
  </r>
  <r>
    <s v="ORD-00767"/>
    <x v="323"/>
    <s v="CUST-0279"/>
    <s v="PROD-057"/>
    <x v="26"/>
    <n v="8"/>
    <n v="960"/>
    <n v="8.6999999999999993"/>
    <n v="7011.84"/>
    <s v="Completed"/>
    <s v="Mumbai"/>
    <n v="0"/>
    <b v="1"/>
    <x v="1"/>
    <s v="Retail"/>
    <n v="56"/>
    <x v="3"/>
    <n v="705"/>
  </r>
  <r>
    <s v="ORD-00768"/>
    <x v="141"/>
    <s v="CUST-0247"/>
    <s v="PROD-022"/>
    <x v="28"/>
    <n v="2"/>
    <n v="2270"/>
    <n v="10.199999999999999"/>
    <n v="4076.92"/>
    <s v="Completed"/>
    <s v="Pune"/>
    <n v="0"/>
    <b v="1"/>
    <x v="2"/>
    <s v="SMB"/>
    <n v="35"/>
    <x v="2"/>
    <n v="1412"/>
  </r>
  <r>
    <s v="ORD-00769"/>
    <x v="197"/>
    <s v="CUST-0129"/>
    <s v="PROD-027"/>
    <x v="0"/>
    <n v="1"/>
    <n v="3780"/>
    <n v="15.3"/>
    <n v="3201.66"/>
    <s v="Cancelled"/>
    <s v="Hyderabad"/>
    <n v="0"/>
    <b v="1"/>
    <x v="2"/>
    <s v="Retail"/>
    <n v="29"/>
    <x v="0"/>
    <n v="2436"/>
  </r>
  <r>
    <s v="ORD-00770"/>
    <x v="135"/>
    <s v="CUST-0038"/>
    <s v="PROD-042"/>
    <x v="8"/>
    <n v="10"/>
    <n v="2290"/>
    <n v="2.4"/>
    <n v="22350.400000000001"/>
    <s v="Pending"/>
    <s v="Mumbai"/>
    <n v="0"/>
    <b v="1"/>
    <x v="5"/>
    <s v="Retail"/>
    <n v="57"/>
    <x v="2"/>
    <n v="1219"/>
  </r>
  <r>
    <s v="ORD-00771"/>
    <x v="104"/>
    <s v="CUST-0109"/>
    <s v="PROD-043"/>
    <x v="21"/>
    <n v="5"/>
    <n v="3350"/>
    <n v="18.5"/>
    <n v="13651.25"/>
    <s v="Cancelled"/>
    <s v="Pune"/>
    <n v="0"/>
    <b v="1"/>
    <x v="5"/>
    <s v="Retail"/>
    <n v="42"/>
    <x v="3"/>
    <n v="1728"/>
  </r>
  <r>
    <s v="ORD-00772"/>
    <x v="324"/>
    <s v="CUST-0051"/>
    <s v="PROD-017"/>
    <x v="13"/>
    <n v="7"/>
    <n v="2510"/>
    <n v="4.2"/>
    <n v="16832.060000000001"/>
    <s v="Cancelled"/>
    <s v="Pune"/>
    <n v="0"/>
    <b v="0"/>
    <x v="0"/>
    <s v="SMB"/>
    <n v="54"/>
    <x v="3"/>
    <n v="1075"/>
  </r>
  <r>
    <s v="ORD-00773"/>
    <x v="325"/>
    <s v="CUST-0265"/>
    <s v="PROD-002"/>
    <x v="26"/>
    <n v="1"/>
    <n v="2600"/>
    <n v="2.2000000000000002"/>
    <n v="2542.8000000000002"/>
    <s v="Completed"/>
    <s v="Chennai"/>
    <n v="0"/>
    <b v="1"/>
    <x v="4"/>
    <s v="Retail"/>
    <n v="49"/>
    <x v="3"/>
    <n v="1052"/>
  </r>
  <r>
    <s v="ORD-00774"/>
    <x v="299"/>
    <s v="CUST-0192"/>
    <s v="PROD-053"/>
    <x v="11"/>
    <n v="8"/>
    <n v="470"/>
    <n v="25.2"/>
    <n v="2812.48"/>
    <s v="Completed"/>
    <s v="Bengaluru"/>
    <n v="0"/>
    <b v="0"/>
    <x v="1"/>
    <s v="Retail"/>
    <n v="55"/>
    <x v="0"/>
    <n v="302"/>
  </r>
  <r>
    <s v="ORD-00775"/>
    <x v="307"/>
    <s v="CUST-0241"/>
    <s v="PROD-040"/>
    <x v="27"/>
    <n v="6"/>
    <n v="1080"/>
    <n v="25"/>
    <n v="4860"/>
    <s v="Completed"/>
    <s v="Pune"/>
    <n v="0"/>
    <b v="1"/>
    <x v="3"/>
    <s v="Corporate"/>
    <n v="47"/>
    <x v="1"/>
    <n v="519"/>
  </r>
  <r>
    <s v="ORD-00776"/>
    <x v="218"/>
    <s v="CUST-0243"/>
    <s v="PROD-054"/>
    <x v="7"/>
    <n v="2"/>
    <n v="1010"/>
    <n v="16.100000000000001"/>
    <n v="1694.78"/>
    <s v="Completed"/>
    <s v="Pune"/>
    <n v="0"/>
    <b v="1"/>
    <x v="1"/>
    <s v="SMB"/>
    <n v="44"/>
    <x v="3"/>
    <n v="516"/>
  </r>
  <r>
    <s v="ORD-00777"/>
    <x v="196"/>
    <s v="CUST-0016"/>
    <s v="PROD-004"/>
    <x v="25"/>
    <n v="6"/>
    <n v="3870"/>
    <n v="22.4"/>
    <n v="18018.72"/>
    <s v="Cancelled"/>
    <s v="Delhi"/>
    <n v="0"/>
    <b v="1"/>
    <x v="4"/>
    <s v="SMB"/>
    <n v="26"/>
    <x v="0"/>
    <n v="1559"/>
  </r>
  <r>
    <s v="ORD-00778"/>
    <x v="219"/>
    <s v="CUST-0249"/>
    <s v="PROD-033"/>
    <x v="28"/>
    <n v="3"/>
    <n v="2030"/>
    <n v="18.5"/>
    <n v="4963.3500000000004"/>
    <s v="Completed"/>
    <s v="Mumbai"/>
    <n v="0"/>
    <b v="1"/>
    <x v="3"/>
    <s v="Retail"/>
    <n v="44"/>
    <x v="2"/>
    <n v="1143"/>
  </r>
  <r>
    <s v="ORD-00779"/>
    <x v="326"/>
    <s v="CUST-0021"/>
    <s v="PROD-040"/>
    <x v="28"/>
    <n v="7"/>
    <n v="1080"/>
    <n v="6.8"/>
    <n v="7045.92"/>
    <s v="Pending"/>
    <s v="Pune"/>
    <n v="0"/>
    <b v="1"/>
    <x v="3"/>
    <s v="Retail"/>
    <n v="44"/>
    <x v="2"/>
    <n v="519"/>
  </r>
  <r>
    <s v="ORD-00780"/>
    <x v="303"/>
    <s v="CUST-0255"/>
    <s v="PROD-035"/>
    <x v="18"/>
    <n v="1"/>
    <n v="1090"/>
    <n v="20.6"/>
    <n v="865.46"/>
    <s v="Completed"/>
    <s v="Chennai"/>
    <n v="0"/>
    <b v="1"/>
    <x v="3"/>
    <s v="Corporate"/>
    <n v="51"/>
    <x v="1"/>
    <n v="464"/>
  </r>
  <r>
    <s v="ORD-00781"/>
    <x v="72"/>
    <s v="CUST-0084"/>
    <s v="PROD-032"/>
    <x v="23"/>
    <n v="8"/>
    <n v="370"/>
    <n v="1.7"/>
    <n v="2909.68"/>
    <s v="Completed"/>
    <s v="Chennai"/>
    <n v="0"/>
    <b v="1"/>
    <x v="3"/>
    <s v="Retail"/>
    <n v="28"/>
    <x v="1"/>
    <n v="288"/>
  </r>
  <r>
    <s v="ORD-00782"/>
    <x v="327"/>
    <s v="CUST-0289"/>
    <s v="PROD-018"/>
    <x v="26"/>
    <n v="7"/>
    <n v="3560"/>
    <n v="28.7"/>
    <n v="17767.96"/>
    <s v="Completed"/>
    <s v="Mumbai"/>
    <n v="0"/>
    <b v="1"/>
    <x v="0"/>
    <s v="Retail"/>
    <n v="54"/>
    <x v="3"/>
    <n v="2629"/>
  </r>
  <r>
    <s v="ORD-00783"/>
    <x v="328"/>
    <s v="CUST-0026"/>
    <s v="PROD-050"/>
    <x v="29"/>
    <n v="9"/>
    <n v="6080"/>
    <n v="16.3"/>
    <n v="45800.639999999999"/>
    <s v="Cancelled"/>
    <s v="Pune"/>
    <n v="0"/>
    <b v="1"/>
    <x v="5"/>
    <s v="Retail"/>
    <n v="62"/>
    <x v="1"/>
    <n v="2617"/>
  </r>
  <r>
    <s v="ORD-00784"/>
    <x v="265"/>
    <s v="CUST-0273"/>
    <s v="PROD-051"/>
    <x v="15"/>
    <n v="2"/>
    <n v="3450"/>
    <n v="17.600000000000001"/>
    <n v="5685.6"/>
    <s v="Pending"/>
    <s v="Hyderabad"/>
    <n v="0"/>
    <b v="1"/>
    <x v="1"/>
    <s v="Corporate"/>
    <n v="32"/>
    <x v="1"/>
    <n v="2467"/>
  </r>
  <r>
    <s v="ORD-00785"/>
    <x v="24"/>
    <s v="CUST-0069"/>
    <s v="PROD-034"/>
    <x v="18"/>
    <n v="1"/>
    <n v="5080"/>
    <n v="5.9"/>
    <n v="4780.28"/>
    <s v="Completed"/>
    <s v="Chennai"/>
    <n v="0"/>
    <b v="1"/>
    <x v="3"/>
    <s v="Retail"/>
    <n v="51"/>
    <x v="1"/>
    <n v="2459"/>
  </r>
  <r>
    <s v="ORD-00786"/>
    <x v="234"/>
    <s v="CUST-0236"/>
    <s v="PROD-011"/>
    <x v="12"/>
    <n v="7"/>
    <n v="3450"/>
    <n v="17.399999999999999"/>
    <n v="19947.900000000001"/>
    <s v="Completed"/>
    <s v="Hyderabad"/>
    <n v="0"/>
    <b v="1"/>
    <x v="0"/>
    <s v="SMB"/>
    <n v="28"/>
    <x v="3"/>
    <n v="1748"/>
  </r>
  <r>
    <s v="ORD-00787"/>
    <x v="210"/>
    <s v="CUST-0060"/>
    <s v="PROD-024"/>
    <x v="18"/>
    <n v="8"/>
    <n v="2270"/>
    <n v="24.7"/>
    <n v="13674.48"/>
    <s v="Completed"/>
    <s v="Pune"/>
    <n v="0"/>
    <b v="1"/>
    <x v="2"/>
    <s v="Retail"/>
    <n v="39"/>
    <x v="1"/>
    <n v="1203"/>
  </r>
  <r>
    <s v="ORD-00788"/>
    <x v="37"/>
    <s v="CUST-0243"/>
    <s v="PROD-012"/>
    <x v="12"/>
    <n v="3"/>
    <n v="3160"/>
    <n v="1.5"/>
    <n v="9337.7999999999993"/>
    <s v="Pending"/>
    <s v="Pune"/>
    <n v="0"/>
    <b v="1"/>
    <x v="0"/>
    <s v="SMB"/>
    <n v="44"/>
    <x v="3"/>
    <n v="1886"/>
  </r>
  <r>
    <s v="ORD-00789"/>
    <x v="44"/>
    <s v="CUST-0188"/>
    <s v="PROD-043"/>
    <x v="20"/>
    <n v="6"/>
    <n v="3350"/>
    <n v="0.9"/>
    <n v="19919.099999999999"/>
    <s v="Pending"/>
    <s v="Bengaluru"/>
    <n v="0"/>
    <b v="1"/>
    <x v="5"/>
    <s v="Retail"/>
    <n v="54"/>
    <x v="2"/>
    <n v="1728"/>
  </r>
  <r>
    <s v="ORD-00790"/>
    <x v="47"/>
    <s v="CUST-0174"/>
    <s v="PROD-044"/>
    <x v="20"/>
    <n v="7"/>
    <n v="1650"/>
    <n v="5.6"/>
    <n v="10903.2"/>
    <s v="Refunded"/>
    <s v="Pune"/>
    <n v="0"/>
    <b v="1"/>
    <x v="5"/>
    <s v="Retail"/>
    <n v="54"/>
    <x v="2"/>
    <n v="1222"/>
  </r>
  <r>
    <s v="ORD-00791"/>
    <x v="73"/>
    <s v="CUST-0016"/>
    <s v="PROD-038"/>
    <x v="11"/>
    <n v="1"/>
    <n v="5490"/>
    <n v="5.8"/>
    <n v="5171.58"/>
    <s v="Completed"/>
    <s v="Delhi"/>
    <n v="0"/>
    <b v="1"/>
    <x v="3"/>
    <s v="SMB"/>
    <n v="26"/>
    <x v="0"/>
    <n v="2549"/>
  </r>
  <r>
    <s v="ORD-00792"/>
    <x v="171"/>
    <s v="CUST-0184"/>
    <s v="PROD-040"/>
    <x v="6"/>
    <n v="3"/>
    <n v="1080"/>
    <n v="20.9"/>
    <n v="2562.84"/>
    <s v="Completed"/>
    <s v="Pune"/>
    <n v="0"/>
    <b v="1"/>
    <x v="3"/>
    <s v="Retail"/>
    <n v="63"/>
    <x v="2"/>
    <n v="519"/>
  </r>
  <r>
    <s v="ORD-00793"/>
    <x v="224"/>
    <s v="CUST-9568"/>
    <s v="PROD-027"/>
    <x v="26"/>
    <n v="10"/>
    <n v="3780"/>
    <n v="5.5"/>
    <n v="35721"/>
    <s v="Completed"/>
    <s v="Hyderabad"/>
    <n v="0"/>
    <b v="1"/>
    <x v="2"/>
    <e v="#N/A"/>
    <e v="#N/A"/>
    <x v="3"/>
    <n v="2436"/>
  </r>
  <r>
    <s v="ORD-00794"/>
    <x v="307"/>
    <s v="CUST-0118"/>
    <s v="PROD-033"/>
    <x v="14"/>
    <n v="2"/>
    <n v="2030"/>
    <n v="2"/>
    <n v="3978.8"/>
    <s v="Pending"/>
    <s v="Hyderabad"/>
    <n v="0"/>
    <b v="1"/>
    <x v="3"/>
    <s v="Retail"/>
    <n v="26"/>
    <x v="2"/>
    <n v="1143"/>
  </r>
  <r>
    <s v="ORD-00795"/>
    <x v="329"/>
    <s v="CUST-0271"/>
    <s v="PROD-041"/>
    <x v="7"/>
    <n v="8"/>
    <n v="1540"/>
    <n v="9"/>
    <n v="11211.2"/>
    <s v="Cancelled"/>
    <s v="Bengaluru"/>
    <n v="0"/>
    <b v="0"/>
    <x v="5"/>
    <s v="Corporate"/>
    <n v="41"/>
    <x v="3"/>
    <n v="647"/>
  </r>
  <r>
    <s v="ORD-00796"/>
    <x v="131"/>
    <s v="CUST-0147"/>
    <s v="PROD-036"/>
    <x v="15"/>
    <n v="9"/>
    <n v="3250"/>
    <n v="20.5"/>
    <n v="23253.75"/>
    <s v="Completed"/>
    <s v="Pune"/>
    <n v="0"/>
    <b v="1"/>
    <x v="3"/>
    <s v="Retail"/>
    <n v="56"/>
    <x v="1"/>
    <n v="1556"/>
  </r>
  <r>
    <s v="ORD-00797"/>
    <x v="112"/>
    <s v="CUST-0253"/>
    <s v="PROD-047"/>
    <x v="1"/>
    <n v="3"/>
    <n v="3450"/>
    <n v="17.899999999999999"/>
    <n v="8497.35"/>
    <s v="Completed"/>
    <s v="Delhi"/>
    <n v="0"/>
    <b v="1"/>
    <x v="5"/>
    <s v="SMB"/>
    <n v="53"/>
    <x v="0"/>
    <n v="2420"/>
  </r>
  <r>
    <s v="ORD-00798"/>
    <x v="172"/>
    <s v="CUST-0224"/>
    <s v="PROD-038"/>
    <x v="4"/>
    <n v="5"/>
    <n v="5490"/>
    <n v="7.9"/>
    <n v="25281.45"/>
    <s v="Completed"/>
    <s v="Chennai"/>
    <n v="0"/>
    <b v="1"/>
    <x v="3"/>
    <s v="Corporate"/>
    <n v="24"/>
    <x v="0"/>
    <n v="2549"/>
  </r>
  <r>
    <s v="ORD-00799"/>
    <x v="141"/>
    <s v="CUST-0134"/>
    <s v="PROD-032"/>
    <x v="20"/>
    <n v="3"/>
    <n v="370"/>
    <n v="13.4"/>
    <n v="961.26"/>
    <s v="Completed"/>
    <s v="Delhi"/>
    <n v="0"/>
    <b v="1"/>
    <x v="3"/>
    <s v="Retail"/>
    <n v="40"/>
    <x v="2"/>
    <n v="288"/>
  </r>
  <r>
    <s v="ORD-00800"/>
    <x v="3"/>
    <s v="CUST-0287"/>
    <s v="PROD-001"/>
    <x v="18"/>
    <n v="7"/>
    <n v="5330"/>
    <n v="29.7"/>
    <n v="26228.93"/>
    <s v="Pending"/>
    <s v="Chennai"/>
    <n v="0"/>
    <b v="1"/>
    <x v="4"/>
    <s v="SMB"/>
    <n v="53"/>
    <x v="1"/>
    <n v="2405"/>
  </r>
  <r>
    <s v="ORD-00801"/>
    <x v="213"/>
    <s v="CUST-0144"/>
    <s v="PROD-051"/>
    <x v="29"/>
    <n v="8"/>
    <n v="3450"/>
    <n v="23.7"/>
    <n v="21058.799999999999"/>
    <s v="Completed"/>
    <s v="Chennai"/>
    <n v="0"/>
    <b v="1"/>
    <x v="1"/>
    <s v="Retail"/>
    <n v="49"/>
    <x v="1"/>
    <n v="2467"/>
  </r>
  <r>
    <s v="ORD-00802"/>
    <x v="309"/>
    <s v="CUST-0255"/>
    <s v="PROD-011"/>
    <x v="28"/>
    <n v="8"/>
    <n v="3450"/>
    <n v="5.4"/>
    <n v="26109.599999999999"/>
    <s v="Completed"/>
    <s v="Chennai"/>
    <n v="0"/>
    <b v="1"/>
    <x v="0"/>
    <s v="Corporate"/>
    <n v="51"/>
    <x v="2"/>
    <n v="1748"/>
  </r>
  <r>
    <s v="ORD-00803"/>
    <x v="325"/>
    <s v="CUST-0054"/>
    <s v="PROD-050"/>
    <x v="20"/>
    <n v="1"/>
    <n v="6080"/>
    <n v="22.3"/>
    <n v="4724.16"/>
    <s v="Completed"/>
    <s v="Mumbai"/>
    <n v="0"/>
    <b v="1"/>
    <x v="5"/>
    <s v="Corporate"/>
    <n v="62"/>
    <x v="2"/>
    <n v="2617"/>
  </r>
  <r>
    <s v="ORD-00804"/>
    <x v="100"/>
    <s v="CUST-0283"/>
    <s v="PROD-017"/>
    <x v="23"/>
    <n v="9"/>
    <n v="2510"/>
    <n v="27.4"/>
    <n v="16400.34"/>
    <s v="Completed"/>
    <s v="Delhi"/>
    <n v="0"/>
    <b v="0"/>
    <x v="0"/>
    <s v="SMB"/>
    <n v="50"/>
    <x v="1"/>
    <n v="1075"/>
  </r>
  <r>
    <s v="ORD-00805"/>
    <x v="40"/>
    <s v="CUST-0182"/>
    <s v="PROD-054"/>
    <x v="27"/>
    <n v="10"/>
    <n v="1010"/>
    <n v="28.4"/>
    <n v="7231.6"/>
    <s v="Completed"/>
    <s v="Mumbai"/>
    <n v="0"/>
    <b v="1"/>
    <x v="1"/>
    <s v="Retail"/>
    <n v="54"/>
    <x v="1"/>
    <n v="516"/>
  </r>
  <r>
    <s v="ORD-00806"/>
    <x v="24"/>
    <s v="CUST-0289"/>
    <s v="PROD-018"/>
    <x v="12"/>
    <n v="1"/>
    <n v="3560"/>
    <n v="26"/>
    <n v="2634.4"/>
    <s v="Completed"/>
    <s v="Mumbai"/>
    <n v="0"/>
    <b v="1"/>
    <x v="0"/>
    <s v="Retail"/>
    <n v="54"/>
    <x v="3"/>
    <n v="2629"/>
  </r>
  <r>
    <s v="ORD-00807"/>
    <x v="245"/>
    <s v="CUST-0104"/>
    <s v="PROD-045"/>
    <x v="3"/>
    <n v="8"/>
    <n v="3020"/>
    <n v="6.9"/>
    <n v="22492.959999999999"/>
    <s v="Completed"/>
    <s v="Hyderabad"/>
    <n v="0"/>
    <b v="1"/>
    <x v="5"/>
    <s v="Corporate"/>
    <n v="43"/>
    <x v="0"/>
    <n v="1626"/>
  </r>
  <r>
    <s v="ORD-00808"/>
    <x v="114"/>
    <s v="CUST-0085"/>
    <s v="PROD-026"/>
    <x v="21"/>
    <n v="1"/>
    <n v="4070"/>
    <n v="8.1999999999999993"/>
    <n v="3736.26"/>
    <s v="Completed"/>
    <s v="Chennai"/>
    <n v="0"/>
    <b v="1"/>
    <x v="2"/>
    <s v="Retail"/>
    <n v="26"/>
    <x v="3"/>
    <n v="2027"/>
  </r>
  <r>
    <s v="ORD-00809"/>
    <x v="324"/>
    <s v="CUST-0120"/>
    <s v="PROD-032"/>
    <x v="16"/>
    <n v="9"/>
    <n v="370"/>
    <n v="19.8"/>
    <n v="2670.66"/>
    <s v="Completed"/>
    <s v="Mumbai"/>
    <n v="0"/>
    <b v="1"/>
    <x v="3"/>
    <s v="Retail"/>
    <n v="29"/>
    <x v="3"/>
    <n v="288"/>
  </r>
  <r>
    <s v="ORD-00810"/>
    <x v="227"/>
    <s v="CUST-0236"/>
    <s v="PROD-030"/>
    <x v="16"/>
    <n v="6"/>
    <n v="970"/>
    <n v="16.2"/>
    <n v="4877.16"/>
    <s v="Completed"/>
    <s v="Hyderabad"/>
    <n v="0"/>
    <b v="1"/>
    <x v="2"/>
    <s v="SMB"/>
    <n v="28"/>
    <x v="3"/>
    <n v="434"/>
  </r>
  <r>
    <s v="ORD-00811"/>
    <x v="142"/>
    <s v="CUST-0094"/>
    <s v="PROD-015"/>
    <x v="7"/>
    <n v="10"/>
    <n v="2720"/>
    <n v="3"/>
    <n v="26384"/>
    <s v="Pending"/>
    <s v="Pune"/>
    <n v="0"/>
    <b v="1"/>
    <x v="0"/>
    <s v="SMB"/>
    <n v="60"/>
    <x v="3"/>
    <n v="1962"/>
  </r>
  <r>
    <s v="ORD-00812"/>
    <x v="174"/>
    <s v="CUST-0030"/>
    <s v="PROD-058"/>
    <x v="2"/>
    <n v="7"/>
    <n v="2400"/>
    <n v="29.4"/>
    <n v="11860.8"/>
    <s v="Completed"/>
    <s v="Bengaluru"/>
    <n v="0"/>
    <b v="1"/>
    <x v="1"/>
    <s v="Corporate"/>
    <n v="43"/>
    <x v="1"/>
    <n v="974"/>
  </r>
  <r>
    <s v="ORD-00813"/>
    <x v="148"/>
    <s v="CUST-0172"/>
    <s v="PROD-018"/>
    <x v="27"/>
    <n v="8"/>
    <n v="3560"/>
    <n v="21.7"/>
    <n v="22299.84"/>
    <s v="Completed"/>
    <s v="Pune"/>
    <n v="0"/>
    <b v="1"/>
    <x v="0"/>
    <s v="Retail"/>
    <n v="65"/>
    <x v="1"/>
    <n v="2629"/>
  </r>
  <r>
    <s v="ORD-00814"/>
    <x v="217"/>
    <s v="CUST-0221"/>
    <s v="PROD-026"/>
    <x v="15"/>
    <n v="7"/>
    <n v="4070"/>
    <n v="10.5"/>
    <n v="25498.55"/>
    <s v="Completed"/>
    <s v="Delhi"/>
    <n v="0"/>
    <b v="1"/>
    <x v="2"/>
    <s v="SMB"/>
    <n v="29"/>
    <x v="1"/>
    <n v="2027"/>
  </r>
  <r>
    <s v="ORD-01052"/>
    <x v="193"/>
    <s v="CUST-0151"/>
    <s v="PROD-052"/>
    <x v="4"/>
    <n v="3"/>
    <n v="5410"/>
    <n v="0.2"/>
    <n v="16197.54"/>
    <s v="Completed"/>
    <s v="Mumbai"/>
    <n v="1"/>
    <b v="1"/>
    <x v="1"/>
    <s v="Retail"/>
    <n v="53"/>
    <x v="0"/>
    <n v="2265"/>
  </r>
  <r>
    <s v="ORD-00816"/>
    <x v="330"/>
    <s v="CUST-0068"/>
    <s v="PROD-021"/>
    <x v="8"/>
    <n v="4"/>
    <n v="2760"/>
    <n v="27.5"/>
    <n v="8004"/>
    <s v="Cancelled"/>
    <s v="Delhi"/>
    <n v="0"/>
    <b v="1"/>
    <x v="2"/>
    <s v="SMB"/>
    <n v="48"/>
    <x v="2"/>
    <n v="1435"/>
  </r>
  <r>
    <s v="ORD-01136"/>
    <x v="267"/>
    <s v="CUST-0165"/>
    <s v="PROD-034"/>
    <x v="22"/>
    <n v="3"/>
    <n v="5080"/>
    <n v="27.2"/>
    <n v="11094.72"/>
    <s v="Completed"/>
    <s v="Pune"/>
    <n v="1"/>
    <b v="1"/>
    <x v="3"/>
    <s v="Retail"/>
    <n v="29"/>
    <x v="1"/>
    <n v="2459"/>
  </r>
  <r>
    <s v="ORD-00818"/>
    <x v="139"/>
    <s v="CUST-0060"/>
    <s v="PROD-035"/>
    <x v="21"/>
    <n v="5"/>
    <n v="1090"/>
    <n v="3.3"/>
    <n v="5270.15"/>
    <s v="Completed"/>
    <s v="Pune"/>
    <n v="0"/>
    <b v="1"/>
    <x v="3"/>
    <s v="Retail"/>
    <n v="39"/>
    <x v="3"/>
    <n v="464"/>
  </r>
  <r>
    <s v="ORD-00819"/>
    <x v="60"/>
    <s v="CUST-0130"/>
    <s v="PROD-023"/>
    <x v="20"/>
    <n v="10"/>
    <n v="2380"/>
    <n v="7"/>
    <n v="22134"/>
    <s v="Completed"/>
    <s v="Bengaluru"/>
    <n v="0"/>
    <b v="1"/>
    <x v="2"/>
    <s v="Corporate"/>
    <n v="41"/>
    <x v="2"/>
    <n v="1182"/>
  </r>
  <r>
    <s v="ORD-00820"/>
    <x v="156"/>
    <s v="CUST-0023"/>
    <s v="PROD-012"/>
    <x v="17"/>
    <n v="5"/>
    <n v="3160"/>
    <n v="25.6"/>
    <n v="11755.2"/>
    <s v="Completed"/>
    <s v="Chennai"/>
    <n v="0"/>
    <b v="1"/>
    <x v="0"/>
    <s v="SMB"/>
    <n v="43"/>
    <x v="2"/>
    <n v="1886"/>
  </r>
  <r>
    <s v="ORD-00821"/>
    <x v="331"/>
    <s v="CUST-0089"/>
    <s v="PROD-058"/>
    <x v="20"/>
    <n v="9"/>
    <n v="2400"/>
    <n v="8.4"/>
    <n v="19785.599999999999"/>
    <s v="Completed"/>
    <s v="Mumbai"/>
    <n v="0"/>
    <b v="1"/>
    <x v="1"/>
    <s v="SMB"/>
    <n v="43"/>
    <x v="2"/>
    <n v="974"/>
  </r>
  <r>
    <s v="ORD-00822"/>
    <x v="121"/>
    <s v="CUST-0300"/>
    <s v="PROD-002"/>
    <x v="16"/>
    <n v="4"/>
    <n v="2600"/>
    <n v="4.2"/>
    <n v="9963.2000000000007"/>
    <s v="Completed"/>
    <s v="Mumbai"/>
    <n v="0"/>
    <b v="1"/>
    <x v="4"/>
    <s v="Retail"/>
    <n v="38"/>
    <x v="3"/>
    <n v="1052"/>
  </r>
  <r>
    <s v="ORD-00823"/>
    <x v="132"/>
    <s v="CUST-9578"/>
    <s v="PROD-024"/>
    <x v="12"/>
    <n v="5"/>
    <n v="2270"/>
    <n v="0.1"/>
    <n v="11338.65"/>
    <s v="Completed"/>
    <s v="Mumbai"/>
    <n v="0"/>
    <b v="1"/>
    <x v="2"/>
    <e v="#N/A"/>
    <e v="#N/A"/>
    <x v="3"/>
    <n v="1203"/>
  </r>
  <r>
    <s v="ORD-00824"/>
    <x v="57"/>
    <s v="CUST-0130"/>
    <s v="PROD-038"/>
    <x v="16"/>
    <n v="7"/>
    <n v="5490"/>
    <n v="14.9"/>
    <n v="32703.93"/>
    <s v="Completed"/>
    <s v="Bengaluru"/>
    <n v="0"/>
    <b v="1"/>
    <x v="3"/>
    <s v="Corporate"/>
    <n v="41"/>
    <x v="3"/>
    <n v="2549"/>
  </r>
  <r>
    <s v="ORD-00825"/>
    <x v="209"/>
    <s v="CUST-0247"/>
    <s v="PROD-004"/>
    <x v="18"/>
    <n v="5"/>
    <n v="3870"/>
    <n v="13.3"/>
    <n v="16776.45"/>
    <s v="Cancelled"/>
    <s v="Pune"/>
    <n v="0"/>
    <b v="1"/>
    <x v="4"/>
    <s v="SMB"/>
    <n v="35"/>
    <x v="1"/>
    <n v="1559"/>
  </r>
  <r>
    <s v="ORD-00826"/>
    <x v="332"/>
    <s v="CUST-0256"/>
    <s v="PROD-049"/>
    <x v="6"/>
    <n v="2"/>
    <n v="960"/>
    <n v="17.5"/>
    <n v="1584"/>
    <s v="Completed"/>
    <s v="Hyderabad"/>
    <n v="0"/>
    <b v="1"/>
    <x v="5"/>
    <s v="Retail"/>
    <n v="28"/>
    <x v="2"/>
    <n v="675"/>
  </r>
  <r>
    <s v="ORD-00827"/>
    <x v="171"/>
    <s v="CUST-0213"/>
    <s v="PROD-046"/>
    <x v="19"/>
    <n v="4"/>
    <n v="4880"/>
    <n v="12.2"/>
    <n v="17138.560000000001"/>
    <s v="Cancelled"/>
    <s v="Mumbai"/>
    <n v="0"/>
    <b v="1"/>
    <x v="5"/>
    <s v="Retail"/>
    <n v="37"/>
    <x v="0"/>
    <n v="2768"/>
  </r>
  <r>
    <s v="ORD-00828"/>
    <x v="140"/>
    <s v="CUST-0183"/>
    <s v="PROD-058"/>
    <x v="4"/>
    <n v="5"/>
    <n v="2400"/>
    <n v="15"/>
    <n v="10200"/>
    <s v="Completed"/>
    <s v="Mumbai"/>
    <n v="0"/>
    <b v="1"/>
    <x v="1"/>
    <s v="SMB"/>
    <n v="27"/>
    <x v="0"/>
    <n v="974"/>
  </r>
  <r>
    <s v="ORD-00829"/>
    <x v="190"/>
    <s v="CUST-0051"/>
    <s v="PROD-016"/>
    <x v="15"/>
    <n v="9"/>
    <n v="620"/>
    <n v="20.399999999999999"/>
    <n v="4441.68"/>
    <s v="Pending"/>
    <s v="Pune"/>
    <n v="0"/>
    <b v="1"/>
    <x v="0"/>
    <s v="SMB"/>
    <n v="54"/>
    <x v="1"/>
    <n v="396"/>
  </r>
  <r>
    <s v="ORD-00830"/>
    <x v="191"/>
    <s v="CUST-0001"/>
    <s v="PROD-039"/>
    <x v="22"/>
    <n v="1"/>
    <n v="4610"/>
    <n v="1.8"/>
    <n v="4527.0200000000004"/>
    <s v="Pending"/>
    <s v="Pune"/>
    <n v="0"/>
    <b v="1"/>
    <x v="3"/>
    <s v="Retail"/>
    <n v="36"/>
    <x v="1"/>
    <n v="1850"/>
  </r>
  <r>
    <s v="ORD-00831"/>
    <x v="66"/>
    <s v="CUST-0105"/>
    <s v="PROD-039"/>
    <x v="2"/>
    <n v="7"/>
    <n v="4610"/>
    <n v="27"/>
    <n v="23557.1"/>
    <s v="Completed"/>
    <s v="Chennai"/>
    <n v="0"/>
    <b v="1"/>
    <x v="3"/>
    <s v="SMB"/>
    <n v="51"/>
    <x v="1"/>
    <n v="1850"/>
  </r>
  <r>
    <s v="ORD-00832"/>
    <x v="170"/>
    <s v="CUST-0199"/>
    <s v="PROD-030"/>
    <x v="20"/>
    <n v="6"/>
    <n v="970"/>
    <n v="4.7"/>
    <n v="5546.46"/>
    <s v="Cancelled"/>
    <s v="Hyderabad"/>
    <n v="0"/>
    <b v="1"/>
    <x v="2"/>
    <s v="SMB"/>
    <n v="31"/>
    <x v="2"/>
    <n v="434"/>
  </r>
  <r>
    <s v="ORD-00833"/>
    <x v="331"/>
    <s v="CUST-0240"/>
    <s v="PROD-007"/>
    <x v="17"/>
    <n v="8"/>
    <n v="1430"/>
    <n v="8.6999999999999993"/>
    <n v="10444.719999999999"/>
    <s v="Completed"/>
    <s v="Chennai"/>
    <n v="0"/>
    <b v="1"/>
    <x v="4"/>
    <s v="Corporate"/>
    <n v="35"/>
    <x v="2"/>
    <n v="861"/>
  </r>
  <r>
    <s v="ORD-00834"/>
    <x v="333"/>
    <s v="CUST-0283"/>
    <s v="PROD-027"/>
    <x v="23"/>
    <n v="5"/>
    <n v="3780"/>
    <n v="2.9"/>
    <n v="18351.900000000001"/>
    <s v="Completed"/>
    <s v="Delhi"/>
    <n v="0"/>
    <b v="1"/>
    <x v="2"/>
    <s v="SMB"/>
    <n v="50"/>
    <x v="1"/>
    <n v="2436"/>
  </r>
  <r>
    <s v="ORD-00835"/>
    <x v="147"/>
    <s v="CUST-0284"/>
    <s v="PROD-041"/>
    <x v="12"/>
    <n v="2"/>
    <n v="1540"/>
    <n v="12.7"/>
    <n v="2688.84"/>
    <s v="Completed"/>
    <s v="Hyderabad"/>
    <n v="0"/>
    <b v="0"/>
    <x v="5"/>
    <s v="SMB"/>
    <n v="65"/>
    <x v="3"/>
    <n v="647"/>
  </r>
  <r>
    <s v="ORD-00836"/>
    <x v="155"/>
    <s v="CUST-0060"/>
    <s v="PROD-040"/>
    <x v="16"/>
    <n v="9"/>
    <n v="1080"/>
    <n v="11.2"/>
    <n v="8631.36"/>
    <s v="Cancelled"/>
    <s v="Pune"/>
    <n v="0"/>
    <b v="1"/>
    <x v="3"/>
    <s v="Retail"/>
    <n v="39"/>
    <x v="3"/>
    <n v="519"/>
  </r>
  <r>
    <s v="ORD-00837"/>
    <x v="213"/>
    <s v="CUST-0266"/>
    <s v="PROD-058"/>
    <x v="0"/>
    <n v="3"/>
    <n v="2400"/>
    <n v="28.6"/>
    <n v="5140.8"/>
    <s v="Completed"/>
    <s v="Pune"/>
    <n v="0"/>
    <b v="1"/>
    <x v="1"/>
    <s v="Retail"/>
    <n v="65"/>
    <x v="0"/>
    <n v="974"/>
  </r>
  <r>
    <s v="ORD-00838"/>
    <x v="120"/>
    <s v="CUST-0056"/>
    <s v="PROD-040"/>
    <x v="26"/>
    <n v="5"/>
    <n v="1080"/>
    <n v="18.3"/>
    <n v="4411.8"/>
    <s v="Completed"/>
    <s v="Bengaluru"/>
    <n v="0"/>
    <b v="1"/>
    <x v="3"/>
    <s v="SMB"/>
    <n v="46"/>
    <x v="3"/>
    <n v="519"/>
  </r>
  <r>
    <s v="ORD-00839"/>
    <x v="294"/>
    <s v="CUST-0187"/>
    <s v="PROD-024"/>
    <x v="28"/>
    <n v="7"/>
    <n v="2270"/>
    <n v="1.7"/>
    <n v="15619.87"/>
    <s v="Cancelled"/>
    <s v="Chennai"/>
    <n v="0"/>
    <b v="1"/>
    <x v="2"/>
    <s v="SMB"/>
    <n v="51"/>
    <x v="2"/>
    <n v="1203"/>
  </r>
  <r>
    <s v="ORD-00840"/>
    <x v="334"/>
    <s v="CUST-0183"/>
    <s v="PROD-028"/>
    <x v="17"/>
    <n v="8"/>
    <n v="3660"/>
    <n v="19.100000000000001"/>
    <n v="23687.52"/>
    <s v="Cancelled"/>
    <s v="Mumbai"/>
    <n v="0"/>
    <b v="0"/>
    <x v="2"/>
    <s v="SMB"/>
    <n v="27"/>
    <x v="2"/>
    <n v="2214"/>
  </r>
  <r>
    <s v="ORD-00841"/>
    <x v="302"/>
    <s v="CUST-0068"/>
    <s v="PROD-036"/>
    <x v="11"/>
    <n v="5"/>
    <n v="3250"/>
    <n v="12.9"/>
    <n v="14153.75"/>
    <s v="Completed"/>
    <s v="Delhi"/>
    <n v="0"/>
    <b v="1"/>
    <x v="3"/>
    <s v="SMB"/>
    <n v="48"/>
    <x v="0"/>
    <n v="1556"/>
  </r>
  <r>
    <s v="ORD-00842"/>
    <x v="60"/>
    <s v="CUST-0135"/>
    <s v="PROD-044"/>
    <x v="27"/>
    <n v="4"/>
    <n v="1650"/>
    <n v="4.0999999999999996"/>
    <n v="6329.4"/>
    <s v="Completed"/>
    <s v="Pune"/>
    <n v="0"/>
    <b v="1"/>
    <x v="5"/>
    <s v="SMB"/>
    <n v="24"/>
    <x v="1"/>
    <n v="1222"/>
  </r>
  <r>
    <s v="ORD-00843"/>
    <x v="207"/>
    <s v="CUST-0191"/>
    <s v="PROD-034"/>
    <x v="11"/>
    <n v="6"/>
    <n v="5080"/>
    <n v="3"/>
    <n v="29565.599999999999"/>
    <s v="Completed"/>
    <s v="Hyderabad"/>
    <n v="0"/>
    <b v="1"/>
    <x v="3"/>
    <s v="SMB"/>
    <n v="43"/>
    <x v="0"/>
    <n v="2459"/>
  </r>
  <r>
    <s v="ORD-00844"/>
    <x v="105"/>
    <s v="CUST-0244"/>
    <s v="PROD-051"/>
    <x v="28"/>
    <n v="8"/>
    <n v="3450"/>
    <n v="20.9"/>
    <n v="21831.599999999999"/>
    <s v="Completed"/>
    <s v="Bengaluru"/>
    <n v="0"/>
    <b v="1"/>
    <x v="1"/>
    <s v="Retail"/>
    <n v="61"/>
    <x v="2"/>
    <n v="2467"/>
  </r>
  <r>
    <s v="ORD-00845"/>
    <x v="335"/>
    <s v="CUST-0189"/>
    <s v="PROD-043"/>
    <x v="26"/>
    <n v="6"/>
    <n v="3350"/>
    <n v="24.8"/>
    <n v="15115.2"/>
    <s v="Completed"/>
    <s v="Chennai"/>
    <n v="0"/>
    <b v="1"/>
    <x v="5"/>
    <s v="Retail"/>
    <n v="41"/>
    <x v="3"/>
    <n v="1728"/>
  </r>
  <r>
    <s v="ORD-00846"/>
    <x v="310"/>
    <s v="CUST-0166"/>
    <s v="PROD-029"/>
    <x v="28"/>
    <n v="10"/>
    <n v="2210"/>
    <n v="4.2"/>
    <n v="21171.8"/>
    <s v="Completed"/>
    <s v="Hyderabad"/>
    <n v="0"/>
    <b v="1"/>
    <x v="2"/>
    <s v="Retail"/>
    <n v="31"/>
    <x v="2"/>
    <n v="1010"/>
  </r>
  <r>
    <s v="ORD-00847"/>
    <x v="328"/>
    <s v="CUST-0167"/>
    <s v="PROD-046"/>
    <x v="3"/>
    <n v="10"/>
    <n v="4880"/>
    <n v="0.7"/>
    <n v="48458.400000000001"/>
    <s v="Completed"/>
    <s v="Delhi"/>
    <n v="0"/>
    <b v="1"/>
    <x v="5"/>
    <s v="Retail"/>
    <n v="43"/>
    <x v="0"/>
    <n v="2768"/>
  </r>
  <r>
    <s v="ORD-00848"/>
    <x v="264"/>
    <s v="CUST-0265"/>
    <s v="PROD-055"/>
    <x v="10"/>
    <n v="7"/>
    <n v="2860"/>
    <n v="28.1"/>
    <n v="14394.38"/>
    <s v="Pending"/>
    <s v="Chennai"/>
    <n v="0"/>
    <b v="1"/>
    <x v="1"/>
    <s v="Retail"/>
    <n v="49"/>
    <x v="0"/>
    <n v="2028"/>
  </r>
  <r>
    <s v="ORD-00849"/>
    <x v="248"/>
    <s v="CUST-0172"/>
    <s v="PROD-030"/>
    <x v="1"/>
    <n v="3"/>
    <n v="970"/>
    <n v="28.3"/>
    <n v="2086.4699999999998"/>
    <s v="Completed"/>
    <s v="Pune"/>
    <n v="0"/>
    <b v="1"/>
    <x v="2"/>
    <s v="Retail"/>
    <n v="65"/>
    <x v="0"/>
    <n v="434"/>
  </r>
  <r>
    <s v="ORD-00850"/>
    <x v="315"/>
    <s v="CUST-0205"/>
    <s v="PROD-022"/>
    <x v="4"/>
    <n v="1"/>
    <n v="2270"/>
    <n v="15.1"/>
    <n v="1927.23"/>
    <s v="Completed"/>
    <s v="Pune"/>
    <n v="0"/>
    <b v="1"/>
    <x v="2"/>
    <s v="Corporate"/>
    <n v="29"/>
    <x v="0"/>
    <n v="1412"/>
  </r>
  <r>
    <s v="ORD-00851"/>
    <x v="258"/>
    <s v="CUST-0102"/>
    <s v="PROD-018"/>
    <x v="15"/>
    <n v="5"/>
    <n v="3560"/>
    <n v="11.5"/>
    <n v="15753"/>
    <s v="Completed"/>
    <s v="Chennai"/>
    <n v="0"/>
    <b v="1"/>
    <x v="0"/>
    <s v="SMB"/>
    <n v="62"/>
    <x v="1"/>
    <n v="2629"/>
  </r>
  <r>
    <s v="ORD-00852"/>
    <x v="140"/>
    <s v="CUST-0142"/>
    <s v="PROD-052"/>
    <x v="9"/>
    <n v="2"/>
    <n v="5410"/>
    <n v="14.8"/>
    <n v="9218.64"/>
    <s v="Pending"/>
    <s v="Chennai"/>
    <n v="0"/>
    <b v="1"/>
    <x v="1"/>
    <s v="Corporate"/>
    <n v="55"/>
    <x v="1"/>
    <n v="2265"/>
  </r>
  <r>
    <s v="ORD-00853"/>
    <x v="165"/>
    <s v="CUST-0195"/>
    <s v="PROD-019"/>
    <x v="3"/>
    <n v="2"/>
    <n v="2480"/>
    <n v="27.2"/>
    <n v="3610.88"/>
    <s v="Completed"/>
    <s v="Bengaluru"/>
    <n v="0"/>
    <b v="1"/>
    <x v="0"/>
    <s v="Retail"/>
    <n v="28"/>
    <x v="0"/>
    <n v="1173"/>
  </r>
  <r>
    <s v="ORD-00854"/>
    <x v="154"/>
    <s v="CUST-0125"/>
    <s v="PROD-020"/>
    <x v="2"/>
    <n v="6"/>
    <n v="820"/>
    <n v="6.6"/>
    <n v="4595.28"/>
    <s v="Completed"/>
    <s v="Delhi"/>
    <n v="0"/>
    <b v="1"/>
    <x v="0"/>
    <s v="Retail"/>
    <n v="45"/>
    <x v="1"/>
    <n v="391"/>
  </r>
  <r>
    <s v="ORD-00855"/>
    <x v="224"/>
    <s v="CUST-0234"/>
    <s v="PROD-001"/>
    <x v="15"/>
    <n v="10"/>
    <n v="5330"/>
    <n v="16.100000000000001"/>
    <n v="44718.7"/>
    <s v="Completed"/>
    <s v="Bengaluru"/>
    <n v="0"/>
    <b v="1"/>
    <x v="4"/>
    <s v="Retail"/>
    <n v="34"/>
    <x v="1"/>
    <n v="2405"/>
  </r>
  <r>
    <s v="ORD-00856"/>
    <x v="334"/>
    <s v="CUST-0061"/>
    <s v="PROD-047"/>
    <x v="10"/>
    <n v="2"/>
    <n v="3450"/>
    <n v="11.3"/>
    <n v="6120.3"/>
    <s v="Pending"/>
    <s v="Hyderabad"/>
    <n v="0"/>
    <b v="1"/>
    <x v="5"/>
    <s v="Retail"/>
    <n v="64"/>
    <x v="0"/>
    <n v="2420"/>
  </r>
  <r>
    <s v="ORD-00857"/>
    <x v="97"/>
    <s v="CUST-0189"/>
    <s v="PROD-049"/>
    <x v="12"/>
    <n v="7"/>
    <n v="960"/>
    <n v="17.100000000000001"/>
    <n v="5570.88"/>
    <s v="Completed"/>
    <s v="Chennai"/>
    <n v="0"/>
    <b v="1"/>
    <x v="5"/>
    <s v="Retail"/>
    <n v="41"/>
    <x v="3"/>
    <n v="675"/>
  </r>
  <r>
    <s v="ORD-00858"/>
    <x v="235"/>
    <s v="CUST-0191"/>
    <s v="PROD-011"/>
    <x v="11"/>
    <n v="5"/>
    <n v="3450"/>
    <n v="22.9"/>
    <n v="13299.75"/>
    <s v="Completed"/>
    <s v="Hyderabad"/>
    <n v="0"/>
    <b v="1"/>
    <x v="0"/>
    <s v="SMB"/>
    <n v="43"/>
    <x v="0"/>
    <n v="1748"/>
  </r>
  <r>
    <s v="ORD-00859"/>
    <x v="287"/>
    <s v="CUST-0217"/>
    <s v="PROD-009"/>
    <x v="4"/>
    <n v="5"/>
    <n v="1220"/>
    <n v="0.3"/>
    <n v="6081.7"/>
    <s v="Completed"/>
    <s v="Pune"/>
    <n v="0"/>
    <b v="1"/>
    <x v="4"/>
    <s v="SMB"/>
    <n v="59"/>
    <x v="0"/>
    <n v="517"/>
  </r>
  <r>
    <s v="ORD-00860"/>
    <x v="231"/>
    <s v="CUST-0060"/>
    <s v="PROD-001"/>
    <x v="0"/>
    <n v="5"/>
    <n v="5330"/>
    <n v="29"/>
    <n v="18921.5"/>
    <s v="Completed"/>
    <s v="Pune"/>
    <n v="0"/>
    <b v="1"/>
    <x v="4"/>
    <s v="Retail"/>
    <n v="39"/>
    <x v="0"/>
    <n v="2405"/>
  </r>
  <r>
    <s v="ORD-00861"/>
    <x v="29"/>
    <s v="CUST-0270"/>
    <s v="PROD-003"/>
    <x v="8"/>
    <n v="3"/>
    <n v="3570"/>
    <n v="20"/>
    <n v="8568"/>
    <s v="Cancelled"/>
    <s v="Bengaluru"/>
    <n v="0"/>
    <b v="1"/>
    <x v="4"/>
    <s v="Retail"/>
    <n v="29"/>
    <x v="2"/>
    <n v="1665"/>
  </r>
  <r>
    <s v="ORD-00862"/>
    <x v="8"/>
    <s v="CUST-0279"/>
    <s v="PROD-029"/>
    <x v="17"/>
    <n v="9"/>
    <n v="2210"/>
    <n v="12.4"/>
    <n v="17423.64"/>
    <s v="Completed"/>
    <s v="Mumbai"/>
    <n v="0"/>
    <b v="1"/>
    <x v="2"/>
    <s v="Retail"/>
    <n v="56"/>
    <x v="2"/>
    <n v="1010"/>
  </r>
  <r>
    <s v="ORD-00863"/>
    <x v="272"/>
    <s v="CUST-0008"/>
    <s v="PROD-059"/>
    <x v="20"/>
    <n v="5"/>
    <n v="3780"/>
    <n v="3.9"/>
    <n v="18162.900000000001"/>
    <s v="Completed"/>
    <s v="Pune"/>
    <n v="0"/>
    <b v="1"/>
    <x v="1"/>
    <s v="SMB"/>
    <n v="39"/>
    <x v="2"/>
    <n v="1860"/>
  </r>
  <r>
    <s v="ORD-00864"/>
    <x v="17"/>
    <s v="CUST-0259"/>
    <s v="PROD-010"/>
    <x v="4"/>
    <n v="10"/>
    <n v="2640"/>
    <n v="17.8"/>
    <n v="21700.799999999999"/>
    <s v="Refunded"/>
    <s v="Mumbai"/>
    <n v="0"/>
    <b v="1"/>
    <x v="4"/>
    <s v="Retail"/>
    <n v="34"/>
    <x v="0"/>
    <n v="1149"/>
  </r>
  <r>
    <s v="ORD-00865"/>
    <x v="279"/>
    <s v="CUST-0169"/>
    <s v="PROD-005"/>
    <x v="6"/>
    <n v="5"/>
    <n v="300"/>
    <n v="12.9"/>
    <n v="1306.5"/>
    <s v="Completed"/>
    <s v="Bengaluru"/>
    <n v="0"/>
    <b v="1"/>
    <x v="4"/>
    <s v="SMB"/>
    <n v="42"/>
    <x v="2"/>
    <n v="128"/>
  </r>
  <r>
    <s v="ORD-00866"/>
    <x v="276"/>
    <s v="CUST-0191"/>
    <s v="PROD-058"/>
    <x v="22"/>
    <n v="2"/>
    <n v="2400"/>
    <n v="17.100000000000001"/>
    <n v="3979.2"/>
    <s v="Pending"/>
    <s v="Hyderabad"/>
    <n v="0"/>
    <b v="1"/>
    <x v="1"/>
    <s v="SMB"/>
    <n v="43"/>
    <x v="1"/>
    <n v="974"/>
  </r>
  <r>
    <s v="ORD-00867"/>
    <x v="336"/>
    <s v="CUST-0129"/>
    <s v="PROD-040"/>
    <x v="17"/>
    <n v="5"/>
    <n v="1080"/>
    <n v="15.7"/>
    <n v="4552.2"/>
    <s v="Pending"/>
    <s v="Hyderabad"/>
    <n v="0"/>
    <b v="1"/>
    <x v="3"/>
    <s v="Retail"/>
    <n v="29"/>
    <x v="2"/>
    <n v="519"/>
  </r>
  <r>
    <s v="ORD-00868"/>
    <x v="72"/>
    <s v="CUST-0066"/>
    <s v="PROD-036"/>
    <x v="11"/>
    <n v="1"/>
    <n v="3250"/>
    <n v="14.7"/>
    <n v="2772.25"/>
    <s v="Completed"/>
    <s v="Delhi"/>
    <n v="0"/>
    <b v="1"/>
    <x v="3"/>
    <s v="Retail"/>
    <n v="24"/>
    <x v="0"/>
    <n v="1556"/>
  </r>
  <r>
    <s v="ORD-00869"/>
    <x v="169"/>
    <s v="CUST-0114"/>
    <s v="PROD-032"/>
    <x v="13"/>
    <n v="7"/>
    <n v="370"/>
    <n v="6"/>
    <n v="2434.6"/>
    <s v="Cancelled"/>
    <s v="Bengaluru"/>
    <n v="0"/>
    <b v="1"/>
    <x v="3"/>
    <s v="Corporate"/>
    <n v="42"/>
    <x v="3"/>
    <n v="288"/>
  </r>
  <r>
    <s v="ORD-00870"/>
    <x v="186"/>
    <s v="CUST-9833"/>
    <s v="PROD-038"/>
    <x v="20"/>
    <n v="7"/>
    <n v="5490"/>
    <n v="10.199999999999999"/>
    <n v="34510.14"/>
    <s v="Completed"/>
    <s v="Pune"/>
    <n v="0"/>
    <b v="1"/>
    <x v="3"/>
    <e v="#N/A"/>
    <e v="#N/A"/>
    <x v="2"/>
    <n v="2549"/>
  </r>
  <r>
    <s v="ORD-00871"/>
    <x v="337"/>
    <s v="CUST-0076"/>
    <s v="PROD-006"/>
    <x v="8"/>
    <n v="3"/>
    <n v="3970"/>
    <n v="2.4"/>
    <n v="11624.16"/>
    <s v="Completed"/>
    <s v="Mumbai"/>
    <n v="0"/>
    <b v="1"/>
    <x v="4"/>
    <s v="Retail"/>
    <n v="38"/>
    <x v="2"/>
    <n v="2865"/>
  </r>
  <r>
    <s v="ORD-00872"/>
    <x v="336"/>
    <s v="CUST-0215"/>
    <s v="PROD-009"/>
    <x v="0"/>
    <n v="4"/>
    <n v="1220"/>
    <n v="25.3"/>
    <n v="3645.36"/>
    <s v="Completed"/>
    <s v="Hyderabad"/>
    <n v="0"/>
    <b v="1"/>
    <x v="4"/>
    <s v="Retail"/>
    <n v="52"/>
    <x v="0"/>
    <n v="517"/>
  </r>
  <r>
    <s v="ORD-00873"/>
    <x v="132"/>
    <s v="CUST-0061"/>
    <s v="PROD-012"/>
    <x v="17"/>
    <n v="3"/>
    <n v="3160"/>
    <n v="19.8"/>
    <n v="7602.96"/>
    <s v="Completed"/>
    <s v="Hyderabad"/>
    <n v="0"/>
    <b v="1"/>
    <x v="0"/>
    <s v="Retail"/>
    <n v="64"/>
    <x v="2"/>
    <n v="1886"/>
  </r>
  <r>
    <s v="ORD-00874"/>
    <x v="195"/>
    <s v="CUST-0249"/>
    <s v="PROD-005"/>
    <x v="4"/>
    <n v="1"/>
    <n v="300"/>
    <n v="24.5"/>
    <n v="226.5"/>
    <s v="Completed"/>
    <s v="Mumbai"/>
    <n v="0"/>
    <b v="1"/>
    <x v="4"/>
    <s v="Retail"/>
    <n v="44"/>
    <x v="0"/>
    <n v="128"/>
  </r>
  <r>
    <s v="ORD-00875"/>
    <x v="16"/>
    <s v="CUST-0105"/>
    <s v="PROD-047"/>
    <x v="20"/>
    <n v="5"/>
    <n v="3450"/>
    <n v="13.4"/>
    <n v="14938.5"/>
    <s v="Pending"/>
    <s v="Chennai"/>
    <n v="0"/>
    <b v="1"/>
    <x v="5"/>
    <s v="SMB"/>
    <n v="51"/>
    <x v="2"/>
    <n v="2420"/>
  </r>
  <r>
    <s v="ORD-00876"/>
    <x v="245"/>
    <s v="CUST-0161"/>
    <s v="PROD-014"/>
    <x v="28"/>
    <n v="7"/>
    <n v="3620"/>
    <n v="19.2"/>
    <n v="20474.72"/>
    <s v="Completed"/>
    <s v="Chennai"/>
    <n v="0"/>
    <b v="1"/>
    <x v="0"/>
    <s v="Retail"/>
    <n v="38"/>
    <x v="2"/>
    <n v="2509"/>
  </r>
  <r>
    <s v="ORD-00877"/>
    <x v="265"/>
    <s v="CUST-0275"/>
    <s v="PROD-024"/>
    <x v="9"/>
    <n v="10"/>
    <n v="2270"/>
    <n v="20.5"/>
    <n v="18046.5"/>
    <s v="Completed"/>
    <s v="Mumbai"/>
    <n v="0"/>
    <b v="1"/>
    <x v="2"/>
    <s v="Retail"/>
    <n v="36"/>
    <x v="1"/>
    <n v="1203"/>
  </r>
  <r>
    <s v="ORD-00878"/>
    <x v="194"/>
    <s v="CUST-0049"/>
    <s v="PROD-015"/>
    <x v="6"/>
    <n v="5"/>
    <n v="2720"/>
    <n v="29.3"/>
    <n v="9615.2000000000007"/>
    <s v="Completed"/>
    <s v="Mumbai"/>
    <n v="0"/>
    <b v="1"/>
    <x v="0"/>
    <s v="Corporate"/>
    <n v="42"/>
    <x v="2"/>
    <n v="1962"/>
  </r>
  <r>
    <s v="ORD-00879"/>
    <x v="59"/>
    <s v="CUST-0235"/>
    <s v="PROD-027"/>
    <x v="24"/>
    <n v="9"/>
    <n v="3780"/>
    <n v="2.2999999999999998"/>
    <n v="33237.54"/>
    <s v="Completed"/>
    <s v="Chennai"/>
    <n v="0"/>
    <b v="1"/>
    <x v="2"/>
    <s v="Retail"/>
    <n v="31"/>
    <x v="3"/>
    <n v="2436"/>
  </r>
  <r>
    <s v="ORD-00880"/>
    <x v="184"/>
    <s v="CUST-0220"/>
    <s v="PROD-025"/>
    <x v="2"/>
    <n v="9"/>
    <n v="4060"/>
    <n v="11.5"/>
    <n v="32337.9"/>
    <s v="Completed"/>
    <s v="Chennai"/>
    <n v="0"/>
    <b v="1"/>
    <x v="2"/>
    <s v="Retail"/>
    <n v="34"/>
    <x v="1"/>
    <n v="2911"/>
  </r>
  <r>
    <s v="ORD-00881"/>
    <x v="25"/>
    <s v="CUST-0298"/>
    <s v="PROD-021"/>
    <x v="27"/>
    <n v="10"/>
    <n v="2760"/>
    <n v="3.9"/>
    <n v="26523.599999999999"/>
    <s v="Refunded"/>
    <s v="Delhi"/>
    <n v="0"/>
    <b v="1"/>
    <x v="2"/>
    <s v="Retail"/>
    <n v="44"/>
    <x v="1"/>
    <n v="1435"/>
  </r>
  <r>
    <s v="ORD-00882"/>
    <x v="106"/>
    <s v="CUST-0222"/>
    <s v="PROD-040"/>
    <x v="13"/>
    <n v="10"/>
    <n v="1080"/>
    <n v="21.4"/>
    <n v="8488.7999999999993"/>
    <s v="Completed"/>
    <s v="Chennai"/>
    <n v="0"/>
    <b v="1"/>
    <x v="3"/>
    <s v="Retail"/>
    <n v="37"/>
    <x v="3"/>
    <n v="519"/>
  </r>
  <r>
    <s v="ORD-00883"/>
    <x v="255"/>
    <s v="CUST-0049"/>
    <s v="PROD-034"/>
    <x v="12"/>
    <n v="6"/>
    <n v="5080"/>
    <n v="29.8"/>
    <n v="21396.959999999999"/>
    <s v="Pending"/>
    <s v="Mumbai"/>
    <n v="0"/>
    <b v="1"/>
    <x v="3"/>
    <s v="Corporate"/>
    <n v="42"/>
    <x v="3"/>
    <n v="2459"/>
  </r>
  <r>
    <s v="ORD-00884"/>
    <x v="174"/>
    <s v="CUST-0147"/>
    <s v="PROD-046"/>
    <x v="14"/>
    <n v="1"/>
    <n v="4880"/>
    <n v="28.2"/>
    <n v="3503.84"/>
    <s v="Completed"/>
    <s v="Pune"/>
    <n v="0"/>
    <b v="1"/>
    <x v="5"/>
    <s v="Retail"/>
    <n v="56"/>
    <x v="2"/>
    <n v="2768"/>
  </r>
  <r>
    <s v="ORD-00885"/>
    <x v="254"/>
    <s v="CUST-0177"/>
    <s v="PROD-022"/>
    <x v="28"/>
    <n v="1"/>
    <n v="2270"/>
    <n v="27.8"/>
    <n v="1638.94"/>
    <s v="Completed"/>
    <s v="Mumbai"/>
    <n v="0"/>
    <b v="1"/>
    <x v="2"/>
    <s v="SMB"/>
    <n v="36"/>
    <x v="2"/>
    <n v="1412"/>
  </r>
  <r>
    <s v="ORD-00886"/>
    <x v="198"/>
    <s v="CUST-0121"/>
    <s v="PROD-006"/>
    <x v="7"/>
    <n v="9"/>
    <n v="3970"/>
    <n v="7"/>
    <n v="33228.9"/>
    <s v="Completed"/>
    <s v="Delhi"/>
    <n v="0"/>
    <b v="1"/>
    <x v="4"/>
    <s v="SMB"/>
    <n v="55"/>
    <x v="3"/>
    <n v="2865"/>
  </r>
  <r>
    <s v="ORD-00887"/>
    <x v="199"/>
    <s v="CUST-0262"/>
    <s v="PROD-048"/>
    <x v="11"/>
    <n v="9"/>
    <n v="5100"/>
    <n v="9.6999999999999993"/>
    <n v="41447.699999999997"/>
    <s v="Completed"/>
    <s v="Mumbai"/>
    <n v="0"/>
    <b v="1"/>
    <x v="5"/>
    <s v="Retail"/>
    <n v="52"/>
    <x v="0"/>
    <n v="2237"/>
  </r>
  <r>
    <s v="ORD-00888"/>
    <x v="71"/>
    <s v="CUST-0246"/>
    <s v="PROD-060"/>
    <x v="1"/>
    <n v="8"/>
    <n v="190"/>
    <n v="10.199999999999999"/>
    <n v="1364.96"/>
    <s v="Completed"/>
    <s v="Delhi"/>
    <n v="0"/>
    <b v="1"/>
    <x v="1"/>
    <s v="SMB"/>
    <n v="29"/>
    <x v="0"/>
    <n v="147"/>
  </r>
  <r>
    <s v="ORD-00889"/>
    <x v="51"/>
    <s v="CUST-0070"/>
    <s v="PROD-050"/>
    <x v="17"/>
    <n v="1"/>
    <n v="6080"/>
    <n v="5.6"/>
    <n v="5739.52"/>
    <s v="Completed"/>
    <s v="Mumbai"/>
    <n v="0"/>
    <b v="1"/>
    <x v="5"/>
    <s v="Retail"/>
    <n v="42"/>
    <x v="2"/>
    <n v="2617"/>
  </r>
  <r>
    <s v="ORD-00890"/>
    <x v="285"/>
    <s v="CUST-0218"/>
    <s v="PROD-057"/>
    <x v="16"/>
    <n v="6"/>
    <n v="960"/>
    <n v="1.9"/>
    <n v="5650.56"/>
    <s v="Completed"/>
    <s v="Mumbai"/>
    <n v="0"/>
    <b v="1"/>
    <x v="1"/>
    <s v="Retail"/>
    <n v="39"/>
    <x v="3"/>
    <n v="705"/>
  </r>
  <r>
    <s v="ORD-00891"/>
    <x v="309"/>
    <s v="CUST-0068"/>
    <s v="PROD-041"/>
    <x v="10"/>
    <n v="7"/>
    <n v="1540"/>
    <n v="7.1"/>
    <n v="10014.620000000001"/>
    <s v="Completed"/>
    <s v="Delhi"/>
    <n v="0"/>
    <b v="0"/>
    <x v="5"/>
    <s v="SMB"/>
    <n v="48"/>
    <x v="0"/>
    <n v="647"/>
  </r>
  <r>
    <s v="ORD-00892"/>
    <x v="60"/>
    <s v="CUST-0261"/>
    <s v="PROD-005"/>
    <x v="23"/>
    <n v="10"/>
    <n v="300"/>
    <n v="12.8"/>
    <n v="2616"/>
    <s v="Cancelled"/>
    <s v="Delhi"/>
    <n v="0"/>
    <b v="1"/>
    <x v="4"/>
    <s v="Retail"/>
    <n v="54"/>
    <x v="1"/>
    <n v="128"/>
  </r>
  <r>
    <s v="ORD-00893"/>
    <x v="145"/>
    <s v="CUST-0077"/>
    <s v="PROD-046"/>
    <x v="23"/>
    <n v="4"/>
    <n v="4880"/>
    <n v="26.5"/>
    <n v="14347.2"/>
    <s v="Completed"/>
    <s v="Hyderabad"/>
    <n v="0"/>
    <b v="1"/>
    <x v="5"/>
    <s v="SMB"/>
    <n v="48"/>
    <x v="1"/>
    <n v="2768"/>
  </r>
  <r>
    <s v="ORD-00894"/>
    <x v="55"/>
    <s v="CUST-0188"/>
    <s v="PROD-032"/>
    <x v="11"/>
    <n v="2"/>
    <n v="370"/>
    <n v="26.5"/>
    <n v="543.9"/>
    <s v="Completed"/>
    <s v="Bengaluru"/>
    <n v="0"/>
    <b v="1"/>
    <x v="3"/>
    <s v="Retail"/>
    <n v="54"/>
    <x v="0"/>
    <n v="288"/>
  </r>
  <r>
    <s v="ORD-00895"/>
    <x v="106"/>
    <s v="CUST-0145"/>
    <s v="PROD-039"/>
    <x v="25"/>
    <n v="3"/>
    <n v="4610"/>
    <n v="29.7"/>
    <n v="9722.49"/>
    <s v="Completed"/>
    <s v="Bengaluru"/>
    <n v="0"/>
    <b v="1"/>
    <x v="3"/>
    <s v="SMB"/>
    <n v="44"/>
    <x v="0"/>
    <n v="1850"/>
  </r>
  <r>
    <s v="ORD-00896"/>
    <x v="149"/>
    <s v="CUST-0036"/>
    <s v="PROD-002"/>
    <x v="22"/>
    <n v="5"/>
    <n v="2600"/>
    <n v="21.4"/>
    <n v="10218"/>
    <s v="Completed"/>
    <s v="Mumbai"/>
    <n v="0"/>
    <b v="1"/>
    <x v="4"/>
    <s v="Retail"/>
    <n v="35"/>
    <x v="1"/>
    <n v="1052"/>
  </r>
  <r>
    <s v="ORD-00600"/>
    <x v="295"/>
    <s v="CUST-0269"/>
    <s v="PROD-009"/>
    <x v="5"/>
    <n v="10"/>
    <n v="1220"/>
    <n v="24.3"/>
    <n v="9235.4"/>
    <s v="Completed"/>
    <s v="Pune"/>
    <n v="0"/>
    <b v="1"/>
    <x v="4"/>
    <s v="Retail"/>
    <n v="48"/>
    <x v="2"/>
    <n v="517"/>
  </r>
  <r>
    <s v="ORD-00898"/>
    <x v="34"/>
    <s v="CUST-9607"/>
    <s v="PROD-007"/>
    <x v="15"/>
    <n v="10"/>
    <n v="1430"/>
    <n v="5.0999999999999996"/>
    <n v="13570.7"/>
    <s v="Cancelled"/>
    <s v="Chennai"/>
    <n v="0"/>
    <b v="1"/>
    <x v="4"/>
    <e v="#N/A"/>
    <e v="#N/A"/>
    <x v="1"/>
    <n v="861"/>
  </r>
  <r>
    <s v="ORD-00899"/>
    <x v="35"/>
    <s v="CUST-0189"/>
    <s v="PROD-046"/>
    <x v="14"/>
    <n v="10"/>
    <n v="4880"/>
    <n v="25.5"/>
    <n v="36356"/>
    <s v="Cancelled"/>
    <s v="Chennai"/>
    <n v="0"/>
    <b v="1"/>
    <x v="5"/>
    <s v="Retail"/>
    <n v="41"/>
    <x v="2"/>
    <n v="2768"/>
  </r>
  <r>
    <s v="ORD-00900"/>
    <x v="79"/>
    <s v="CUST-0199"/>
    <s v="PROD-050"/>
    <x v="8"/>
    <n v="6"/>
    <n v="6080"/>
    <n v="21.6"/>
    <n v="28600.32"/>
    <s v="Completed"/>
    <s v="Hyderabad"/>
    <n v="0"/>
    <b v="1"/>
    <x v="5"/>
    <s v="SMB"/>
    <n v="31"/>
    <x v="2"/>
    <n v="2617"/>
  </r>
  <r>
    <s v="ORD-00901"/>
    <x v="158"/>
    <s v="CUST-0277"/>
    <s v="PROD-045"/>
    <x v="22"/>
    <n v="3"/>
    <n v="3020"/>
    <n v="20.7"/>
    <n v="7184.58"/>
    <s v="Completed"/>
    <s v="Chennai"/>
    <n v="0"/>
    <b v="1"/>
    <x v="5"/>
    <s v="Corporate"/>
    <n v="34"/>
    <x v="1"/>
    <n v="1626"/>
  </r>
  <r>
    <s v="ORD-00902"/>
    <x v="338"/>
    <s v="CUST-0108"/>
    <s v="PROD-015"/>
    <x v="22"/>
    <n v="9"/>
    <n v="2720"/>
    <n v="21.4"/>
    <n v="19241.28"/>
    <s v="Completed"/>
    <s v="Bengaluru"/>
    <n v="0"/>
    <b v="1"/>
    <x v="0"/>
    <s v="Corporate"/>
    <n v="59"/>
    <x v="1"/>
    <n v="1962"/>
  </r>
  <r>
    <s v="ORD-00903"/>
    <x v="53"/>
    <s v="CUST-0203"/>
    <s v="PROD-003"/>
    <x v="5"/>
    <n v="10"/>
    <n v="3570"/>
    <n v="4.4000000000000004"/>
    <n v="34129.199999999997"/>
    <s v="Completed"/>
    <s v="Chennai"/>
    <n v="0"/>
    <b v="1"/>
    <x v="4"/>
    <s v="SMB"/>
    <n v="55"/>
    <x v="2"/>
    <n v="1665"/>
  </r>
  <r>
    <s v="ORD-00904"/>
    <x v="119"/>
    <s v="CUST-0272"/>
    <s v="PROD-040"/>
    <x v="2"/>
    <n v="8"/>
    <n v="1080"/>
    <n v="23.8"/>
    <n v="6583.68"/>
    <s v="Completed"/>
    <s v="Mumbai"/>
    <n v="0"/>
    <b v="1"/>
    <x v="3"/>
    <s v="SMB"/>
    <n v="47"/>
    <x v="1"/>
    <n v="519"/>
  </r>
  <r>
    <s v="ORD-00905"/>
    <x v="27"/>
    <s v="CUST-0039"/>
    <s v="PROD-035"/>
    <x v="23"/>
    <n v="8"/>
    <n v="1090"/>
    <n v="17.5"/>
    <n v="7194"/>
    <s v="Completed"/>
    <s v="Bengaluru"/>
    <n v="0"/>
    <b v="1"/>
    <x v="3"/>
    <s v="Retail"/>
    <n v="37"/>
    <x v="1"/>
    <n v="464"/>
  </r>
  <r>
    <s v="ORD-00906"/>
    <x v="70"/>
    <s v="CUST-0105"/>
    <s v="PROD-018"/>
    <x v="28"/>
    <n v="7"/>
    <n v="3560"/>
    <n v="11.1"/>
    <n v="22153.88"/>
    <s v="Completed"/>
    <s v="Chennai"/>
    <n v="0"/>
    <b v="1"/>
    <x v="0"/>
    <s v="SMB"/>
    <n v="51"/>
    <x v="2"/>
    <n v="2629"/>
  </r>
  <r>
    <s v="ORD-00907"/>
    <x v="59"/>
    <s v="CUST-0095"/>
    <s v="PROD-060"/>
    <x v="24"/>
    <n v="6"/>
    <n v="190"/>
    <n v="17.100000000000001"/>
    <n v="945.06"/>
    <s v="Cancelled"/>
    <s v="Mumbai"/>
    <n v="0"/>
    <b v="1"/>
    <x v="1"/>
    <s v="SMB"/>
    <n v="54"/>
    <x v="3"/>
    <n v="147"/>
  </r>
  <r>
    <s v="ORD-00908"/>
    <x v="320"/>
    <s v="CUST-0138"/>
    <s v="PROD-025"/>
    <x v="5"/>
    <n v="7"/>
    <n v="4060"/>
    <n v="0.6"/>
    <n v="28249.48"/>
    <s v="Completed"/>
    <s v="Chennai"/>
    <n v="0"/>
    <b v="1"/>
    <x v="2"/>
    <s v="Retail"/>
    <n v="24"/>
    <x v="2"/>
    <n v="2911"/>
  </r>
  <r>
    <s v="ORD-00909"/>
    <x v="63"/>
    <s v="CUST-0155"/>
    <s v="PROD-039"/>
    <x v="13"/>
    <n v="4"/>
    <n v="4610"/>
    <n v="1.9"/>
    <n v="18089.64"/>
    <s v="Pending"/>
    <s v="Pune"/>
    <n v="0"/>
    <b v="1"/>
    <x v="3"/>
    <s v="Corporate"/>
    <n v="40"/>
    <x v="3"/>
    <n v="1850"/>
  </r>
  <r>
    <s v="ORD-00910"/>
    <x v="93"/>
    <s v="CUST-0198"/>
    <s v="PROD-026"/>
    <x v="16"/>
    <n v="4"/>
    <n v="4070"/>
    <n v="26.8"/>
    <n v="11916.96"/>
    <s v="Completed"/>
    <s v="Chennai"/>
    <n v="0"/>
    <b v="1"/>
    <x v="2"/>
    <s v="Corporate"/>
    <n v="22"/>
    <x v="3"/>
    <n v="2027"/>
  </r>
  <r>
    <s v="ORD-00911"/>
    <x v="142"/>
    <s v="CUST-0267"/>
    <s v="PROD-014"/>
    <x v="10"/>
    <n v="4"/>
    <n v="3620"/>
    <n v="11.7"/>
    <n v="12785.84"/>
    <s v="Completed"/>
    <s v="Hyderabad"/>
    <n v="0"/>
    <b v="1"/>
    <x v="0"/>
    <s v="Retail"/>
    <n v="27"/>
    <x v="0"/>
    <n v="2509"/>
  </r>
  <r>
    <s v="ORD-00912"/>
    <x v="195"/>
    <s v="CUST-0248"/>
    <s v="PROD-006"/>
    <x v="14"/>
    <n v="3"/>
    <n v="3970"/>
    <n v="24.7"/>
    <n v="8968.23"/>
    <s v="Completed"/>
    <s v="Chennai"/>
    <n v="0"/>
    <b v="1"/>
    <x v="4"/>
    <s v="SMB"/>
    <n v="57"/>
    <x v="2"/>
    <n v="2865"/>
  </r>
  <r>
    <s v="ORD-00913"/>
    <x v="36"/>
    <s v="CUST-0114"/>
    <s v="PROD-030"/>
    <x v="8"/>
    <n v="4"/>
    <n v="970"/>
    <n v="0.4"/>
    <n v="3864.48"/>
    <s v="Completed"/>
    <s v="Bengaluru"/>
    <n v="0"/>
    <b v="1"/>
    <x v="2"/>
    <s v="Corporate"/>
    <n v="42"/>
    <x v="2"/>
    <n v="434"/>
  </r>
  <r>
    <s v="ORD-00914"/>
    <x v="229"/>
    <s v="CUST-0129"/>
    <s v="PROD-057"/>
    <x v="12"/>
    <n v="2"/>
    <n v="960"/>
    <n v="1.4"/>
    <n v="1893.12"/>
    <s v="Completed"/>
    <s v="Hyderabad"/>
    <n v="0"/>
    <b v="1"/>
    <x v="1"/>
    <s v="Retail"/>
    <n v="29"/>
    <x v="3"/>
    <n v="705"/>
  </r>
  <r>
    <s v="ORD-00915"/>
    <x v="67"/>
    <s v="CUST-0182"/>
    <s v="PROD-005"/>
    <x v="29"/>
    <n v="7"/>
    <n v="300"/>
    <n v="20.399999999999999"/>
    <n v="1671.6"/>
    <s v="Completed"/>
    <s v="Mumbai"/>
    <n v="0"/>
    <b v="1"/>
    <x v="4"/>
    <s v="Retail"/>
    <n v="54"/>
    <x v="1"/>
    <n v="128"/>
  </r>
  <r>
    <s v="ORD-00916"/>
    <x v="245"/>
    <s v="CUST-0020"/>
    <s v="PROD-002"/>
    <x v="2"/>
    <n v="8"/>
    <n v="2600"/>
    <n v="2.2000000000000002"/>
    <n v="20342.400000000001"/>
    <s v="Cancelled"/>
    <s v="Hyderabad"/>
    <n v="0"/>
    <b v="1"/>
    <x v="4"/>
    <s v="Retail"/>
    <n v="46"/>
    <x v="1"/>
    <n v="1052"/>
  </r>
  <r>
    <s v="ORD-00917"/>
    <x v="297"/>
    <s v="CUST-0163"/>
    <s v="PROD-032"/>
    <x v="4"/>
    <n v="2"/>
    <n v="370"/>
    <n v="17.7"/>
    <n v="609.02"/>
    <s v="Completed"/>
    <s v="Pune"/>
    <n v="0"/>
    <b v="1"/>
    <x v="3"/>
    <s v="Retail"/>
    <n v="49"/>
    <x v="0"/>
    <n v="288"/>
  </r>
  <r>
    <s v="ORD-00918"/>
    <x v="6"/>
    <s v="CUST-0142"/>
    <s v="PROD-047"/>
    <x v="17"/>
    <n v="4"/>
    <n v="3450"/>
    <n v="9.8000000000000007"/>
    <n v="12447.6"/>
    <s v="Cancelled"/>
    <s v="Chennai"/>
    <n v="0"/>
    <b v="1"/>
    <x v="5"/>
    <s v="Corporate"/>
    <n v="55"/>
    <x v="2"/>
    <n v="2420"/>
  </r>
  <r>
    <s v="ORD-00919"/>
    <x v="97"/>
    <s v="CUST-0221"/>
    <s v="PROD-019"/>
    <x v="16"/>
    <n v="1"/>
    <n v="2480"/>
    <n v="5.8"/>
    <n v="2336.16"/>
    <s v="Completed"/>
    <s v="Delhi"/>
    <n v="0"/>
    <b v="1"/>
    <x v="0"/>
    <s v="SMB"/>
    <n v="29"/>
    <x v="3"/>
    <n v="1173"/>
  </r>
  <r>
    <s v="ORD-00920"/>
    <x v="90"/>
    <s v="CUST-0079"/>
    <s v="PROD-028"/>
    <x v="7"/>
    <n v="5"/>
    <n v="3660"/>
    <n v="4.7"/>
    <n v="17439.900000000001"/>
    <s v="Pending"/>
    <s v="Mumbai"/>
    <n v="0"/>
    <b v="0"/>
    <x v="2"/>
    <s v="Corporate"/>
    <n v="60"/>
    <x v="3"/>
    <n v="2214"/>
  </r>
  <r>
    <s v="ORD-00921"/>
    <x v="162"/>
    <s v="CUST-0133"/>
    <s v="PROD-044"/>
    <x v="12"/>
    <n v="7"/>
    <n v="1650"/>
    <n v="8.6"/>
    <n v="10556.7"/>
    <s v="Completed"/>
    <s v="Chennai"/>
    <n v="0"/>
    <b v="1"/>
    <x v="5"/>
    <s v="Retail"/>
    <n v="26"/>
    <x v="3"/>
    <n v="1222"/>
  </r>
  <r>
    <s v="ORD-00922"/>
    <x v="339"/>
    <s v="CUST-0086"/>
    <s v="PROD-060"/>
    <x v="5"/>
    <n v="6"/>
    <n v="190"/>
    <n v="14.6"/>
    <n v="973.56"/>
    <s v="Completed"/>
    <s v="Hyderabad"/>
    <n v="0"/>
    <b v="1"/>
    <x v="1"/>
    <s v="Corporate"/>
    <n v="56"/>
    <x v="2"/>
    <n v="147"/>
  </r>
  <r>
    <s v="ORD-00923"/>
    <x v="14"/>
    <s v="CUST-0155"/>
    <s v="PROD-022"/>
    <x v="19"/>
    <n v="5"/>
    <n v="2270"/>
    <n v="5.9"/>
    <n v="10680.35"/>
    <s v="Completed"/>
    <s v="Pune"/>
    <n v="0"/>
    <b v="1"/>
    <x v="2"/>
    <s v="Corporate"/>
    <n v="40"/>
    <x v="0"/>
    <n v="1412"/>
  </r>
  <r>
    <s v="ORD-00924"/>
    <x v="327"/>
    <s v="CUST-0244"/>
    <s v="PROD-024"/>
    <x v="23"/>
    <n v="1"/>
    <n v="2270"/>
    <n v="14.9"/>
    <n v="1931.77"/>
    <s v="Completed"/>
    <s v="Bengaluru"/>
    <n v="0"/>
    <b v="1"/>
    <x v="2"/>
    <s v="Retail"/>
    <n v="61"/>
    <x v="1"/>
    <n v="1203"/>
  </r>
  <r>
    <s v="ORD-00925"/>
    <x v="133"/>
    <s v="CUST-0262"/>
    <s v="PROD-011"/>
    <x v="26"/>
    <n v="4"/>
    <n v="3450"/>
    <n v="11.7"/>
    <n v="12185.4"/>
    <s v="Cancelled"/>
    <s v="Mumbai"/>
    <n v="0"/>
    <b v="1"/>
    <x v="0"/>
    <s v="Retail"/>
    <n v="52"/>
    <x v="3"/>
    <n v="1748"/>
  </r>
  <r>
    <s v="ORD-00926"/>
    <x v="46"/>
    <s v="CUST-0251"/>
    <s v="PROD-045"/>
    <x v="8"/>
    <n v="7"/>
    <n v="3020"/>
    <n v="18.8"/>
    <n v="17165.68"/>
    <s v="Completed"/>
    <s v="Mumbai"/>
    <n v="0"/>
    <b v="1"/>
    <x v="5"/>
    <s v="Retail"/>
    <n v="44"/>
    <x v="2"/>
    <n v="1626"/>
  </r>
  <r>
    <s v="ORD-00927"/>
    <x v="284"/>
    <s v="CUST-0007"/>
    <s v="PROD-033"/>
    <x v="29"/>
    <n v="4"/>
    <n v="2030"/>
    <n v="25.7"/>
    <n v="6033.16"/>
    <s v="Completed"/>
    <s v="Bengaluru"/>
    <n v="0"/>
    <b v="1"/>
    <x v="3"/>
    <s v="Retail"/>
    <n v="47"/>
    <x v="1"/>
    <n v="1143"/>
  </r>
  <r>
    <s v="ORD-00928"/>
    <x v="331"/>
    <s v="CUST-0161"/>
    <s v="PROD-011"/>
    <x v="2"/>
    <n v="4"/>
    <n v="3450"/>
    <n v="3.9"/>
    <n v="13261.8"/>
    <s v="Completed"/>
    <s v="Chennai"/>
    <n v="0"/>
    <b v="1"/>
    <x v="0"/>
    <s v="Retail"/>
    <n v="38"/>
    <x v="1"/>
    <n v="1748"/>
  </r>
  <r>
    <s v="ORD-00929"/>
    <x v="324"/>
    <s v="CUST-0251"/>
    <s v="PROD-049"/>
    <x v="8"/>
    <n v="5"/>
    <n v="960"/>
    <n v="8"/>
    <n v="4416"/>
    <s v="Completed"/>
    <s v="Mumbai"/>
    <n v="0"/>
    <b v="1"/>
    <x v="5"/>
    <s v="Retail"/>
    <n v="44"/>
    <x v="2"/>
    <n v="675"/>
  </r>
  <r>
    <s v="ORD-00930"/>
    <x v="269"/>
    <s v="CUST-0098"/>
    <s v="PROD-006"/>
    <x v="19"/>
    <n v="7"/>
    <n v="3970"/>
    <n v="11.7"/>
    <n v="24538.57"/>
    <s v="Completed"/>
    <s v="Delhi"/>
    <n v="0"/>
    <b v="1"/>
    <x v="4"/>
    <s v="Retail"/>
    <n v="52"/>
    <x v="0"/>
    <n v="2865"/>
  </r>
  <r>
    <s v="ORD-00931"/>
    <x v="211"/>
    <s v="CUST-0200"/>
    <s v="PROD-052"/>
    <x v="17"/>
    <n v="3"/>
    <n v="5410"/>
    <n v="10"/>
    <n v="14607"/>
    <s v="Completed"/>
    <s v="Hyderabad"/>
    <n v="0"/>
    <b v="1"/>
    <x v="1"/>
    <s v="Corporate"/>
    <n v="46"/>
    <x v="2"/>
    <n v="2265"/>
  </r>
  <r>
    <s v="ORD-00932"/>
    <x v="49"/>
    <s v="CUST-0228"/>
    <s v="PROD-003"/>
    <x v="0"/>
    <n v="8"/>
    <n v="3570"/>
    <n v="8.5"/>
    <n v="26132.400000000001"/>
    <s v="Completed"/>
    <s v="Pune"/>
    <n v="0"/>
    <b v="1"/>
    <x v="4"/>
    <s v="Corporate"/>
    <n v="37"/>
    <x v="0"/>
    <n v="1665"/>
  </r>
  <r>
    <s v="ORD-00933"/>
    <x v="25"/>
    <s v="CUST-0095"/>
    <s v="PROD-002"/>
    <x v="2"/>
    <n v="7"/>
    <n v="2600"/>
    <n v="27.1"/>
    <n v="13267.8"/>
    <s v="Completed"/>
    <s v="Mumbai"/>
    <n v="0"/>
    <b v="1"/>
    <x v="4"/>
    <s v="SMB"/>
    <n v="54"/>
    <x v="1"/>
    <n v="1052"/>
  </r>
  <r>
    <s v="ORD-00934"/>
    <x v="33"/>
    <s v="CUST-0175"/>
    <s v="PROD-053"/>
    <x v="17"/>
    <n v="6"/>
    <n v="470"/>
    <n v="2.4"/>
    <n v="2752.32"/>
    <s v="Pending"/>
    <s v="Delhi"/>
    <n v="0"/>
    <b v="0"/>
    <x v="1"/>
    <s v="Corporate"/>
    <n v="55"/>
    <x v="2"/>
    <n v="302"/>
  </r>
  <r>
    <s v="ORD-00935"/>
    <x v="2"/>
    <s v="CUST-0270"/>
    <s v="PROD-053"/>
    <x v="5"/>
    <n v="3"/>
    <n v="470"/>
    <n v="6.3"/>
    <n v="1321.17"/>
    <s v="Completed"/>
    <s v="Bengaluru"/>
    <n v="0"/>
    <b v="0"/>
    <x v="1"/>
    <s v="Retail"/>
    <n v="29"/>
    <x v="2"/>
    <n v="302"/>
  </r>
  <r>
    <s v="ORD-00936"/>
    <x v="326"/>
    <s v="CUST-0105"/>
    <s v="PROD-059"/>
    <x v="10"/>
    <n v="3"/>
    <n v="3780"/>
    <n v="19.399999999999999"/>
    <n v="9140.0400000000009"/>
    <s v="Pending"/>
    <s v="Chennai"/>
    <n v="0"/>
    <b v="1"/>
    <x v="1"/>
    <s v="SMB"/>
    <n v="51"/>
    <x v="0"/>
    <n v="1860"/>
  </r>
  <r>
    <s v="ORD-00937"/>
    <x v="40"/>
    <s v="CUST-0147"/>
    <s v="PROD-056"/>
    <x v="7"/>
    <n v="5"/>
    <n v="6940"/>
    <n v="12.6"/>
    <n v="30327.8"/>
    <s v="Completed"/>
    <s v="Pune"/>
    <n v="0"/>
    <b v="1"/>
    <x v="1"/>
    <s v="Retail"/>
    <n v="56"/>
    <x v="3"/>
    <n v="2827"/>
  </r>
  <r>
    <s v="ORD-00938"/>
    <x v="194"/>
    <s v="CUST-0106"/>
    <s v="PROD-004"/>
    <x v="14"/>
    <n v="2"/>
    <n v="3870"/>
    <n v="10.5"/>
    <n v="6927.3"/>
    <s v="Completed"/>
    <s v="Pune"/>
    <n v="0"/>
    <b v="1"/>
    <x v="4"/>
    <s v="Retail"/>
    <n v="22"/>
    <x v="2"/>
    <n v="1559"/>
  </r>
  <r>
    <s v="ORD-00939"/>
    <x v="340"/>
    <s v="CUST-0130"/>
    <s v="PROD-052"/>
    <x v="2"/>
    <n v="8"/>
    <n v="5410"/>
    <n v="28.4"/>
    <n v="30988.48"/>
    <s v="Pending"/>
    <s v="Bengaluru"/>
    <n v="0"/>
    <b v="1"/>
    <x v="1"/>
    <s v="Corporate"/>
    <n v="41"/>
    <x v="1"/>
    <n v="2265"/>
  </r>
  <r>
    <s v="ORD-00940"/>
    <x v="221"/>
    <s v="CUST-0241"/>
    <s v="PROD-006"/>
    <x v="14"/>
    <n v="7"/>
    <n v="3970"/>
    <n v="12.3"/>
    <n v="24371.83"/>
    <s v="Completed"/>
    <s v="Pune"/>
    <n v="0"/>
    <b v="1"/>
    <x v="4"/>
    <s v="Corporate"/>
    <n v="47"/>
    <x v="2"/>
    <n v="2865"/>
  </r>
  <r>
    <s v="ORD-00941"/>
    <x v="294"/>
    <s v="CUST-0151"/>
    <s v="PROD-056"/>
    <x v="19"/>
    <n v="5"/>
    <n v="6940"/>
    <n v="1.5"/>
    <n v="34179.5"/>
    <s v="Completed"/>
    <s v="Mumbai"/>
    <n v="0"/>
    <b v="1"/>
    <x v="1"/>
    <s v="Retail"/>
    <n v="53"/>
    <x v="0"/>
    <n v="2827"/>
  </r>
  <r>
    <s v="ORD-00942"/>
    <x v="110"/>
    <s v="CUST-0022"/>
    <s v="PROD-012"/>
    <x v="3"/>
    <n v="7"/>
    <n v="3160"/>
    <n v="2.4"/>
    <n v="21589.119999999999"/>
    <s v="Refunded"/>
    <s v="Bengaluru"/>
    <n v="0"/>
    <b v="1"/>
    <x v="0"/>
    <s v="Corporate"/>
    <n v="55"/>
    <x v="0"/>
    <n v="1886"/>
  </r>
  <r>
    <s v="ORD-00943"/>
    <x v="255"/>
    <s v="CUST-0030"/>
    <s v="PROD-020"/>
    <x v="6"/>
    <n v="2"/>
    <n v="820"/>
    <n v="8.1"/>
    <n v="1507.16"/>
    <s v="Completed"/>
    <s v="Bengaluru"/>
    <n v="0"/>
    <b v="1"/>
    <x v="0"/>
    <s v="Corporate"/>
    <n v="43"/>
    <x v="2"/>
    <n v="391"/>
  </r>
  <r>
    <s v="ORD-00944"/>
    <x v="237"/>
    <s v="CUST-0176"/>
    <s v="PROD-041"/>
    <x v="14"/>
    <n v="2"/>
    <n v="1540"/>
    <n v="17.7"/>
    <n v="2534.84"/>
    <s v="Completed"/>
    <s v="Bengaluru"/>
    <n v="0"/>
    <b v="0"/>
    <x v="5"/>
    <s v="SMB"/>
    <n v="34"/>
    <x v="2"/>
    <n v="647"/>
  </r>
  <r>
    <s v="ORD-00945"/>
    <x v="310"/>
    <s v="CUST-0270"/>
    <s v="PROD-004"/>
    <x v="19"/>
    <n v="10"/>
    <n v="3870"/>
    <n v="12.2"/>
    <n v="33978.6"/>
    <s v="Refunded"/>
    <s v="Bengaluru"/>
    <n v="0"/>
    <b v="1"/>
    <x v="4"/>
    <s v="Retail"/>
    <n v="29"/>
    <x v="0"/>
    <n v="1559"/>
  </r>
  <r>
    <s v="ORD-00946"/>
    <x v="56"/>
    <s v="CUST-0216"/>
    <s v="PROD-008"/>
    <x v="25"/>
    <n v="7"/>
    <n v="2660"/>
    <n v="4.7"/>
    <n v="17744.86"/>
    <s v="Completed"/>
    <s v="Mumbai"/>
    <n v="0"/>
    <b v="0"/>
    <x v="4"/>
    <s v="Retail"/>
    <n v="50"/>
    <x v="0"/>
    <n v="1259"/>
  </r>
  <r>
    <s v="ORD-00947"/>
    <x v="313"/>
    <s v="CUST-0187"/>
    <s v="PROD-003"/>
    <x v="18"/>
    <n v="4"/>
    <n v="3570"/>
    <n v="19.3"/>
    <n v="11523.96"/>
    <s v="Completed"/>
    <s v="Chennai"/>
    <n v="1"/>
    <b v="1"/>
    <x v="4"/>
    <s v="SMB"/>
    <n v="51"/>
    <x v="1"/>
    <n v="1665"/>
  </r>
  <r>
    <s v="ORD-00948"/>
    <x v="274"/>
    <s v="CUST-0143"/>
    <s v="PROD-033"/>
    <x v="25"/>
    <n v="2"/>
    <n v="2030"/>
    <n v="2.6"/>
    <n v="3954.44"/>
    <s v="Completed"/>
    <s v="Chennai"/>
    <n v="0"/>
    <b v="1"/>
    <x v="3"/>
    <s v="SMB"/>
    <n v="52"/>
    <x v="0"/>
    <n v="1143"/>
  </r>
  <r>
    <s v="ORD-00949"/>
    <x v="273"/>
    <s v="CUST-0104"/>
    <s v="PROD-012"/>
    <x v="22"/>
    <n v="6"/>
    <n v="3160"/>
    <n v="25.8"/>
    <n v="14068.32"/>
    <s v="Completed"/>
    <s v="Hyderabad"/>
    <n v="0"/>
    <b v="1"/>
    <x v="0"/>
    <s v="Corporate"/>
    <n v="43"/>
    <x v="1"/>
    <n v="1886"/>
  </r>
  <r>
    <s v="ORD-00950"/>
    <x v="157"/>
    <s v="CUST-0121"/>
    <s v="PROD-034"/>
    <x v="2"/>
    <n v="4"/>
    <n v="5080"/>
    <n v="2"/>
    <n v="19913.599999999999"/>
    <s v="Completed"/>
    <s v=" Delhi "/>
    <n v="0"/>
    <b v="1"/>
    <x v="3"/>
    <s v="SMB"/>
    <n v="55"/>
    <x v="1"/>
    <n v="2459"/>
  </r>
  <r>
    <s v="ORD-00951"/>
    <x v="322"/>
    <s v="CUST-0228"/>
    <s v="PROD-047"/>
    <x v="9"/>
    <n v="6"/>
    <n v="3450"/>
    <n v="1.8"/>
    <n v="20327.400000000001"/>
    <s v="Cancelled"/>
    <s v="Pune"/>
    <n v="0"/>
    <b v="1"/>
    <x v="5"/>
    <s v="Corporate"/>
    <n v="37"/>
    <x v="1"/>
    <n v="2420"/>
  </r>
  <r>
    <s v="ORD-00952"/>
    <x v="189"/>
    <s v="CUST-0218"/>
    <s v="PROD-051"/>
    <x v="29"/>
    <n v="3"/>
    <n v="3450"/>
    <n v="4.7"/>
    <n v="9863.5499999999993"/>
    <s v="Pending"/>
    <s v="Mumbai"/>
    <n v="0"/>
    <b v="1"/>
    <x v="1"/>
    <s v="Retail"/>
    <n v="39"/>
    <x v="1"/>
    <n v="2467"/>
  </r>
  <r>
    <s v="ORD-00953"/>
    <x v="27"/>
    <s v="CUST-0118"/>
    <s v="PROD-001"/>
    <x v="28"/>
    <n v="7"/>
    <n v="5330"/>
    <n v="16.399999999999999"/>
    <n v="31191.16"/>
    <s v="Completed"/>
    <s v="Hyderabad"/>
    <n v="0"/>
    <b v="1"/>
    <x v="4"/>
    <s v="Retail"/>
    <n v="26"/>
    <x v="2"/>
    <n v="2405"/>
  </r>
  <r>
    <s v="ORD-00954"/>
    <x v="190"/>
    <s v="CUST-0262"/>
    <s v="PROD-029"/>
    <x v="11"/>
    <n v="6"/>
    <n v="2210"/>
    <n v="13.1"/>
    <n v="11522.94"/>
    <s v="Completed"/>
    <s v="Mumbai"/>
    <n v="0"/>
    <b v="1"/>
    <x v="2"/>
    <s v="Retail"/>
    <n v="52"/>
    <x v="0"/>
    <n v="1010"/>
  </r>
  <r>
    <s v="ORD-00955"/>
    <x v="133"/>
    <s v="CUST-0137"/>
    <s v="PROD-040"/>
    <x v="17"/>
    <n v="8"/>
    <n v="1080"/>
    <n v="8.6999999999999993"/>
    <n v="7888.32"/>
    <s v="Completed"/>
    <s v="Mumbai"/>
    <n v="0"/>
    <b v="1"/>
    <x v="3"/>
    <s v="Retail"/>
    <n v="41"/>
    <x v="2"/>
    <n v="519"/>
  </r>
  <r>
    <s v="ORD-00956"/>
    <x v="185"/>
    <s v="CUST-0145"/>
    <s v="PROD-014"/>
    <x v="15"/>
    <n v="5"/>
    <n v="3620"/>
    <n v="16.100000000000001"/>
    <n v="15185.9"/>
    <s v="Completed"/>
    <s v="Bengaluru"/>
    <n v="0"/>
    <b v="1"/>
    <x v="0"/>
    <s v="SMB"/>
    <n v="44"/>
    <x v="1"/>
    <n v="2509"/>
  </r>
  <r>
    <s v="ORD-00957"/>
    <x v="64"/>
    <s v="CUST-0275"/>
    <s v="PROD-018"/>
    <x v="23"/>
    <n v="7"/>
    <n v="3560"/>
    <n v="8.5"/>
    <n v="22801.8"/>
    <s v="Completed"/>
    <s v="Mumbai"/>
    <n v="0"/>
    <b v="1"/>
    <x v="0"/>
    <s v="Retail"/>
    <n v="36"/>
    <x v="1"/>
    <n v="2629"/>
  </r>
  <r>
    <s v="ORD-00958"/>
    <x v="263"/>
    <s v="CUST-0189"/>
    <s v="PROD-033"/>
    <x v="5"/>
    <n v="8"/>
    <n v="2030"/>
    <n v="18.100000000000001"/>
    <n v="13300.56"/>
    <s v="Completed"/>
    <s v="Chennai"/>
    <n v="0"/>
    <b v="1"/>
    <x v="3"/>
    <s v="Retail"/>
    <n v="41"/>
    <x v="2"/>
    <n v="1143"/>
  </r>
  <r>
    <s v="ORD-00959"/>
    <x v="154"/>
    <s v="CUST-0105"/>
    <s v="PROD-044"/>
    <x v="23"/>
    <n v="10"/>
    <n v="1650"/>
    <n v="7.1"/>
    <n v="15328.5"/>
    <s v="Completed"/>
    <s v="Chennai"/>
    <n v="0"/>
    <b v="1"/>
    <x v="5"/>
    <s v="SMB"/>
    <n v="51"/>
    <x v="1"/>
    <n v="1222"/>
  </r>
  <r>
    <s v="ORD-00960"/>
    <x v="25"/>
    <s v="CUST-0284"/>
    <s v="PROD-021"/>
    <x v="21"/>
    <n v="4"/>
    <n v="2760"/>
    <n v="17.600000000000001"/>
    <n v="9096.9599999999991"/>
    <s v="Cancelled"/>
    <s v="Hyderabad"/>
    <n v="0"/>
    <b v="1"/>
    <x v="2"/>
    <s v="SMB"/>
    <n v="65"/>
    <x v="3"/>
    <n v="1435"/>
  </r>
  <r>
    <s v="ORD-00961"/>
    <x v="151"/>
    <s v="CUST-0296"/>
    <s v="PROD-006"/>
    <x v="18"/>
    <n v="4"/>
    <n v="3970"/>
    <n v="4.3"/>
    <n v="15197.16"/>
    <s v="Completed"/>
    <s v="Delhi"/>
    <n v="0"/>
    <b v="1"/>
    <x v="4"/>
    <s v="Corporate"/>
    <n v="47"/>
    <x v="1"/>
    <n v="2865"/>
  </r>
  <r>
    <s v="ORD-00962"/>
    <x v="89"/>
    <s v="CUST-0087"/>
    <s v="PROD-050"/>
    <x v="9"/>
    <n v="2"/>
    <n v="6080"/>
    <n v="23.8"/>
    <n v="9265.92"/>
    <s v="Completed"/>
    <s v="Pune"/>
    <n v="0"/>
    <b v="1"/>
    <x v="5"/>
    <s v="SMB"/>
    <n v="49"/>
    <x v="1"/>
    <n v="2617"/>
  </r>
  <r>
    <s v="ORD-00963"/>
    <x v="341"/>
    <s v="CUST-0012"/>
    <s v="PROD-024"/>
    <x v="10"/>
    <n v="4"/>
    <n v="2270"/>
    <n v="28.9"/>
    <n v="6455.88"/>
    <s v="Completed"/>
    <s v="Pune"/>
    <n v="0"/>
    <b v="1"/>
    <x v="2"/>
    <s v="Retail"/>
    <n v="43"/>
    <x v="0"/>
    <n v="1203"/>
  </r>
  <r>
    <s v="ORD-00964"/>
    <x v="236"/>
    <s v="CUST-0241"/>
    <s v="PROD-006"/>
    <x v="10"/>
    <n v="10"/>
    <n v="3970"/>
    <n v="26.2"/>
    <n v="29298.6"/>
    <s v="Completed"/>
    <s v="Pune"/>
    <n v="0"/>
    <b v="1"/>
    <x v="4"/>
    <s v="Corporate"/>
    <n v="47"/>
    <x v="0"/>
    <n v="2865"/>
  </r>
  <r>
    <s v="ORD-00965"/>
    <x v="239"/>
    <s v="CUST-0133"/>
    <s v="PROD-048"/>
    <x v="22"/>
    <n v="4"/>
    <n v="5100"/>
    <n v="2.1"/>
    <n v="19971.599999999999"/>
    <s v="Completed"/>
    <s v="Chennai"/>
    <n v="0"/>
    <b v="1"/>
    <x v="5"/>
    <s v="Retail"/>
    <n v="26"/>
    <x v="1"/>
    <n v="2237"/>
  </r>
  <r>
    <s v="ORD-00966"/>
    <x v="49"/>
    <s v="CUST-0230"/>
    <s v="PROD-045"/>
    <x v="6"/>
    <n v="5"/>
    <n v="3020"/>
    <n v="17.3"/>
    <n v="12487.7"/>
    <s v="Completed"/>
    <s v="Pune"/>
    <n v="0"/>
    <b v="1"/>
    <x v="5"/>
    <s v="Corporate"/>
    <n v="33"/>
    <x v="2"/>
    <n v="1626"/>
  </r>
  <r>
    <s v="ORD-00967"/>
    <x v="126"/>
    <s v="CUST-0126"/>
    <s v="PROD-057"/>
    <x v="29"/>
    <n v="8"/>
    <n v="960"/>
    <n v="1.3"/>
    <n v="7580.16"/>
    <s v="Cancelled"/>
    <s v="Mumbai"/>
    <n v="0"/>
    <b v="1"/>
    <x v="1"/>
    <s v="Retail"/>
    <n v="37"/>
    <x v="1"/>
    <n v="705"/>
  </r>
  <r>
    <s v="ORD-00968"/>
    <x v="109"/>
    <s v="CUST-0233"/>
    <s v="PROD-019"/>
    <x v="4"/>
    <n v="9"/>
    <n v="2480"/>
    <n v="15.6"/>
    <n v="18838.080000000002"/>
    <s v="Completed"/>
    <s v="Mumbai"/>
    <n v="0"/>
    <b v="1"/>
    <x v="0"/>
    <s v="SMB"/>
    <n v="65"/>
    <x v="0"/>
    <n v="1173"/>
  </r>
  <r>
    <s v="ORD-00969"/>
    <x v="286"/>
    <s v="CUST-9555"/>
    <s v="PROD-030"/>
    <x v="27"/>
    <n v="1"/>
    <n v="970"/>
    <n v="24.9"/>
    <n v="728.47"/>
    <s v="Completed"/>
    <s v="Bengaluru"/>
    <n v="0"/>
    <b v="1"/>
    <x v="2"/>
    <e v="#N/A"/>
    <e v="#N/A"/>
    <x v="1"/>
    <n v="434"/>
  </r>
  <r>
    <s v="ORD-00970"/>
    <x v="38"/>
    <s v="CUST-0150"/>
    <s v="PROD-023"/>
    <x v="24"/>
    <n v="4"/>
    <n v="2380"/>
    <n v="9.5"/>
    <n v="8615.6"/>
    <s v="Cancelled"/>
    <s v="Pune"/>
    <n v="0"/>
    <b v="1"/>
    <x v="2"/>
    <s v="SMB"/>
    <n v="53"/>
    <x v="3"/>
    <n v="1182"/>
  </r>
  <r>
    <s v="ORD-00971"/>
    <x v="318"/>
    <s v="CUST-0204"/>
    <s v="PROD-052"/>
    <x v="1"/>
    <n v="4"/>
    <n v="5410"/>
    <n v="18.7"/>
    <n v="17593.32"/>
    <s v="Completed"/>
    <s v="Hyderabad"/>
    <n v="0"/>
    <b v="1"/>
    <x v="1"/>
    <s v="Retail"/>
    <n v="60"/>
    <x v="0"/>
    <n v="2265"/>
  </r>
  <r>
    <s v="ORD-00972"/>
    <x v="52"/>
    <s v="CUST-0040"/>
    <s v="PROD-034"/>
    <x v="24"/>
    <n v="7"/>
    <n v="5080"/>
    <n v="6.5"/>
    <n v="33248.6"/>
    <s v="Completed"/>
    <s v="Chennai"/>
    <n v="0"/>
    <b v="1"/>
    <x v="3"/>
    <s v="Retail"/>
    <n v="28"/>
    <x v="3"/>
    <n v="2459"/>
  </r>
  <r>
    <s v="ORD-00973"/>
    <x v="220"/>
    <s v="CUST-0060"/>
    <s v="PROD-007"/>
    <x v="5"/>
    <n v="5"/>
    <n v="1430"/>
    <n v="19.8"/>
    <n v="5734.3"/>
    <s v="Completed"/>
    <s v="Pune"/>
    <n v="0"/>
    <b v="1"/>
    <x v="4"/>
    <s v="Retail"/>
    <n v="39"/>
    <x v="2"/>
    <n v="861"/>
  </r>
  <r>
    <s v="ORD-00974"/>
    <x v="4"/>
    <s v="CUST-0017"/>
    <s v="PROD-037"/>
    <x v="23"/>
    <n v="7"/>
    <n v="660"/>
    <n v="17.3"/>
    <n v="3820.74"/>
    <s v="Completed"/>
    <s v="Delhi"/>
    <n v="0"/>
    <b v="1"/>
    <x v="3"/>
    <s v="SMB"/>
    <n v="38"/>
    <x v="1"/>
    <n v="329"/>
  </r>
  <r>
    <s v="ORD-00975"/>
    <x v="265"/>
    <s v="CUST-0093"/>
    <s v="PROD-041"/>
    <x v="10"/>
    <n v="10"/>
    <n v="1540"/>
    <n v="17.5"/>
    <n v="12705"/>
    <s v="Completed"/>
    <s v="Pune"/>
    <n v="0"/>
    <b v="0"/>
    <x v="5"/>
    <s v="Retail"/>
    <n v="36"/>
    <x v="0"/>
    <n v="647"/>
  </r>
  <r>
    <s v="ORD-01662"/>
    <x v="243"/>
    <s v="CUST-0068"/>
    <s v="PROD-029"/>
    <x v="11"/>
    <n v="10"/>
    <n v="2210"/>
    <n v="24.1"/>
    <n v="16773.900000000001"/>
    <s v="Pending"/>
    <s v="Delhi"/>
    <n v="1"/>
    <b v="1"/>
    <x v="2"/>
    <s v="SMB"/>
    <n v="48"/>
    <x v="0"/>
    <n v="1010"/>
  </r>
  <r>
    <s v="ORD-00977"/>
    <x v="281"/>
    <s v="CUST-0251"/>
    <s v="PROD-057"/>
    <x v="24"/>
    <n v="4"/>
    <n v="960"/>
    <n v="13.4"/>
    <n v="3325.44"/>
    <s v="Completed"/>
    <s v="Mumbai"/>
    <n v="0"/>
    <b v="1"/>
    <x v="1"/>
    <s v="Retail"/>
    <n v="44"/>
    <x v="3"/>
    <n v="705"/>
  </r>
  <r>
    <s v="ORD-00978"/>
    <x v="108"/>
    <s v="CUST-0076"/>
    <s v="PROD-047"/>
    <x v="24"/>
    <n v="8"/>
    <n v="3450"/>
    <n v="3.7"/>
    <n v="26578.799999999999"/>
    <s v="Completed"/>
    <s v="Mumbai"/>
    <n v="0"/>
    <b v="1"/>
    <x v="5"/>
    <s v="Retail"/>
    <n v="38"/>
    <x v="3"/>
    <n v="2420"/>
  </r>
  <r>
    <s v="ORD-00979"/>
    <x v="214"/>
    <s v="CUST-9927"/>
    <s v="PROD-033"/>
    <x v="1"/>
    <n v="6"/>
    <n v="2030"/>
    <n v="9.5"/>
    <n v="11022.9"/>
    <s v="Completed"/>
    <s v="Mumbai"/>
    <n v="0"/>
    <b v="1"/>
    <x v="3"/>
    <e v="#N/A"/>
    <e v="#N/A"/>
    <x v="0"/>
    <n v="1143"/>
  </r>
  <r>
    <s v="ORD-00980"/>
    <x v="342"/>
    <s v="CUST-0135"/>
    <s v="PROD-011"/>
    <x v="18"/>
    <n v="7"/>
    <n v="3450"/>
    <n v="28.2"/>
    <n v="17339.7"/>
    <s v="Completed"/>
    <s v="Pune"/>
    <n v="0"/>
    <b v="1"/>
    <x v="0"/>
    <s v="SMB"/>
    <n v="24"/>
    <x v="1"/>
    <n v="1748"/>
  </r>
  <r>
    <s v="ORD-00981"/>
    <x v="101"/>
    <s v="CUST-0163"/>
    <s v="PROD-027"/>
    <x v="23"/>
    <n v="7"/>
    <n v="3780"/>
    <n v="15.1"/>
    <n v="22464.54"/>
    <s v="Completed"/>
    <s v="Pune"/>
    <n v="0"/>
    <b v="1"/>
    <x v="2"/>
    <s v="Retail"/>
    <n v="49"/>
    <x v="1"/>
    <n v="2436"/>
  </r>
  <r>
    <s v="ORD-00947"/>
    <x v="53"/>
    <s v="CUST-0107"/>
    <s v="PROD-021"/>
    <x v="25"/>
    <n v="4"/>
    <n v="2760"/>
    <n v="14.8"/>
    <n v="9406.08"/>
    <s v="Completed"/>
    <s v="Pune"/>
    <n v="0"/>
    <b v="1"/>
    <x v="2"/>
    <s v="Retail"/>
    <n v="50"/>
    <x v="0"/>
    <n v="1435"/>
  </r>
  <r>
    <s v="ORD-00983"/>
    <x v="322"/>
    <s v="CUST-0209"/>
    <s v="PROD-041"/>
    <x v="20"/>
    <n v="4"/>
    <n v="1540"/>
    <n v="13.9"/>
    <n v="5303.76"/>
    <s v="Completed"/>
    <s v="Pune"/>
    <n v="0"/>
    <b v="0"/>
    <x v="5"/>
    <s v="Retail"/>
    <n v="31"/>
    <x v="2"/>
    <n v="647"/>
  </r>
  <r>
    <s v="ORD-00984"/>
    <x v="334"/>
    <s v="CUST-0074"/>
    <s v="PROD-031"/>
    <x v="0"/>
    <n v="2"/>
    <n v="3730"/>
    <n v="15.7"/>
    <n v="6288.78"/>
    <s v="Cancelled"/>
    <s v="Bengaluru"/>
    <n v="0"/>
    <b v="1"/>
    <x v="3"/>
    <s v="Retail"/>
    <n v="27"/>
    <x v="0"/>
    <n v="2135"/>
  </r>
  <r>
    <s v="ORD-00985"/>
    <x v="251"/>
    <s v="CUST-0037"/>
    <s v="PROD-031"/>
    <x v="28"/>
    <n v="4"/>
    <n v="3730"/>
    <n v="2.1"/>
    <n v="14606.68"/>
    <s v="Completed"/>
    <s v="Bengaluru"/>
    <n v="0"/>
    <b v="1"/>
    <x v="3"/>
    <s v="Retail"/>
    <n v="52"/>
    <x v="2"/>
    <n v="2135"/>
  </r>
  <r>
    <s v="ORD-00986"/>
    <x v="136"/>
    <s v="CUST-0026"/>
    <s v="PROD-012"/>
    <x v="22"/>
    <n v="1"/>
    <n v="3160"/>
    <n v="29.8"/>
    <n v="2218.3200000000002"/>
    <s v="Completed"/>
    <s v="Pune"/>
    <n v="0"/>
    <b v="1"/>
    <x v="0"/>
    <s v="Retail"/>
    <n v="62"/>
    <x v="1"/>
    <n v="1886"/>
  </r>
  <r>
    <s v="ORD-00987"/>
    <x v="227"/>
    <s v="CUST-0151"/>
    <s v="PROD-042"/>
    <x v="24"/>
    <n v="9"/>
    <n v="2290"/>
    <n v="8.3000000000000007"/>
    <n v="18899.37"/>
    <s v="Pending"/>
    <s v="Mumbai"/>
    <n v="0"/>
    <b v="1"/>
    <x v="5"/>
    <s v="Retail"/>
    <n v="53"/>
    <x v="3"/>
    <n v="1219"/>
  </r>
  <r>
    <s v="ORD-00988"/>
    <x v="215"/>
    <s v="CUST-0210"/>
    <s v="PROD-004"/>
    <x v="22"/>
    <n v="2"/>
    <n v="3870"/>
    <n v="5.2"/>
    <n v="7337.52"/>
    <s v="Completed"/>
    <s v="Pune"/>
    <n v="0"/>
    <b v="1"/>
    <x v="4"/>
    <s v="Corporate"/>
    <n v="48"/>
    <x v="1"/>
    <n v="1559"/>
  </r>
  <r>
    <s v="ORD-00989"/>
    <x v="57"/>
    <s v="CUST-0192"/>
    <s v="PROD-003"/>
    <x v="0"/>
    <n v="5"/>
    <n v="3570"/>
    <n v="19.899999999999999"/>
    <n v="14297.85"/>
    <s v="Completed"/>
    <s v="Bengaluru"/>
    <n v="0"/>
    <b v="1"/>
    <x v="4"/>
    <s v="Retail"/>
    <n v="55"/>
    <x v="0"/>
    <n v="1665"/>
  </r>
  <r>
    <s v="ORD-00990"/>
    <x v="305"/>
    <s v="CUST-0161"/>
    <s v="PROD-054"/>
    <x v="19"/>
    <n v="5"/>
    <n v="1010"/>
    <n v="2.2000000000000002"/>
    <n v="4938.8999999999996"/>
    <s v="Completed"/>
    <s v="Chennai"/>
    <n v="0"/>
    <b v="1"/>
    <x v="1"/>
    <s v="Retail"/>
    <n v="38"/>
    <x v="0"/>
    <n v="516"/>
  </r>
  <r>
    <s v="ORD-00991"/>
    <x v="119"/>
    <s v="CUST-0255"/>
    <s v="PROD-042"/>
    <x v="10"/>
    <n v="10"/>
    <n v="2290"/>
    <n v="16.8"/>
    <n v="19052.8"/>
    <s v="Cancelled"/>
    <s v="Chennai"/>
    <n v="0"/>
    <b v="1"/>
    <x v="5"/>
    <s v="Corporate"/>
    <n v="51"/>
    <x v="0"/>
    <n v="1219"/>
  </r>
  <r>
    <s v="ORD-00992"/>
    <x v="293"/>
    <s v="CUST-0027"/>
    <s v="PROD-039"/>
    <x v="7"/>
    <n v="3"/>
    <n v="4610"/>
    <n v="13.2"/>
    <n v="12004.44"/>
    <s v="Pending"/>
    <s v="Hyderabad"/>
    <n v="0"/>
    <b v="1"/>
    <x v="3"/>
    <s v="Corporate"/>
    <n v="52"/>
    <x v="3"/>
    <n v="1850"/>
  </r>
  <r>
    <s v="ORD-00993"/>
    <x v="320"/>
    <s v="CUST-0228"/>
    <s v="PROD-017"/>
    <x v="11"/>
    <n v="1"/>
    <n v="2510"/>
    <n v="16.899999999999999"/>
    <n v="2085.81"/>
    <s v="Completed"/>
    <s v="Pune"/>
    <n v="0"/>
    <b v="0"/>
    <x v="0"/>
    <s v="Corporate"/>
    <n v="37"/>
    <x v="0"/>
    <n v="1075"/>
  </r>
  <r>
    <s v="ORD-00994"/>
    <x v="27"/>
    <s v="CUST-0183"/>
    <s v="PROD-045"/>
    <x v="18"/>
    <n v="1"/>
    <n v="3020"/>
    <n v="26.7"/>
    <n v="2213.66"/>
    <s v="Completed"/>
    <s v="Mumbai"/>
    <n v="0"/>
    <b v="1"/>
    <x v="5"/>
    <s v="SMB"/>
    <n v="27"/>
    <x v="1"/>
    <n v="1626"/>
  </r>
  <r>
    <s v="ORD-00995"/>
    <x v="343"/>
    <s v="CUST-0026"/>
    <s v="PROD-060"/>
    <x v="27"/>
    <n v="6"/>
    <n v="190"/>
    <n v="7.1"/>
    <n v="1059.06"/>
    <s v="Completed"/>
    <s v="Pune"/>
    <n v="0"/>
    <b v="1"/>
    <x v="1"/>
    <s v="Retail"/>
    <n v="62"/>
    <x v="1"/>
    <n v="147"/>
  </r>
  <r>
    <s v="ORD-00996"/>
    <x v="201"/>
    <s v="CUST-0211"/>
    <s v="PROD-033"/>
    <x v="25"/>
    <n v="6"/>
    <n v="2030"/>
    <n v="13.5"/>
    <n v="10535.7"/>
    <s v="Cancelled"/>
    <s v="Bengaluru"/>
    <n v="0"/>
    <b v="1"/>
    <x v="3"/>
    <s v="Retail"/>
    <n v="36"/>
    <x v="0"/>
    <n v="1143"/>
  </r>
  <r>
    <s v="ORD-00997"/>
    <x v="74"/>
    <s v="CUST-0190"/>
    <s v="PROD-036"/>
    <x v="27"/>
    <n v="10"/>
    <n v="3250"/>
    <n v="8.6999999999999993"/>
    <n v="29672.5"/>
    <s v="Completed"/>
    <s v="Hyderabad"/>
    <n v="0"/>
    <b v="1"/>
    <x v="3"/>
    <s v="Retail"/>
    <n v="52"/>
    <x v="1"/>
    <n v="1556"/>
  </r>
  <r>
    <s v="ORD-00998"/>
    <x v="193"/>
    <s v="CUST-0172"/>
    <s v="PROD-033"/>
    <x v="20"/>
    <n v="9"/>
    <n v="2030"/>
    <n v="29.3"/>
    <n v="12916.89"/>
    <s v="Completed"/>
    <s v="Pune"/>
    <n v="0"/>
    <b v="1"/>
    <x v="3"/>
    <s v="Retail"/>
    <n v="65"/>
    <x v="2"/>
    <n v="1143"/>
  </r>
  <r>
    <s v="ORD-00999"/>
    <x v="82"/>
    <s v="CUST-0272"/>
    <s v="PROD-023"/>
    <x v="5"/>
    <n v="1"/>
    <n v="2380"/>
    <n v="12.9"/>
    <n v="2072.98"/>
    <s v="Completed"/>
    <s v="Mumbai"/>
    <n v="0"/>
    <b v="1"/>
    <x v="2"/>
    <s v="SMB"/>
    <n v="47"/>
    <x v="2"/>
    <n v="1182"/>
  </r>
  <r>
    <s v="ORD-01000"/>
    <x v="126"/>
    <s v="CUST-0232"/>
    <s v="PROD-011"/>
    <x v="6"/>
    <n v="10"/>
    <n v="3450"/>
    <n v="18.5"/>
    <n v="28117.5"/>
    <s v="Completed"/>
    <s v="Hyderabad"/>
    <n v="0"/>
    <b v="1"/>
    <x v="0"/>
    <s v="Retail"/>
    <n v="38"/>
    <x v="2"/>
    <n v="1748"/>
  </r>
  <r>
    <s v="ORD-01001"/>
    <x v="66"/>
    <s v="CUST-0282"/>
    <s v="PROD-012"/>
    <x v="25"/>
    <n v="10"/>
    <n v="3160"/>
    <n v="26.3"/>
    <n v="23289.200000000001"/>
    <s v="Completed"/>
    <s v="Hyderabad"/>
    <n v="0"/>
    <b v="1"/>
    <x v="0"/>
    <s v="Corporate"/>
    <n v="29"/>
    <x v="0"/>
    <n v="1886"/>
  </r>
  <r>
    <s v="ORD-01002"/>
    <x v="101"/>
    <s v="CUST-0164"/>
    <s v="PROD-038"/>
    <x v="17"/>
    <n v="10"/>
    <n v="5490"/>
    <n v="22.7"/>
    <n v="42437.7"/>
    <s v="Completed"/>
    <s v="Chennai"/>
    <n v="0"/>
    <b v="1"/>
    <x v="3"/>
    <s v="Retail"/>
    <n v="60"/>
    <x v="2"/>
    <n v="2549"/>
  </r>
  <r>
    <s v="ORD-01003"/>
    <x v="232"/>
    <s v="CUST-0212"/>
    <s v="PROD-055"/>
    <x v="3"/>
    <n v="8"/>
    <n v="2860"/>
    <n v="14.3"/>
    <n v="19608.16"/>
    <s v="Completed"/>
    <s v="Chennai"/>
    <n v="0"/>
    <b v="1"/>
    <x v="1"/>
    <s v="SMB"/>
    <n v="46"/>
    <x v="0"/>
    <n v="2028"/>
  </r>
  <r>
    <s v="ORD-01004"/>
    <x v="104"/>
    <s v="CUST-0234"/>
    <s v="PROD-049"/>
    <x v="23"/>
    <n v="1"/>
    <n v="960"/>
    <n v="11.9"/>
    <n v="845.76"/>
    <s v="Completed"/>
    <s v="Bengaluru"/>
    <n v="0"/>
    <b v="1"/>
    <x v="5"/>
    <s v="Retail"/>
    <n v="34"/>
    <x v="1"/>
    <n v="675"/>
  </r>
  <r>
    <s v="ORD-01005"/>
    <x v="195"/>
    <s v="CUST-0292"/>
    <s v="PROD-040"/>
    <x v="0"/>
    <n v="3"/>
    <n v="1080"/>
    <n v="26"/>
    <n v="2397.6"/>
    <s v="Completed"/>
    <s v="Bengaluru"/>
    <n v="0"/>
    <b v="1"/>
    <x v="3"/>
    <s v="Retail"/>
    <n v="32"/>
    <x v="0"/>
    <n v="519"/>
  </r>
  <r>
    <s v="ORD-01006"/>
    <x v="65"/>
    <s v="CUST-0018"/>
    <s v="PROD-055"/>
    <x v="19"/>
    <n v="10"/>
    <n v="2860"/>
    <n v="13.1"/>
    <n v="24853.4"/>
    <s v="Refunded"/>
    <s v="Pune"/>
    <n v="0"/>
    <b v="1"/>
    <x v="1"/>
    <s v="SMB"/>
    <n v="54"/>
    <x v="0"/>
    <n v="2028"/>
  </r>
  <r>
    <s v="ORD-01007"/>
    <x v="316"/>
    <s v="CUST-0220"/>
    <s v="PROD-013"/>
    <x v="19"/>
    <n v="3"/>
    <n v="3640"/>
    <n v="18.2"/>
    <n v="8932.56"/>
    <s v="Completed"/>
    <s v="Chennai"/>
    <n v="0"/>
    <b v="1"/>
    <x v="0"/>
    <s v="Retail"/>
    <n v="34"/>
    <x v="0"/>
    <n v="2611"/>
  </r>
  <r>
    <s v="ORD-01008"/>
    <x v="171"/>
    <s v="CUST-0064"/>
    <s v="PROD-015"/>
    <x v="26"/>
    <n v="3"/>
    <n v="2720"/>
    <n v="3.6"/>
    <n v="7866.24"/>
    <s v="Completed"/>
    <s v="Hyderabad"/>
    <n v="0"/>
    <b v="1"/>
    <x v="0"/>
    <s v="SMB"/>
    <n v="40"/>
    <x v="3"/>
    <n v="1962"/>
  </r>
  <r>
    <s v="ORD-01009"/>
    <x v="316"/>
    <s v="CUST-0077"/>
    <s v="PROD-024"/>
    <x v="4"/>
    <n v="4"/>
    <n v="2270"/>
    <n v="18.399999999999999"/>
    <n v="7409.28"/>
    <s v="Completed"/>
    <s v="Hyderabad"/>
    <n v="0"/>
    <b v="1"/>
    <x v="2"/>
    <s v="SMB"/>
    <n v="48"/>
    <x v="0"/>
    <n v="1203"/>
  </r>
  <r>
    <s v="ORD-01010"/>
    <x v="64"/>
    <s v="CUST-0229"/>
    <s v="PROD-009"/>
    <x v="20"/>
    <n v="5"/>
    <n v="1220"/>
    <n v="13.9"/>
    <n v="5252.1"/>
    <s v="Completed"/>
    <s v="Hyderabad"/>
    <n v="0"/>
    <b v="1"/>
    <x v="4"/>
    <s v="SMB"/>
    <n v="25"/>
    <x v="2"/>
    <n v="517"/>
  </r>
  <r>
    <s v="ORD-01011"/>
    <x v="21"/>
    <s v="CUST-0129"/>
    <s v="PROD-010"/>
    <x v="15"/>
    <n v="8"/>
    <n v="2640"/>
    <n v="17.3"/>
    <n v="17466.240000000002"/>
    <s v="Completed"/>
    <s v="Hyderabad"/>
    <n v="0"/>
    <b v="1"/>
    <x v="4"/>
    <s v="Retail"/>
    <n v="29"/>
    <x v="1"/>
    <n v="1149"/>
  </r>
  <r>
    <s v="ORD-01012"/>
    <x v="66"/>
    <s v="CUST-0145"/>
    <s v="PROD-030"/>
    <x v="15"/>
    <n v="1"/>
    <n v="970"/>
    <n v="28"/>
    <n v="698.4"/>
    <s v="Cancelled"/>
    <s v="Bengaluru"/>
    <n v="0"/>
    <b v="1"/>
    <x v="2"/>
    <s v="SMB"/>
    <n v="44"/>
    <x v="1"/>
    <n v="434"/>
  </r>
  <r>
    <s v="ORD-01013"/>
    <x v="243"/>
    <s v="CUST-0258"/>
    <s v="PROD-031"/>
    <x v="5"/>
    <n v="8"/>
    <n v="3730"/>
    <n v="2.1"/>
    <n v="29213.360000000001"/>
    <s v="Refunded"/>
    <s v="Pune"/>
    <n v="0"/>
    <b v="1"/>
    <x v="3"/>
    <s v="Retail"/>
    <n v="44"/>
    <x v="2"/>
    <n v="2135"/>
  </r>
  <r>
    <s v="ORD-01014"/>
    <x v="311"/>
    <s v="CUST-0209"/>
    <s v="PROD-030"/>
    <x v="6"/>
    <n v="7"/>
    <n v="970"/>
    <n v="25.5"/>
    <n v="5058.55"/>
    <s v="Completed"/>
    <s v="Pune"/>
    <n v="0"/>
    <b v="1"/>
    <x v="2"/>
    <s v="Retail"/>
    <n v="31"/>
    <x v="2"/>
    <n v="434"/>
  </r>
  <r>
    <s v="ORD-01015"/>
    <x v="125"/>
    <s v="CUST-0131"/>
    <s v="PROD-003"/>
    <x v="24"/>
    <n v="6"/>
    <n v="3570"/>
    <n v="9.9"/>
    <n v="19299.419999999998"/>
    <s v="Completed"/>
    <s v="Delhi"/>
    <n v="0"/>
    <b v="1"/>
    <x v="4"/>
    <s v="SMB"/>
    <n v="28"/>
    <x v="3"/>
    <n v="1665"/>
  </r>
  <r>
    <s v="ORD-01016"/>
    <x v="111"/>
    <s v="CUST-0276"/>
    <s v="PROD-030"/>
    <x v="29"/>
    <n v="6"/>
    <n v="970"/>
    <n v="19.600000000000001"/>
    <n v="4679.28"/>
    <s v="Completed"/>
    <s v="Chennai"/>
    <n v="0"/>
    <b v="1"/>
    <x v="2"/>
    <s v="Retail"/>
    <n v="26"/>
    <x v="1"/>
    <n v="434"/>
  </r>
  <r>
    <s v="ORD-01017"/>
    <x v="211"/>
    <s v="CUST-0283"/>
    <s v="PROD-059"/>
    <x v="23"/>
    <n v="8"/>
    <n v="3780"/>
    <n v="26.5"/>
    <n v="22226.400000000001"/>
    <s v="Completed"/>
    <s v="Delhi"/>
    <n v="0"/>
    <b v="1"/>
    <x v="1"/>
    <s v="SMB"/>
    <n v="50"/>
    <x v="1"/>
    <n v="1860"/>
  </r>
  <r>
    <s v="ORD-01018"/>
    <x v="72"/>
    <s v="CUST-0195"/>
    <s v="PROD-058"/>
    <x v="23"/>
    <n v="6"/>
    <n v="2400"/>
    <n v="1.4"/>
    <n v="14198.4"/>
    <s v="Completed"/>
    <s v="Bengaluru"/>
    <n v="0"/>
    <b v="1"/>
    <x v="1"/>
    <s v="Retail"/>
    <n v="28"/>
    <x v="1"/>
    <n v="974"/>
  </r>
  <r>
    <s v="ORD-01019"/>
    <x v="97"/>
    <s v="CUST-0181"/>
    <s v="PROD-036"/>
    <x v="13"/>
    <n v="10"/>
    <n v="3250"/>
    <n v="19.3"/>
    <n v="26227.5"/>
    <s v="Completed"/>
    <s v="Delhi"/>
    <n v="0"/>
    <b v="1"/>
    <x v="3"/>
    <s v="SMB"/>
    <n v="38"/>
    <x v="3"/>
    <n v="1556"/>
  </r>
  <r>
    <s v="ORD-01020"/>
    <x v="260"/>
    <s v="CUST-0149"/>
    <s v="PROD-021"/>
    <x v="2"/>
    <n v="7"/>
    <n v="2760"/>
    <n v="23.6"/>
    <n v="14760.48"/>
    <s v="Pending"/>
    <s v="Hyderabad"/>
    <n v="0"/>
    <b v="1"/>
    <x v="2"/>
    <s v="Retail"/>
    <n v="44"/>
    <x v="1"/>
    <n v="1435"/>
  </r>
  <r>
    <s v="ORD-01021"/>
    <x v="113"/>
    <s v="CUST-0152"/>
    <s v="PROD-003"/>
    <x v="19"/>
    <n v="3"/>
    <n v="3570"/>
    <n v="26.3"/>
    <n v="7893.27"/>
    <s v="Completed"/>
    <s v="Bengaluru"/>
    <n v="0"/>
    <b v="1"/>
    <x v="4"/>
    <s v="SMB"/>
    <n v="64"/>
    <x v="0"/>
    <n v="1665"/>
  </r>
  <r>
    <s v="ORD-01022"/>
    <x v="40"/>
    <s v="CUST-0085"/>
    <s v="PROD-027"/>
    <x v="15"/>
    <n v="4"/>
    <n v="3780"/>
    <n v="10.1"/>
    <n v="13592.88"/>
    <s v="Completed"/>
    <s v="Chennai"/>
    <n v="0"/>
    <b v="1"/>
    <x v="2"/>
    <s v="Retail"/>
    <n v="26"/>
    <x v="1"/>
    <n v="2436"/>
  </r>
  <r>
    <s v="ORD-01023"/>
    <x v="77"/>
    <s v="CUST-0231"/>
    <s v="PROD-007"/>
    <x v="7"/>
    <n v="10"/>
    <n v="1430"/>
    <n v="3.7"/>
    <n v="13770.9"/>
    <s v="Completed"/>
    <s v="Chennai"/>
    <n v="0"/>
    <b v="1"/>
    <x v="4"/>
    <s v="Retail"/>
    <n v="61"/>
    <x v="3"/>
    <n v="861"/>
  </r>
  <r>
    <s v="ORD-01024"/>
    <x v="91"/>
    <s v="CUST-0044"/>
    <s v="PROD-022"/>
    <x v="23"/>
    <n v="6"/>
    <n v="2270"/>
    <n v="7.9"/>
    <n v="12544.02"/>
    <s v="Refunded"/>
    <s v="Hyderabad"/>
    <n v="0"/>
    <b v="1"/>
    <x v="2"/>
    <s v="SMB"/>
    <n v="29"/>
    <x v="1"/>
    <n v="1412"/>
  </r>
  <r>
    <s v="ORD-01025"/>
    <x v="5"/>
    <s v="CUST-0027"/>
    <s v="PROD-054"/>
    <x v="22"/>
    <n v="1"/>
    <n v="1010"/>
    <n v="6.9"/>
    <n v="940.31"/>
    <s v="Pending"/>
    <s v="Hyderabad"/>
    <n v="0"/>
    <b v="1"/>
    <x v="1"/>
    <s v="Corporate"/>
    <n v="52"/>
    <x v="1"/>
    <n v="516"/>
  </r>
  <r>
    <s v="ORD-01026"/>
    <x v="91"/>
    <s v="CUST-0101"/>
    <s v="PROD-055"/>
    <x v="2"/>
    <n v="2"/>
    <n v="2860"/>
    <n v="20.100000000000001"/>
    <n v="4570.28"/>
    <s v="Completed"/>
    <s v="Hyderabad"/>
    <n v="0"/>
    <b v="1"/>
    <x v="1"/>
    <s v="SMB"/>
    <n v="40"/>
    <x v="1"/>
    <n v="2028"/>
  </r>
  <r>
    <s v="ORD-01027"/>
    <x v="76"/>
    <s v="CUST-0123"/>
    <s v="PROD-002"/>
    <x v="7"/>
    <n v="9"/>
    <n v="2600"/>
    <n v="15.9"/>
    <n v="19679.400000000001"/>
    <s v="Cancelled"/>
    <s v="Chennai"/>
    <n v="0"/>
    <b v="1"/>
    <x v="4"/>
    <s v="Corporate"/>
    <n v="44"/>
    <x v="3"/>
    <n v="1052"/>
  </r>
  <r>
    <s v="ORD-01028"/>
    <x v="132"/>
    <s v="CUST-0124"/>
    <s v="PROD-053"/>
    <x v="6"/>
    <n v="10"/>
    <n v="470"/>
    <n v="23.1"/>
    <n v="3614.3"/>
    <s v="Pending"/>
    <s v="Pune"/>
    <n v="0"/>
    <b v="0"/>
    <x v="1"/>
    <s v="Retail"/>
    <n v="57"/>
    <x v="2"/>
    <n v="302"/>
  </r>
  <r>
    <s v="ORD-01029"/>
    <x v="185"/>
    <s v="CUST-0159"/>
    <s v="PROD-037"/>
    <x v="22"/>
    <n v="10"/>
    <n v="660"/>
    <n v="9.4"/>
    <n v="5979.6"/>
    <s v="Completed"/>
    <s v="Hyderabad"/>
    <n v="0"/>
    <b v="1"/>
    <x v="3"/>
    <s v="Retail"/>
    <n v="32"/>
    <x v="1"/>
    <n v="329"/>
  </r>
  <r>
    <s v="ORD-01030"/>
    <x v="246"/>
    <s v="CUST-0087"/>
    <s v="PROD-009"/>
    <x v="12"/>
    <n v="5"/>
    <n v="1220"/>
    <n v="23.3"/>
    <n v="4678.7"/>
    <s v="Completed"/>
    <s v="Pune"/>
    <n v="0"/>
    <b v="1"/>
    <x v="4"/>
    <s v="SMB"/>
    <n v="49"/>
    <x v="3"/>
    <n v="517"/>
  </r>
  <r>
    <s v="ORD-01031"/>
    <x v="137"/>
    <s v="CUST-0295"/>
    <s v="PROD-036"/>
    <x v="23"/>
    <n v="9"/>
    <n v="3250"/>
    <n v="19.600000000000001"/>
    <n v="23517"/>
    <s v="Pending"/>
    <s v="Delhi"/>
    <n v="0"/>
    <b v="1"/>
    <x v="3"/>
    <s v="SMB"/>
    <n v="48"/>
    <x v="1"/>
    <n v="1556"/>
  </r>
  <r>
    <s v="ORD-01032"/>
    <x v="176"/>
    <s v="CUST-0211"/>
    <s v="PROD-016"/>
    <x v="26"/>
    <n v="7"/>
    <n v="620"/>
    <n v="29"/>
    <n v="3081.4"/>
    <s v="Completed"/>
    <s v="Bengaluru"/>
    <n v="0"/>
    <b v="1"/>
    <x v="0"/>
    <s v="Retail"/>
    <n v="36"/>
    <x v="3"/>
    <n v="396"/>
  </r>
  <r>
    <s v="ORD-01033"/>
    <x v="99"/>
    <s v="CUST-0265"/>
    <s v="PROD-026"/>
    <x v="3"/>
    <n v="9"/>
    <n v="4070"/>
    <n v="16.2"/>
    <n v="30695.94"/>
    <s v="Completed"/>
    <s v="Chennai"/>
    <n v="0"/>
    <b v="1"/>
    <x v="2"/>
    <s v="Retail"/>
    <n v="49"/>
    <x v="0"/>
    <n v="2027"/>
  </r>
  <r>
    <s v="ORD-01034"/>
    <x v="116"/>
    <s v="CUST-0252"/>
    <s v="PROD-012"/>
    <x v="0"/>
    <n v="8"/>
    <n v="3160"/>
    <n v="23.8"/>
    <n v="19263.36"/>
    <s v="Completed"/>
    <s v="Bengaluru"/>
    <n v="0"/>
    <b v="1"/>
    <x v="0"/>
    <s v="Retail"/>
    <n v="27"/>
    <x v="0"/>
    <n v="1886"/>
  </r>
  <r>
    <s v="ORD-01035"/>
    <x v="124"/>
    <s v="CUST-0180"/>
    <s v="PROD-029"/>
    <x v="24"/>
    <n v="3"/>
    <n v="2210"/>
    <n v="29.7"/>
    <n v="4660.8900000000003"/>
    <s v="Completed"/>
    <s v="Chennai"/>
    <n v="0"/>
    <b v="1"/>
    <x v="2"/>
    <s v="Retail"/>
    <n v="36"/>
    <x v="3"/>
    <n v="1010"/>
  </r>
  <r>
    <s v="ORD-01036"/>
    <x v="268"/>
    <s v="CUST-0231"/>
    <s v="PROD-053"/>
    <x v="5"/>
    <n v="9"/>
    <n v="470"/>
    <n v="27.1"/>
    <n v="3083.67"/>
    <s v="Completed"/>
    <s v="Chennai"/>
    <n v="0"/>
    <b v="0"/>
    <x v="1"/>
    <s v="Retail"/>
    <n v="61"/>
    <x v="2"/>
    <n v="302"/>
  </r>
  <r>
    <s v="ORD-01037"/>
    <x v="81"/>
    <s v="CUST-0161"/>
    <s v="PROD-032"/>
    <x v="16"/>
    <n v="6"/>
    <n v="370"/>
    <n v="5.4"/>
    <n v="2100.12"/>
    <s v="Completed"/>
    <s v="Chennai"/>
    <n v="0"/>
    <b v="1"/>
    <x v="3"/>
    <s v="Retail"/>
    <n v="38"/>
    <x v="3"/>
    <n v="288"/>
  </r>
  <r>
    <s v="ORD-01038"/>
    <x v="263"/>
    <s v="CUST-0249"/>
    <s v="PROD-059"/>
    <x v="26"/>
    <n v="10"/>
    <n v="3780"/>
    <n v="21.5"/>
    <n v="29673"/>
    <s v="Pending"/>
    <s v="Mumbai"/>
    <n v="0"/>
    <b v="1"/>
    <x v="1"/>
    <s v="Retail"/>
    <n v="44"/>
    <x v="3"/>
    <n v="1860"/>
  </r>
  <r>
    <s v="ORD-01039"/>
    <x v="344"/>
    <s v="CUST-0048"/>
    <s v="PROD-056"/>
    <x v="18"/>
    <n v="4"/>
    <n v="6940"/>
    <n v="3.9"/>
    <n v="26677.360000000001"/>
    <s v="Cancelled"/>
    <s v="Delhi"/>
    <n v="0"/>
    <b v="1"/>
    <x v="1"/>
    <s v="Retail"/>
    <n v="59"/>
    <x v="1"/>
    <n v="2827"/>
  </r>
  <r>
    <s v="ORD-01040"/>
    <x v="233"/>
    <s v="CUST-0068"/>
    <s v="PROD-031"/>
    <x v="24"/>
    <n v="3"/>
    <n v="3730"/>
    <n v="20.7"/>
    <n v="8873.67"/>
    <s v="Completed"/>
    <s v="Delhi"/>
    <n v="0"/>
    <b v="1"/>
    <x v="3"/>
    <s v="SMB"/>
    <n v="48"/>
    <x v="3"/>
    <n v="2135"/>
  </r>
  <r>
    <s v="ORD-01041"/>
    <x v="212"/>
    <s v="CUST-0213"/>
    <s v="PROD-034"/>
    <x v="5"/>
    <n v="8"/>
    <n v="5080"/>
    <n v="6.2"/>
    <n v="38120.32"/>
    <s v="Completed"/>
    <s v="Mumbai"/>
    <n v="0"/>
    <b v="1"/>
    <x v="3"/>
    <s v="Retail"/>
    <n v="37"/>
    <x v="2"/>
    <n v="2459"/>
  </r>
  <r>
    <s v="ORD-01042"/>
    <x v="6"/>
    <s v="CUST-0159"/>
    <s v="PROD-052"/>
    <x v="19"/>
    <n v="5"/>
    <n v="5410"/>
    <n v="5.2"/>
    <n v="25643.4"/>
    <s v="Completed"/>
    <s v="Hyderabad"/>
    <n v="0"/>
    <b v="1"/>
    <x v="1"/>
    <s v="Retail"/>
    <n v="32"/>
    <x v="0"/>
    <n v="2265"/>
  </r>
  <r>
    <s v="ORD-01043"/>
    <x v="280"/>
    <s v="CUST-0298"/>
    <s v="PROD-015"/>
    <x v="17"/>
    <n v="6"/>
    <n v="2720"/>
    <n v="29.8"/>
    <n v="11456.64"/>
    <s v="Pending"/>
    <s v="Delhi"/>
    <n v="0"/>
    <b v="1"/>
    <x v="0"/>
    <s v="Retail"/>
    <n v="44"/>
    <x v="2"/>
    <n v="1962"/>
  </r>
  <r>
    <s v="ORD-01044"/>
    <x v="290"/>
    <s v="CUST-0145"/>
    <s v="PROD-009"/>
    <x v="9"/>
    <n v="1"/>
    <n v="1220"/>
    <n v="22.6"/>
    <n v="944.28"/>
    <s v="Completed"/>
    <s v="Bengaluru"/>
    <n v="0"/>
    <b v="1"/>
    <x v="4"/>
    <s v="SMB"/>
    <n v="44"/>
    <x v="1"/>
    <n v="517"/>
  </r>
  <r>
    <s v="ORD-01045"/>
    <x v="93"/>
    <s v="CUST-0015"/>
    <s v="PROD-046"/>
    <x v="4"/>
    <n v="10"/>
    <n v="4880"/>
    <n v="7.3"/>
    <n v="45237.599999999999"/>
    <s v="Completed"/>
    <s v="Chennai"/>
    <n v="0"/>
    <b v="1"/>
    <x v="5"/>
    <s v="Retail"/>
    <n v="31"/>
    <x v="0"/>
    <n v="2768"/>
  </r>
  <r>
    <s v="ORD-01046"/>
    <x v="216"/>
    <s v="CUST-0054"/>
    <s v="PROD-022"/>
    <x v="13"/>
    <n v="10"/>
    <n v="2270"/>
    <n v="1.6"/>
    <n v="22336.799999999999"/>
    <s v="Completed"/>
    <s v="Mumbai"/>
    <n v="0"/>
    <b v="1"/>
    <x v="2"/>
    <s v="Corporate"/>
    <n v="62"/>
    <x v="3"/>
    <n v="1412"/>
  </r>
  <r>
    <s v="ORD-01047"/>
    <x v="55"/>
    <s v="CUST-0150"/>
    <s v="PROD-030"/>
    <x v="11"/>
    <n v="8"/>
    <n v="970"/>
    <n v="13.1"/>
    <n v="6743.44"/>
    <s v="Completed"/>
    <s v="Pune"/>
    <n v="0"/>
    <b v="1"/>
    <x v="2"/>
    <s v="SMB"/>
    <n v="53"/>
    <x v="0"/>
    <n v="434"/>
  </r>
  <r>
    <s v="ORD-01048"/>
    <x v="34"/>
    <s v="CUST-0096"/>
    <s v="PROD-023"/>
    <x v="27"/>
    <n v="7"/>
    <n v="2380"/>
    <n v="10.6"/>
    <n v="14894.04"/>
    <s v="Cancelled"/>
    <s v="Delhi"/>
    <n v="0"/>
    <b v="1"/>
    <x v="2"/>
    <s v="Corporate"/>
    <n v="27"/>
    <x v="1"/>
    <n v="1182"/>
  </r>
  <r>
    <s v="ORD-01049"/>
    <x v="56"/>
    <s v="CUST-0288"/>
    <s v="PROD-014"/>
    <x v="29"/>
    <n v="6"/>
    <n v="3620"/>
    <n v="21.3"/>
    <n v="17093.64"/>
    <s v="Cancelled"/>
    <s v="Hyderabad"/>
    <n v="0"/>
    <b v="1"/>
    <x v="0"/>
    <s v="Corporate"/>
    <n v="25"/>
    <x v="1"/>
    <n v="2509"/>
  </r>
  <r>
    <s v="ORD-01050"/>
    <x v="122"/>
    <s v="CUST-0048"/>
    <s v="PROD-026"/>
    <x v="28"/>
    <n v="3"/>
    <n v="4070"/>
    <n v="8.1999999999999993"/>
    <n v="11208.78"/>
    <s v="Cancelled"/>
    <s v="Delhi"/>
    <n v="0"/>
    <b v="1"/>
    <x v="2"/>
    <s v="Retail"/>
    <n v="59"/>
    <x v="2"/>
    <n v="2027"/>
  </r>
  <r>
    <s v="ORD-01051"/>
    <x v="344"/>
    <s v="CUST-0104"/>
    <s v="PROD-048"/>
    <x v="17"/>
    <n v="8"/>
    <n v="5100"/>
    <n v="26.9"/>
    <n v="29824.799999999999"/>
    <s v="Completed"/>
    <s v="Hyderabad"/>
    <n v="0"/>
    <b v="1"/>
    <x v="5"/>
    <s v="Corporate"/>
    <n v="43"/>
    <x v="2"/>
    <n v="2237"/>
  </r>
  <r>
    <s v="ORD-01052"/>
    <x v="197"/>
    <s v="CUST-0054"/>
    <s v="PROD-045"/>
    <x v="21"/>
    <n v="3"/>
    <n v="3020"/>
    <n v="18.5"/>
    <n v="7383.9"/>
    <s v="Cancelled"/>
    <s v="Mumbai"/>
    <n v="0"/>
    <b v="1"/>
    <x v="5"/>
    <s v="Corporate"/>
    <n v="62"/>
    <x v="3"/>
    <n v="1626"/>
  </r>
  <r>
    <s v="ORD-01053"/>
    <x v="148"/>
    <s v="CUST-0158"/>
    <s v="PROD-049"/>
    <x v="25"/>
    <n v="8"/>
    <n v="960"/>
    <n v="7.1"/>
    <n v="7134.72"/>
    <s v="Completed"/>
    <s v="Pune"/>
    <n v="0"/>
    <b v="1"/>
    <x v="5"/>
    <s v="Corporate"/>
    <n v="42"/>
    <x v="0"/>
    <n v="675"/>
  </r>
  <r>
    <s v="ORD-01054"/>
    <x v="266"/>
    <s v="CUST-0231"/>
    <s v="PROD-034"/>
    <x v="15"/>
    <n v="8"/>
    <n v="5080"/>
    <n v="6.2"/>
    <n v="38120.32"/>
    <s v="Completed"/>
    <s v="Chennai"/>
    <n v="0"/>
    <b v="1"/>
    <x v="3"/>
    <s v="Retail"/>
    <n v="61"/>
    <x v="1"/>
    <n v="2459"/>
  </r>
  <r>
    <s v="ORD-01055"/>
    <x v="295"/>
    <s v="CUST-0277"/>
    <s v="PROD-050"/>
    <x v="9"/>
    <n v="6"/>
    <n v="6080"/>
    <n v="25.8"/>
    <n v="27068.16"/>
    <s v="Completed"/>
    <s v="Chennai"/>
    <n v="0"/>
    <b v="1"/>
    <x v="5"/>
    <s v="Corporate"/>
    <n v="34"/>
    <x v="1"/>
    <n v="2617"/>
  </r>
  <r>
    <s v="ORD-01056"/>
    <x v="227"/>
    <s v="CUST-0232"/>
    <s v="PROD-041"/>
    <x v="9"/>
    <n v="5"/>
    <n v="1540"/>
    <n v="24.6"/>
    <n v="5805.8"/>
    <s v="Completed"/>
    <s v="Hyderabad"/>
    <n v="0"/>
    <b v="0"/>
    <x v="5"/>
    <s v="Retail"/>
    <n v="38"/>
    <x v="1"/>
    <n v="647"/>
  </r>
  <r>
    <s v="ORD-01057"/>
    <x v="280"/>
    <s v="CUST-0074"/>
    <s v="PROD-054"/>
    <x v="6"/>
    <n v="4"/>
    <n v="1010"/>
    <n v="2.9"/>
    <n v="3922.84"/>
    <s v="Pending"/>
    <s v="Bengaluru"/>
    <n v="0"/>
    <b v="1"/>
    <x v="1"/>
    <s v="Retail"/>
    <n v="27"/>
    <x v="2"/>
    <n v="516"/>
  </r>
  <r>
    <s v="ORD-01058"/>
    <x v="261"/>
    <s v="CUST-0068"/>
    <s v="PROD-049"/>
    <x v="17"/>
    <n v="5"/>
    <n v="960"/>
    <n v="11.4"/>
    <n v="4252.8"/>
    <s v="Completed"/>
    <s v="Delhi"/>
    <n v="0"/>
    <b v="1"/>
    <x v="5"/>
    <s v="SMB"/>
    <n v="48"/>
    <x v="2"/>
    <n v="675"/>
  </r>
  <r>
    <s v="ORD-01059"/>
    <x v="111"/>
    <s v="CUST-0152"/>
    <s v="PROD-041"/>
    <x v="9"/>
    <n v="1"/>
    <n v="1540"/>
    <n v="5.6"/>
    <n v="1453.76"/>
    <s v="Completed"/>
    <s v="Bengaluru"/>
    <n v="0"/>
    <b v="0"/>
    <x v="5"/>
    <s v="SMB"/>
    <n v="64"/>
    <x v="1"/>
    <n v="647"/>
  </r>
  <r>
    <s v="ORD-01060"/>
    <x v="245"/>
    <s v="CUST-0046"/>
    <s v="PROD-043"/>
    <x v="7"/>
    <n v="9"/>
    <n v="3350"/>
    <n v="2.1"/>
    <n v="29516.85"/>
    <s v="Completed"/>
    <s v="Delhi"/>
    <n v="0"/>
    <b v="1"/>
    <x v="5"/>
    <s v="SMB"/>
    <n v="45"/>
    <x v="3"/>
    <n v="1728"/>
  </r>
  <r>
    <s v="ORD-01061"/>
    <x v="260"/>
    <s v="CUST-0201"/>
    <s v="PROD-051"/>
    <x v="13"/>
    <n v="7"/>
    <n v="3450"/>
    <n v="4.7"/>
    <n v="23014.95"/>
    <s v="Completed"/>
    <s v="Hyderabad"/>
    <n v="0"/>
    <b v="1"/>
    <x v="1"/>
    <s v="Retail"/>
    <n v="31"/>
    <x v="3"/>
    <n v="2467"/>
  </r>
  <r>
    <s v="ORD-01062"/>
    <x v="345"/>
    <s v="CUST-0191"/>
    <s v="PROD-057"/>
    <x v="7"/>
    <n v="10"/>
    <n v="960"/>
    <n v="17.899999999999999"/>
    <n v="7881.6"/>
    <s v="Completed"/>
    <s v="Hyderabad"/>
    <n v="0"/>
    <b v="1"/>
    <x v="1"/>
    <s v="SMB"/>
    <n v="43"/>
    <x v="3"/>
    <n v="705"/>
  </r>
  <r>
    <s v="ORD-01063"/>
    <x v="7"/>
    <s v="CUST-0192"/>
    <s v="PROD-013"/>
    <x v="2"/>
    <n v="1"/>
    <n v="3640"/>
    <n v="8.8000000000000007"/>
    <n v="3319.68"/>
    <s v="Completed"/>
    <s v="Bengaluru"/>
    <n v="0"/>
    <b v="1"/>
    <x v="0"/>
    <s v="Retail"/>
    <n v="55"/>
    <x v="1"/>
    <n v="2611"/>
  </r>
  <r>
    <s v="ORD-01064"/>
    <x v="239"/>
    <s v="CUST-0074"/>
    <s v="PROD-029"/>
    <x v="21"/>
    <n v="1"/>
    <n v="2210"/>
    <n v="10.7"/>
    <n v="1973.53"/>
    <s v="Completed"/>
    <s v="Bengaluru"/>
    <n v="0"/>
    <b v="1"/>
    <x v="2"/>
    <s v="Retail"/>
    <n v="27"/>
    <x v="3"/>
    <n v="1010"/>
  </r>
  <r>
    <s v="ORD-01065"/>
    <x v="125"/>
    <s v="CUST-0071"/>
    <s v="PROD-031"/>
    <x v="1"/>
    <n v="2"/>
    <n v="3730"/>
    <n v="13.9"/>
    <n v="6423.06"/>
    <s v="Completed"/>
    <s v="Delhi"/>
    <n v="0"/>
    <b v="1"/>
    <x v="3"/>
    <s v="Corporate"/>
    <n v="46"/>
    <x v="0"/>
    <n v="2135"/>
  </r>
  <r>
    <s v="ORD-01066"/>
    <x v="176"/>
    <s v="CUST-0210"/>
    <s v="PROD-052"/>
    <x v="9"/>
    <n v="7"/>
    <n v="5410"/>
    <n v="23.6"/>
    <n v="28932.68"/>
    <s v="Completed"/>
    <s v="Pune"/>
    <n v="0"/>
    <b v="1"/>
    <x v="1"/>
    <s v="Corporate"/>
    <n v="48"/>
    <x v="1"/>
    <n v="2265"/>
  </r>
  <r>
    <s v="ORD-01067"/>
    <x v="221"/>
    <s v="CUST-0054"/>
    <s v="PROD-027"/>
    <x v="26"/>
    <n v="7"/>
    <n v="3780"/>
    <n v="8.5"/>
    <n v="24210.9"/>
    <s v="Cancelled"/>
    <s v="Mumbai"/>
    <n v="0"/>
    <b v="1"/>
    <x v="2"/>
    <s v="Corporate"/>
    <n v="62"/>
    <x v="3"/>
    <n v="2436"/>
  </r>
  <r>
    <s v="ORD-01068"/>
    <x v="122"/>
    <s v="CUST-0194"/>
    <s v="PROD-039"/>
    <x v="29"/>
    <n v="9"/>
    <n v="4610"/>
    <n v="26.6"/>
    <n v="30453.66"/>
    <s v="Completed"/>
    <s v="Delhi"/>
    <n v="0"/>
    <b v="1"/>
    <x v="3"/>
    <s v="SMB"/>
    <n v="55"/>
    <x v="1"/>
    <n v="1850"/>
  </r>
  <r>
    <s v="ORD-01069"/>
    <x v="41"/>
    <s v="CUST-0231"/>
    <s v="PROD-010"/>
    <x v="5"/>
    <n v="5"/>
    <n v="2640"/>
    <n v="1.5"/>
    <n v="13002"/>
    <s v="Completed"/>
    <s v="Chennai"/>
    <n v="0"/>
    <b v="1"/>
    <x v="4"/>
    <s v="Retail"/>
    <n v="61"/>
    <x v="2"/>
    <n v="1149"/>
  </r>
  <r>
    <s v="ORD-01070"/>
    <x v="50"/>
    <s v="CUST-0053"/>
    <s v="PROD-014"/>
    <x v="9"/>
    <n v="3"/>
    <n v="3620"/>
    <n v="3.1"/>
    <n v="10523.34"/>
    <s v="Completed"/>
    <s v="Delhi"/>
    <n v="0"/>
    <b v="1"/>
    <x v="0"/>
    <s v="Retail"/>
    <n v="53"/>
    <x v="1"/>
    <n v="2509"/>
  </r>
  <r>
    <s v="ORD-01071"/>
    <x v="21"/>
    <s v="CUST-0290"/>
    <s v="PROD-053"/>
    <x v="26"/>
    <n v="5"/>
    <n v="470"/>
    <n v="10.6"/>
    <n v="2100.9"/>
    <s v="Cancelled"/>
    <s v="Delhi"/>
    <n v="0"/>
    <b v="0"/>
    <x v="1"/>
    <s v="Retail"/>
    <n v="63"/>
    <x v="3"/>
    <n v="302"/>
  </r>
  <r>
    <s v="ORD-01072"/>
    <x v="113"/>
    <s v="CUST-0261"/>
    <s v="PROD-001"/>
    <x v="18"/>
    <n v="7"/>
    <n v="5330"/>
    <n v="25"/>
    <n v="27982.5"/>
    <s v="Cancelled"/>
    <s v="Delhi"/>
    <n v="0"/>
    <b v="1"/>
    <x v="4"/>
    <s v="Retail"/>
    <n v="54"/>
    <x v="1"/>
    <n v="2405"/>
  </r>
  <r>
    <s v="ORD-01073"/>
    <x v="346"/>
    <s v="CUST-0045"/>
    <s v="PROD-050"/>
    <x v="2"/>
    <n v="1"/>
    <n v="6080"/>
    <n v="27.8"/>
    <n v="4389.76"/>
    <s v="Completed"/>
    <s v="Chennai"/>
    <n v="0"/>
    <b v="1"/>
    <x v="5"/>
    <s v="SMB"/>
    <n v="39"/>
    <x v="1"/>
    <n v="2617"/>
  </r>
  <r>
    <s v="ORD-01074"/>
    <x v="324"/>
    <s v="CUST-0064"/>
    <s v="PROD-043"/>
    <x v="6"/>
    <n v="6"/>
    <n v="3350"/>
    <n v="12"/>
    <n v="17688"/>
    <s v="Completed"/>
    <s v="Hyderabad"/>
    <n v="0"/>
    <b v="1"/>
    <x v="5"/>
    <s v="SMB"/>
    <n v="40"/>
    <x v="2"/>
    <n v="1728"/>
  </r>
  <r>
    <s v="ORD-01075"/>
    <x v="95"/>
    <s v="CUST-9754"/>
    <s v="PROD-056"/>
    <x v="28"/>
    <n v="6"/>
    <n v="6940"/>
    <n v="20"/>
    <n v="33312"/>
    <s v="Completed"/>
    <s v="Chennai"/>
    <n v="0"/>
    <b v="1"/>
    <x v="1"/>
    <e v="#N/A"/>
    <e v="#N/A"/>
    <x v="2"/>
    <n v="2827"/>
  </r>
  <r>
    <s v="ORD-01076"/>
    <x v="184"/>
    <s v="CUST-0200"/>
    <s v="PROD-032"/>
    <x v="0"/>
    <n v="1"/>
    <n v="370"/>
    <n v="10"/>
    <n v="333"/>
    <s v="Completed"/>
    <s v="Hyderabad"/>
    <n v="0"/>
    <b v="1"/>
    <x v="3"/>
    <s v="Corporate"/>
    <n v="46"/>
    <x v="0"/>
    <n v="288"/>
  </r>
  <r>
    <s v="ORD-01077"/>
    <x v="39"/>
    <s v="CUST-0058"/>
    <s v="PROD-038"/>
    <x v="16"/>
    <n v="2"/>
    <n v="5490"/>
    <n v="27.9"/>
    <n v="7916.58"/>
    <s v="Completed"/>
    <s v="Bengaluru"/>
    <n v="0"/>
    <b v="1"/>
    <x v="3"/>
    <s v="SMB"/>
    <n v="49"/>
    <x v="3"/>
    <n v="2549"/>
  </r>
  <r>
    <s v="ORD-01078"/>
    <x v="319"/>
    <s v="CUST-0156"/>
    <s v="PROD-028"/>
    <x v="18"/>
    <n v="5"/>
    <n v="3660"/>
    <n v="4.5999999999999996"/>
    <n v="17458.2"/>
    <s v="Completed"/>
    <s v="Mumbai"/>
    <n v="0"/>
    <b v="0"/>
    <x v="2"/>
    <s v="Retail"/>
    <n v="33"/>
    <x v="1"/>
    <n v="2214"/>
  </r>
  <r>
    <s v="ORD-01079"/>
    <x v="232"/>
    <s v="CUST-0107"/>
    <s v="PROD-005"/>
    <x v="20"/>
    <n v="6"/>
    <n v="300"/>
    <n v="9"/>
    <n v="1638"/>
    <s v="Completed"/>
    <s v="Pune"/>
    <n v="0"/>
    <b v="1"/>
    <x v="4"/>
    <s v="Retail"/>
    <n v="50"/>
    <x v="2"/>
    <n v="128"/>
  </r>
  <r>
    <s v="ORD-01080"/>
    <x v="271"/>
    <s v="CUST-0184"/>
    <s v="PROD-005"/>
    <x v="27"/>
    <n v="3"/>
    <n v="300"/>
    <n v="19.2"/>
    <n v="727.2"/>
    <s v="Completed"/>
    <s v="Pune"/>
    <n v="0"/>
    <b v="1"/>
    <x v="4"/>
    <s v="Retail"/>
    <n v="63"/>
    <x v="1"/>
    <n v="128"/>
  </r>
  <r>
    <s v="ORD-01081"/>
    <x v="205"/>
    <s v="CUST-0202"/>
    <s v="PROD-049"/>
    <x v="2"/>
    <n v="6"/>
    <n v="960"/>
    <n v="29.3"/>
    <n v="4072.32"/>
    <s v="Cancelled"/>
    <s v="Chennai"/>
    <n v="0"/>
    <b v="1"/>
    <x v="5"/>
    <s v="Retail"/>
    <n v="39"/>
    <x v="1"/>
    <n v="675"/>
  </r>
  <r>
    <s v="ORD-01082"/>
    <x v="266"/>
    <s v="CUST-0137"/>
    <s v="PROD-022"/>
    <x v="5"/>
    <n v="1"/>
    <n v="2270"/>
    <n v="12.4"/>
    <n v="1988.52"/>
    <s v="Completed"/>
    <s v="Mumbai"/>
    <n v="0"/>
    <b v="1"/>
    <x v="2"/>
    <s v="Retail"/>
    <n v="41"/>
    <x v="2"/>
    <n v="1412"/>
  </r>
  <r>
    <s v="ORD-01083"/>
    <x v="110"/>
    <s v="CUST-0108"/>
    <s v="PROD-033"/>
    <x v="28"/>
    <n v="10"/>
    <n v="2030"/>
    <n v="4"/>
    <n v="19488"/>
    <s v="Completed"/>
    <s v="Bengaluru"/>
    <n v="0"/>
    <b v="1"/>
    <x v="3"/>
    <s v="Corporate"/>
    <n v="59"/>
    <x v="2"/>
    <n v="1143"/>
  </r>
  <r>
    <s v="ORD-01084"/>
    <x v="303"/>
    <s v="CUST-0126"/>
    <s v="PROD-040"/>
    <x v="13"/>
    <n v="9"/>
    <n v="1080"/>
    <n v="19.2"/>
    <n v="7853.76"/>
    <s v="Pending"/>
    <s v="Mumbai"/>
    <n v="0"/>
    <b v="1"/>
    <x v="3"/>
    <s v="Retail"/>
    <n v="37"/>
    <x v="3"/>
    <n v="519"/>
  </r>
  <r>
    <s v="ORD-01085"/>
    <x v="113"/>
    <s v="CUST-0107"/>
    <s v="PROD-055"/>
    <x v="5"/>
    <n v="5"/>
    <n v="2860"/>
    <n v="25"/>
    <n v="10725"/>
    <s v="Pending"/>
    <s v="Pune"/>
    <n v="0"/>
    <b v="1"/>
    <x v="1"/>
    <s v="Retail"/>
    <n v="50"/>
    <x v="2"/>
    <n v="2028"/>
  </r>
  <r>
    <s v="ORD-01086"/>
    <x v="276"/>
    <s v="CUST-0071"/>
    <s v="PROD-024"/>
    <x v="27"/>
    <n v="6"/>
    <n v="2270"/>
    <n v="9.3000000000000007"/>
    <n v="12353.34"/>
    <s v="Completed"/>
    <s v="Delhi"/>
    <n v="0"/>
    <b v="1"/>
    <x v="2"/>
    <s v="Corporate"/>
    <n v="46"/>
    <x v="1"/>
    <n v="1203"/>
  </r>
  <r>
    <s v="ORD-01087"/>
    <x v="60"/>
    <s v="CUST-0238"/>
    <s v="PROD-015"/>
    <x v="6"/>
    <n v="1"/>
    <n v="2720"/>
    <n v="15.2"/>
    <n v="2306.56"/>
    <s v="Completed"/>
    <s v="Delhi"/>
    <n v="0"/>
    <b v="1"/>
    <x v="0"/>
    <s v="Retail"/>
    <n v="49"/>
    <x v="2"/>
    <n v="1962"/>
  </r>
  <r>
    <s v="ORD-01088"/>
    <x v="198"/>
    <s v="CUST-0022"/>
    <s v="PROD-004"/>
    <x v="1"/>
    <n v="10"/>
    <n v="3870"/>
    <n v="4.9000000000000004"/>
    <n v="36803.699999999997"/>
    <s v="Cancelled"/>
    <s v="Bengaluru"/>
    <n v="0"/>
    <b v="1"/>
    <x v="4"/>
    <s v="Corporate"/>
    <n v="55"/>
    <x v="0"/>
    <n v="1559"/>
  </r>
  <r>
    <s v="ORD-01089"/>
    <x v="10"/>
    <s v="CUST-0100"/>
    <s v="PROD-011"/>
    <x v="7"/>
    <n v="8"/>
    <n v="3450"/>
    <n v="20.6"/>
    <n v="21914.400000000001"/>
    <s v="Completed"/>
    <s v="Hyderabad"/>
    <n v="0"/>
    <b v="1"/>
    <x v="0"/>
    <s v="Corporate"/>
    <n v="60"/>
    <x v="3"/>
    <n v="1748"/>
  </r>
  <r>
    <s v="ORD-01090"/>
    <x v="5"/>
    <s v="CUST-0263"/>
    <s v="PROD-053"/>
    <x v="25"/>
    <n v="1"/>
    <n v="470"/>
    <n v="5.4"/>
    <n v="444.62"/>
    <s v="Refunded"/>
    <s v="Mumbai"/>
    <n v="0"/>
    <b v="0"/>
    <x v="1"/>
    <s v="Retail"/>
    <n v="40"/>
    <x v="0"/>
    <n v="302"/>
  </r>
  <r>
    <s v="ORD-01091"/>
    <x v="171"/>
    <s v="CUST-0032"/>
    <s v="PROD-006"/>
    <x v="18"/>
    <n v="5"/>
    <n v="3970"/>
    <n v="5.8"/>
    <n v="18698.7"/>
    <s v="Completed"/>
    <s v="Hyderabad"/>
    <n v="0"/>
    <b v="1"/>
    <x v="4"/>
    <s v="Retail"/>
    <n v="28"/>
    <x v="1"/>
    <n v="2865"/>
  </r>
  <r>
    <s v="ORD-01092"/>
    <x v="277"/>
    <s v="CUST-0227"/>
    <s v="PROD-048"/>
    <x v="27"/>
    <n v="2"/>
    <n v="5100"/>
    <n v="19.899999999999999"/>
    <n v="8170.2"/>
    <s v="Completed"/>
    <s v="Bengaluru"/>
    <n v="0"/>
    <b v="1"/>
    <x v="5"/>
    <s v="SMB"/>
    <n v="44"/>
    <x v="1"/>
    <n v="2237"/>
  </r>
  <r>
    <s v="ORD-01093"/>
    <x v="165"/>
    <s v="CUST-0124"/>
    <s v="PROD-047"/>
    <x v="19"/>
    <n v="6"/>
    <n v="3450"/>
    <n v="13"/>
    <n v="18009"/>
    <s v="Completed"/>
    <s v="Pune"/>
    <n v="0"/>
    <b v="1"/>
    <x v="5"/>
    <s v="Retail"/>
    <n v="57"/>
    <x v="0"/>
    <n v="2420"/>
  </r>
  <r>
    <s v="ORD-01094"/>
    <x v="168"/>
    <s v="CUST-0276"/>
    <s v="PROD-031"/>
    <x v="27"/>
    <n v="9"/>
    <n v="3730"/>
    <n v="15.5"/>
    <n v="28366.65"/>
    <s v="Completed"/>
    <s v="Chennai"/>
    <n v="0"/>
    <b v="1"/>
    <x v="3"/>
    <s v="Retail"/>
    <n v="26"/>
    <x v="1"/>
    <n v="2135"/>
  </r>
  <r>
    <s v="ORD-01095"/>
    <x v="242"/>
    <s v="CUST-0100"/>
    <s v="PROD-049"/>
    <x v="16"/>
    <n v="5"/>
    <n v="960"/>
    <n v="9.3000000000000007"/>
    <n v="4353.6000000000004"/>
    <s v="Completed"/>
    <s v="Hyderabad"/>
    <n v="0"/>
    <b v="1"/>
    <x v="5"/>
    <s v="Corporate"/>
    <n v="60"/>
    <x v="3"/>
    <n v="675"/>
  </r>
  <r>
    <s v="ORD-01096"/>
    <x v="187"/>
    <s v="CUST-0221"/>
    <s v="PROD-034"/>
    <x v="4"/>
    <n v="3"/>
    <n v="5080"/>
    <n v="17.399999999999999"/>
    <n v="12588.24"/>
    <s v="Cancelled"/>
    <s v="Delhi"/>
    <n v="0"/>
    <b v="1"/>
    <x v="3"/>
    <s v="SMB"/>
    <n v="29"/>
    <x v="0"/>
    <n v="2459"/>
  </r>
  <r>
    <s v="ORD-01097"/>
    <x v="212"/>
    <s v="CUST-0266"/>
    <s v="PROD-004"/>
    <x v="11"/>
    <n v="4"/>
    <n v="3870"/>
    <n v="20.5"/>
    <n v="12306.6"/>
    <s v="Pending"/>
    <s v="Pune"/>
    <n v="0"/>
    <b v="1"/>
    <x v="4"/>
    <s v="Retail"/>
    <n v="65"/>
    <x v="0"/>
    <n v="1559"/>
  </r>
  <r>
    <s v="ORD-01098"/>
    <x v="72"/>
    <s v="CUST-0210"/>
    <s v="PROD-059"/>
    <x v="6"/>
    <n v="1"/>
    <n v="3780"/>
    <n v="21.5"/>
    <n v="2967.3"/>
    <s v="Completed"/>
    <s v="Pune"/>
    <n v="0"/>
    <b v="1"/>
    <x v="1"/>
    <s v="Corporate"/>
    <n v="48"/>
    <x v="2"/>
    <n v="1860"/>
  </r>
  <r>
    <s v="ORD-01099"/>
    <x v="81"/>
    <s v="CUST-0293"/>
    <s v="PROD-004"/>
    <x v="21"/>
    <n v="3"/>
    <n v="3870"/>
    <n v="21.9"/>
    <n v="9067.41"/>
    <s v="Pending"/>
    <s v="Bengaluru"/>
    <n v="0"/>
    <b v="1"/>
    <x v="4"/>
    <s v="Retail"/>
    <n v="27"/>
    <x v="3"/>
    <n v="1559"/>
  </r>
  <r>
    <s v="ORD-01100"/>
    <x v="113"/>
    <s v="CUST-0291"/>
    <s v="PROD-033"/>
    <x v="18"/>
    <n v="4"/>
    <n v="2030"/>
    <n v="23.4"/>
    <n v="6219.92"/>
    <s v="Completed"/>
    <s v="Pune"/>
    <n v="0"/>
    <b v="1"/>
    <x v="3"/>
    <s v="SMB"/>
    <n v="29"/>
    <x v="1"/>
    <n v="1143"/>
  </r>
  <r>
    <s v="ORD-01101"/>
    <x v="192"/>
    <s v="CUST-0295"/>
    <s v="PROD-029"/>
    <x v="11"/>
    <n v="6"/>
    <n v="2210"/>
    <n v="9.1"/>
    <n v="12053.34"/>
    <s v="Completed"/>
    <s v="Delhi"/>
    <n v="0"/>
    <b v="1"/>
    <x v="2"/>
    <s v="SMB"/>
    <n v="48"/>
    <x v="0"/>
    <n v="1010"/>
  </r>
  <r>
    <s v="ORD-01102"/>
    <x v="180"/>
    <s v="CUST-0123"/>
    <s v="PROD-041"/>
    <x v="21"/>
    <n v="5"/>
    <n v="1540"/>
    <n v="18.100000000000001"/>
    <n v="6306.3"/>
    <s v="Completed"/>
    <s v="Chennai"/>
    <n v="0"/>
    <b v="0"/>
    <x v="5"/>
    <s v="Corporate"/>
    <n v="44"/>
    <x v="3"/>
    <n v="647"/>
  </r>
  <r>
    <s v="ORD-01103"/>
    <x v="274"/>
    <s v="CUST-0167"/>
    <s v="PROD-054"/>
    <x v="23"/>
    <n v="1"/>
    <n v="1010"/>
    <n v="7.3"/>
    <n v="936.27"/>
    <s v="Completed"/>
    <s v="Delhi"/>
    <n v="0"/>
    <b v="1"/>
    <x v="1"/>
    <s v="Retail"/>
    <n v="43"/>
    <x v="1"/>
    <n v="516"/>
  </r>
  <r>
    <s v="ORD-01104"/>
    <x v="107"/>
    <s v="CUST-0247"/>
    <s v="PROD-001"/>
    <x v="15"/>
    <n v="10"/>
    <n v="5330"/>
    <n v="27.3"/>
    <n v="38749.1"/>
    <s v="Completed"/>
    <s v="Pune"/>
    <n v="0"/>
    <b v="1"/>
    <x v="4"/>
    <s v="SMB"/>
    <n v="35"/>
    <x v="1"/>
    <n v="2405"/>
  </r>
  <r>
    <s v="ORD-01105"/>
    <x v="289"/>
    <s v="CUST-0224"/>
    <s v="PROD-003"/>
    <x v="24"/>
    <n v="7"/>
    <n v="3570"/>
    <n v="24.3"/>
    <n v="18917.43"/>
    <s v="Completed"/>
    <s v="Chennai"/>
    <n v="0"/>
    <b v="1"/>
    <x v="4"/>
    <s v="Corporate"/>
    <n v="24"/>
    <x v="3"/>
    <n v="1665"/>
  </r>
  <r>
    <s v="ORD-01106"/>
    <x v="28"/>
    <s v="CUST-0102"/>
    <s v="PROD-043"/>
    <x v="21"/>
    <n v="1"/>
    <n v="3350"/>
    <n v="14.9"/>
    <n v="2850.85"/>
    <s v="Completed"/>
    <s v="Chennai"/>
    <n v="0"/>
    <b v="1"/>
    <x v="5"/>
    <s v="SMB"/>
    <n v="62"/>
    <x v="3"/>
    <n v="1728"/>
  </r>
  <r>
    <s v="ORD-01107"/>
    <x v="110"/>
    <s v="CUST-0151"/>
    <s v="PROD-017"/>
    <x v="12"/>
    <n v="2"/>
    <n v="2510"/>
    <n v="10.6"/>
    <n v="4487.88"/>
    <s v="Completed"/>
    <s v="Mumbai"/>
    <n v="0"/>
    <b v="0"/>
    <x v="0"/>
    <s v="Retail"/>
    <n v="53"/>
    <x v="3"/>
    <n v="1075"/>
  </r>
  <r>
    <s v="ORD-01108"/>
    <x v="264"/>
    <s v="CUST-0182"/>
    <s v="PROD-030"/>
    <x v="5"/>
    <n v="5"/>
    <n v="970"/>
    <n v="6.8"/>
    <n v="4520.2"/>
    <s v="Pending"/>
    <s v="Mumbai"/>
    <n v="0"/>
    <b v="1"/>
    <x v="2"/>
    <s v="Retail"/>
    <n v="54"/>
    <x v="2"/>
    <n v="434"/>
  </r>
  <r>
    <s v="ORD-01109"/>
    <x v="281"/>
    <s v="CUST-0152"/>
    <s v="PROD-027"/>
    <x v="25"/>
    <n v="5"/>
    <n v="3780"/>
    <n v="16.600000000000001"/>
    <n v="15762.6"/>
    <s v="Completed"/>
    <s v="Bengaluru"/>
    <n v="0"/>
    <b v="1"/>
    <x v="2"/>
    <s v="SMB"/>
    <n v="64"/>
    <x v="0"/>
    <n v="2436"/>
  </r>
  <r>
    <s v="ORD-01110"/>
    <x v="229"/>
    <s v="CUST-0247"/>
    <s v="PROD-017"/>
    <x v="0"/>
    <n v="3"/>
    <n v="2510"/>
    <n v="24.9"/>
    <n v="5655.03"/>
    <s v="Cancelled"/>
    <s v="Pune"/>
    <n v="0"/>
    <b v="0"/>
    <x v="0"/>
    <s v="SMB"/>
    <n v="35"/>
    <x v="0"/>
    <n v="1075"/>
  </r>
  <r>
    <s v="ORD-01111"/>
    <x v="289"/>
    <s v="CUST-0220"/>
    <s v="PROD-033"/>
    <x v="4"/>
    <n v="3"/>
    <n v="2030"/>
    <n v="3.8"/>
    <n v="5858.58"/>
    <s v="Completed"/>
    <s v="Chennai"/>
    <n v="0"/>
    <b v="1"/>
    <x v="3"/>
    <s v="Retail"/>
    <n v="34"/>
    <x v="0"/>
    <n v="1143"/>
  </r>
  <r>
    <s v="ORD-01112"/>
    <x v="35"/>
    <s v="CUST-0206"/>
    <s v="PROD-060"/>
    <x v="2"/>
    <n v="9"/>
    <n v="190"/>
    <n v="5.4"/>
    <n v="1617.66"/>
    <s v="Completed"/>
    <s v="Mumbai"/>
    <n v="0"/>
    <b v="1"/>
    <x v="1"/>
    <s v="Retail"/>
    <n v="40"/>
    <x v="1"/>
    <n v="147"/>
  </r>
  <r>
    <s v="ORD-01113"/>
    <x v="200"/>
    <s v="CUST-0219"/>
    <s v="PROD-029"/>
    <x v="16"/>
    <n v="6"/>
    <n v="2210"/>
    <n v="29.4"/>
    <n v="9361.56"/>
    <s v="Completed"/>
    <s v="Chennai"/>
    <n v="0"/>
    <b v="1"/>
    <x v="2"/>
    <s v="Corporate"/>
    <n v="38"/>
    <x v="3"/>
    <n v="1010"/>
  </r>
  <r>
    <s v="ORD-01114"/>
    <x v="14"/>
    <s v="CUST-0298"/>
    <s v="PROD-013"/>
    <x v="1"/>
    <n v="4"/>
    <n v="3640"/>
    <n v="0.6"/>
    <n v="14472.64"/>
    <s v="Completed"/>
    <s v="Delhi"/>
    <n v="0"/>
    <b v="1"/>
    <x v="0"/>
    <s v="Retail"/>
    <n v="44"/>
    <x v="0"/>
    <n v="2611"/>
  </r>
  <r>
    <s v="ORD-01115"/>
    <x v="17"/>
    <s v="CUST-0254"/>
    <s v="PROD-009"/>
    <x v="18"/>
    <n v="9"/>
    <n v="1220"/>
    <n v="24.1"/>
    <n v="8333.82"/>
    <s v="Completed"/>
    <s v="Bengaluru"/>
    <n v="0"/>
    <b v="1"/>
    <x v="4"/>
    <s v="Retail"/>
    <n v="35"/>
    <x v="1"/>
    <n v="517"/>
  </r>
  <r>
    <s v="ORD-01116"/>
    <x v="73"/>
    <s v="CUST-0085"/>
    <s v="PROD-056"/>
    <x v="18"/>
    <n v="2"/>
    <n v="6940"/>
    <n v="27"/>
    <n v="10132.4"/>
    <s v="Completed"/>
    <s v="Chennai"/>
    <n v="0"/>
    <b v="1"/>
    <x v="1"/>
    <s v="Retail"/>
    <n v="26"/>
    <x v="1"/>
    <n v="2827"/>
  </r>
  <r>
    <s v="ORD-01117"/>
    <x v="117"/>
    <s v="CUST-0181"/>
    <s v="PROD-055"/>
    <x v="9"/>
    <n v="6"/>
    <n v="2860"/>
    <n v="6.6"/>
    <n v="16027.44"/>
    <s v="Completed"/>
    <s v="Delhi"/>
    <n v="0"/>
    <b v="1"/>
    <x v="1"/>
    <s v="SMB"/>
    <n v="38"/>
    <x v="1"/>
    <n v="2028"/>
  </r>
  <r>
    <s v="ORD-01118"/>
    <x v="182"/>
    <s v="CUST-0143"/>
    <s v="PROD-015"/>
    <x v="26"/>
    <n v="5"/>
    <n v="2720"/>
    <n v="21.4"/>
    <n v="10689.6"/>
    <s v="Completed"/>
    <s v="Chennai"/>
    <n v="0"/>
    <b v="1"/>
    <x v="0"/>
    <s v="SMB"/>
    <n v="52"/>
    <x v="3"/>
    <n v="1962"/>
  </r>
  <r>
    <s v="ORD-01119"/>
    <x v="338"/>
    <s v="CUST-0263"/>
    <s v="PROD-020"/>
    <x v="3"/>
    <n v="5"/>
    <n v="820"/>
    <n v="28.6"/>
    <n v="2927.4"/>
    <s v="Completed"/>
    <s v="Mumbai"/>
    <n v="0"/>
    <b v="1"/>
    <x v="0"/>
    <s v="Retail"/>
    <n v="40"/>
    <x v="0"/>
    <n v="391"/>
  </r>
  <r>
    <s v="ORD-01120"/>
    <x v="135"/>
    <s v="CUST-0105"/>
    <s v="PROD-042"/>
    <x v="24"/>
    <n v="6"/>
    <n v="2290"/>
    <n v="18.8"/>
    <n v="11156.88"/>
    <s v="Completed"/>
    <s v="Chennai"/>
    <n v="0"/>
    <b v="1"/>
    <x v="5"/>
    <s v="SMB"/>
    <n v="51"/>
    <x v="3"/>
    <n v="1219"/>
  </r>
  <r>
    <s v="ORD-01121"/>
    <x v="18"/>
    <s v="CUST-0256"/>
    <s v="PROD-047"/>
    <x v="13"/>
    <n v="6"/>
    <n v="3450"/>
    <n v="28.4"/>
    <n v="14821.2"/>
    <s v="Completed"/>
    <s v="Hyderabad"/>
    <n v="0"/>
    <b v="1"/>
    <x v="5"/>
    <s v="Retail"/>
    <n v="28"/>
    <x v="3"/>
    <n v="2420"/>
  </r>
  <r>
    <s v="ORD-01122"/>
    <x v="1"/>
    <s v="CUST-0260"/>
    <s v="PROD-033"/>
    <x v="25"/>
    <n v="10"/>
    <n v="2030"/>
    <n v="8"/>
    <n v="18676"/>
    <s v="Completed"/>
    <s v="Bengaluru"/>
    <n v="0"/>
    <b v="1"/>
    <x v="3"/>
    <s v="Retail"/>
    <n v="42"/>
    <x v="0"/>
    <n v="1143"/>
  </r>
  <r>
    <s v="ORD-01123"/>
    <x v="239"/>
    <s v="CUST-0233"/>
    <s v="PROD-058"/>
    <x v="24"/>
    <n v="1"/>
    <n v="2400"/>
    <n v="9.6999999999999993"/>
    <n v="2167.1999999999998"/>
    <s v="Completed"/>
    <s v="Mumbai"/>
    <n v="0"/>
    <b v="1"/>
    <x v="1"/>
    <s v="SMB"/>
    <n v="65"/>
    <x v="3"/>
    <n v="974"/>
  </r>
  <r>
    <s v="ORD-01124"/>
    <x v="264"/>
    <s v="CUST-0183"/>
    <s v="PROD-033"/>
    <x v="2"/>
    <n v="4"/>
    <n v="2030"/>
    <n v="24.8"/>
    <n v="6106.24"/>
    <s v="Pending"/>
    <s v="Mumbai"/>
    <n v="0"/>
    <b v="1"/>
    <x v="3"/>
    <s v="SMB"/>
    <n v="27"/>
    <x v="1"/>
    <n v="1143"/>
  </r>
  <r>
    <s v="ORD-01125"/>
    <x v="191"/>
    <s v="CUST-0142"/>
    <s v="PROD-025"/>
    <x v="25"/>
    <n v="5"/>
    <n v="4060"/>
    <n v="9.1"/>
    <n v="18452.7"/>
    <s v="Pending"/>
    <s v="Chennai"/>
    <n v="0"/>
    <b v="1"/>
    <x v="2"/>
    <s v="Corporate"/>
    <n v="55"/>
    <x v="0"/>
    <n v="2911"/>
  </r>
  <r>
    <s v="ORD-01126"/>
    <x v="334"/>
    <s v="CUST-0150"/>
    <s v="PROD-033"/>
    <x v="22"/>
    <n v="9"/>
    <n v="2030"/>
    <n v="15.9"/>
    <n v="15365.07"/>
    <s v="Pending"/>
    <s v="Pune"/>
    <n v="0"/>
    <b v="1"/>
    <x v="3"/>
    <s v="SMB"/>
    <n v="53"/>
    <x v="1"/>
    <n v="1143"/>
  </r>
  <r>
    <s v="ORD-01127"/>
    <x v="201"/>
    <s v="CUST-0001"/>
    <s v="PROD-043"/>
    <x v="2"/>
    <n v="1"/>
    <n v="3350"/>
    <n v="23.2"/>
    <n v="2572.8000000000002"/>
    <s v="Refunded"/>
    <s v="Pune"/>
    <n v="0"/>
    <b v="1"/>
    <x v="5"/>
    <s v="Retail"/>
    <n v="36"/>
    <x v="1"/>
    <n v="1728"/>
  </r>
  <r>
    <s v="ORD-01128"/>
    <x v="287"/>
    <s v="CUST-0104"/>
    <s v="PROD-037"/>
    <x v="3"/>
    <n v="4"/>
    <n v="660"/>
    <n v="27.1"/>
    <n v="1924.56"/>
    <s v="Completed"/>
    <s v="Hyderabad"/>
    <n v="0"/>
    <b v="1"/>
    <x v="3"/>
    <s v="Corporate"/>
    <n v="43"/>
    <x v="0"/>
    <n v="329"/>
  </r>
  <r>
    <s v="ORD-01129"/>
    <x v="236"/>
    <s v="CUST-0261"/>
    <s v="PROD-045"/>
    <x v="2"/>
    <n v="3"/>
    <n v="3020"/>
    <n v="7.2"/>
    <n v="8407.68"/>
    <s v="Completed"/>
    <s v="Delhi"/>
    <n v="0"/>
    <b v="1"/>
    <x v="5"/>
    <s v="Retail"/>
    <n v="54"/>
    <x v="1"/>
    <n v="1626"/>
  </r>
  <r>
    <s v="ORD-01130"/>
    <x v="132"/>
    <s v="CUST-0010"/>
    <s v="PROD-008"/>
    <x v="3"/>
    <n v="3"/>
    <n v="2660"/>
    <n v="0.2"/>
    <n v="7964.04"/>
    <s v="Completed"/>
    <s v="Mumbai"/>
    <n v="0"/>
    <b v="0"/>
    <x v="4"/>
    <s v="SMB"/>
    <n v="61"/>
    <x v="0"/>
    <n v="1259"/>
  </r>
  <r>
    <s v="ORD-01131"/>
    <x v="181"/>
    <s v="CUST-0237"/>
    <s v="PROD-054"/>
    <x v="3"/>
    <n v="4"/>
    <n v="1010"/>
    <n v="3.1"/>
    <n v="3914.76"/>
    <s v="Completed"/>
    <s v="Mumbai"/>
    <n v="0"/>
    <b v="1"/>
    <x v="1"/>
    <s v="Retail"/>
    <n v="49"/>
    <x v="0"/>
    <n v="516"/>
  </r>
  <r>
    <s v="ORD-01132"/>
    <x v="82"/>
    <s v="CUST-0128"/>
    <s v="PROD-038"/>
    <x v="21"/>
    <n v="5"/>
    <n v="5490"/>
    <n v="3.6"/>
    <n v="26461.8"/>
    <s v="Completed"/>
    <s v="Hyderabad"/>
    <n v="0"/>
    <b v="1"/>
    <x v="3"/>
    <s v="Retail"/>
    <n v="35"/>
    <x v="3"/>
    <n v="2549"/>
  </r>
  <r>
    <s v="ORD-01133"/>
    <x v="94"/>
    <s v="CUST-0182"/>
    <s v="PROD-058"/>
    <x v="7"/>
    <n v="1"/>
    <n v="2400"/>
    <n v="24.3"/>
    <n v="1816.8"/>
    <s v="Completed"/>
    <s v="Mumbai"/>
    <n v="0"/>
    <b v="1"/>
    <x v="1"/>
    <s v="Retail"/>
    <n v="54"/>
    <x v="3"/>
    <n v="974"/>
  </r>
  <r>
    <s v="ORD-01134"/>
    <x v="147"/>
    <s v="CUST-0131"/>
    <s v="PROD-037"/>
    <x v="18"/>
    <n v="8"/>
    <n v="660"/>
    <n v="19.8"/>
    <n v="4234.5600000000004"/>
    <s v="Completed"/>
    <s v="Delhi"/>
    <n v="0"/>
    <b v="1"/>
    <x v="3"/>
    <s v="SMB"/>
    <n v="28"/>
    <x v="1"/>
    <n v="329"/>
  </r>
  <r>
    <s v="ORD-01135"/>
    <x v="172"/>
    <s v="CUST-0023"/>
    <s v="PROD-001"/>
    <x v="29"/>
    <n v="9"/>
    <n v="5330"/>
    <n v="16.5"/>
    <n v="40054.949999999997"/>
    <s v="Completed"/>
    <s v="Chennai"/>
    <n v="0"/>
    <b v="1"/>
    <x v="4"/>
    <s v="SMB"/>
    <n v="43"/>
    <x v="1"/>
    <n v="2405"/>
  </r>
  <r>
    <s v="ORD-01136"/>
    <x v="340"/>
    <s v="CUST-0171"/>
    <s v="PROD-002"/>
    <x v="0"/>
    <n v="5"/>
    <n v="2600"/>
    <n v="0.3"/>
    <n v="12961"/>
    <s v="Completed"/>
    <s v="Chennai"/>
    <n v="0"/>
    <b v="1"/>
    <x v="4"/>
    <s v="Corporate"/>
    <n v="30"/>
    <x v="0"/>
    <n v="1052"/>
  </r>
  <r>
    <s v="ORD-01137"/>
    <x v="32"/>
    <s v="CUST-0116"/>
    <s v="PROD-034"/>
    <x v="26"/>
    <n v="4"/>
    <n v="5080"/>
    <n v="13.8"/>
    <n v="17515.84"/>
    <s v="Pending"/>
    <s v="Bengaluru"/>
    <n v="0"/>
    <b v="1"/>
    <x v="3"/>
    <s v="Retail"/>
    <n v="53"/>
    <x v="3"/>
    <n v="2459"/>
  </r>
  <r>
    <s v="ORD-01138"/>
    <x v="100"/>
    <s v="CUST-0021"/>
    <s v="PROD-023"/>
    <x v="25"/>
    <n v="7"/>
    <n v="2380"/>
    <n v="15.5"/>
    <n v="14077.7"/>
    <s v="Completed"/>
    <s v="Pune"/>
    <n v="0"/>
    <b v="1"/>
    <x v="2"/>
    <s v="Retail"/>
    <n v="44"/>
    <x v="0"/>
    <n v="1182"/>
  </r>
  <r>
    <s v="ORD-01139"/>
    <x v="83"/>
    <s v="CUST-0234"/>
    <s v="PROD-046"/>
    <x v="3"/>
    <n v="3"/>
    <n v="4880"/>
    <n v="6.1"/>
    <n v="13746.96"/>
    <s v="Completed"/>
    <s v="Bengaluru"/>
    <n v="0"/>
    <b v="1"/>
    <x v="5"/>
    <s v="Retail"/>
    <n v="34"/>
    <x v="0"/>
    <n v="2768"/>
  </r>
  <r>
    <s v="ORD-01140"/>
    <x v="36"/>
    <s v="CUST-0225"/>
    <s v="PROD-043"/>
    <x v="18"/>
    <n v="2"/>
    <n v="3350"/>
    <n v="17.2"/>
    <n v="5547.6"/>
    <s v="Completed"/>
    <s v="Chennai"/>
    <n v="0"/>
    <b v="1"/>
    <x v="5"/>
    <s v="SMB"/>
    <n v="26"/>
    <x v="1"/>
    <n v="1728"/>
  </r>
  <r>
    <s v="ORD-01141"/>
    <x v="238"/>
    <s v="CUST-0268"/>
    <s v="PROD-030"/>
    <x v="6"/>
    <n v="5"/>
    <n v="970"/>
    <n v="23.6"/>
    <n v="3705.4"/>
    <s v="Completed"/>
    <s v="Chennai"/>
    <n v="0"/>
    <b v="1"/>
    <x v="2"/>
    <s v="Retail"/>
    <n v="35"/>
    <x v="2"/>
    <n v="434"/>
  </r>
  <r>
    <s v="ORD-01142"/>
    <x v="215"/>
    <s v="CUST-0248"/>
    <s v="PROD-005"/>
    <x v="24"/>
    <n v="5"/>
    <n v="300"/>
    <n v="3.8"/>
    <n v="1443"/>
    <s v="Completed"/>
    <s v="Chennai"/>
    <n v="0"/>
    <b v="1"/>
    <x v="4"/>
    <s v="SMB"/>
    <n v="57"/>
    <x v="3"/>
    <n v="128"/>
  </r>
  <r>
    <s v="ORD-01143"/>
    <x v="243"/>
    <s v="CUST-0026"/>
    <s v="PROD-006"/>
    <x v="1"/>
    <n v="9"/>
    <n v="3970"/>
    <n v="0.8"/>
    <n v="35444.160000000003"/>
    <s v="Completed"/>
    <s v="Pune"/>
    <n v="0"/>
    <b v="1"/>
    <x v="4"/>
    <s v="Retail"/>
    <n v="62"/>
    <x v="0"/>
    <n v="2865"/>
  </r>
  <r>
    <s v="ORD-01144"/>
    <x v="242"/>
    <s v="CUST-0257"/>
    <s v="PROD-015"/>
    <x v="22"/>
    <n v="4"/>
    <n v="2720"/>
    <n v="12.7"/>
    <n v="9498.24"/>
    <s v="Completed"/>
    <s v="Mumbai"/>
    <n v="0"/>
    <b v="1"/>
    <x v="0"/>
    <s v="Corporate"/>
    <n v="46"/>
    <x v="1"/>
    <n v="1962"/>
  </r>
  <r>
    <s v="ORD-01145"/>
    <x v="249"/>
    <s v="CUST-0258"/>
    <s v="PROD-016"/>
    <x v="13"/>
    <n v="3"/>
    <n v="620"/>
    <n v="5.5"/>
    <n v="1757.7"/>
    <s v="Completed"/>
    <s v="Pune"/>
    <n v="0"/>
    <b v="1"/>
    <x v="0"/>
    <s v="Retail"/>
    <n v="44"/>
    <x v="3"/>
    <n v="396"/>
  </r>
  <r>
    <s v="ORD-01146"/>
    <x v="319"/>
    <s v="CUST-0142"/>
    <s v="PROD-041"/>
    <x v="6"/>
    <n v="2"/>
    <n v="1540"/>
    <n v="2.2000000000000002"/>
    <n v="3012.24"/>
    <s v="Pending"/>
    <s v="Chennai"/>
    <n v="0"/>
    <b v="0"/>
    <x v="5"/>
    <s v="Corporate"/>
    <n v="55"/>
    <x v="2"/>
    <n v="647"/>
  </r>
  <r>
    <s v="ORD-01147"/>
    <x v="166"/>
    <s v="CUST-0020"/>
    <s v="PROD-042"/>
    <x v="17"/>
    <n v="1"/>
    <n v="2290"/>
    <n v="24.4"/>
    <n v="1731.24"/>
    <s v="Cancelled"/>
    <s v="Hyderabad"/>
    <n v="0"/>
    <b v="1"/>
    <x v="5"/>
    <s v="Retail"/>
    <n v="46"/>
    <x v="2"/>
    <n v="1219"/>
  </r>
  <r>
    <s v="ORD-01148"/>
    <x v="343"/>
    <s v="CUST-0016"/>
    <s v="PROD-015"/>
    <x v="26"/>
    <n v="8"/>
    <n v="2720"/>
    <n v="1.7"/>
    <n v="21390.080000000002"/>
    <s v="Completed"/>
    <s v="Delhi"/>
    <n v="0"/>
    <b v="1"/>
    <x v="0"/>
    <s v="SMB"/>
    <n v="26"/>
    <x v="3"/>
    <n v="1962"/>
  </r>
  <r>
    <s v="ORD-01149"/>
    <x v="69"/>
    <s v="CUST-0288"/>
    <s v="PROD-025"/>
    <x v="12"/>
    <n v="4"/>
    <n v="4060"/>
    <n v="19.600000000000001"/>
    <n v="13056.96"/>
    <s v="Cancelled"/>
    <s v="Hyderabad"/>
    <n v="0"/>
    <b v="1"/>
    <x v="2"/>
    <s v="Corporate"/>
    <n v="25"/>
    <x v="3"/>
    <n v="2911"/>
  </r>
  <r>
    <s v="ORD-01150"/>
    <x v="43"/>
    <s v="CUST-0133"/>
    <s v="PROD-003"/>
    <x v="29"/>
    <n v="8"/>
    <n v="3570"/>
    <n v="10.8"/>
    <n v="25475.52"/>
    <s v="Completed"/>
    <s v="Chennai"/>
    <n v="0"/>
    <b v="1"/>
    <x v="4"/>
    <s v="Retail"/>
    <n v="26"/>
    <x v="1"/>
    <n v="1665"/>
  </r>
  <r>
    <s v="ORD-01151"/>
    <x v="258"/>
    <s v="CUST-0192"/>
    <s v="PROD-051"/>
    <x v="10"/>
    <n v="10"/>
    <n v="3450"/>
    <n v="13.5"/>
    <n v="29842.5"/>
    <s v="Pending"/>
    <s v="Bengaluru"/>
    <n v="0"/>
    <b v="1"/>
    <x v="1"/>
    <s v="Retail"/>
    <n v="55"/>
    <x v="0"/>
    <n v="2467"/>
  </r>
  <r>
    <s v="ORD-01152"/>
    <x v="277"/>
    <s v="CUST-0298"/>
    <s v="PROD-010"/>
    <x v="0"/>
    <n v="10"/>
    <n v="2640"/>
    <n v="29.8"/>
    <n v="18532.8"/>
    <s v="Completed"/>
    <s v="Delhi"/>
    <n v="0"/>
    <b v="1"/>
    <x v="4"/>
    <s v="Retail"/>
    <n v="44"/>
    <x v="0"/>
    <n v="1149"/>
  </r>
  <r>
    <s v="ORD-01153"/>
    <x v="204"/>
    <s v="CUST-0088"/>
    <s v="PROD-032"/>
    <x v="18"/>
    <n v="3"/>
    <n v="370"/>
    <n v="25.5"/>
    <n v="826.95"/>
    <s v="Completed"/>
    <s v="Chennai"/>
    <n v="0"/>
    <b v="1"/>
    <x v="3"/>
    <s v="Retail"/>
    <n v="24"/>
    <x v="1"/>
    <n v="288"/>
  </r>
  <r>
    <s v="ORD-01154"/>
    <x v="180"/>
    <s v="CUST-0274"/>
    <s v="PROD-009"/>
    <x v="14"/>
    <n v="3"/>
    <n v="1220"/>
    <n v="7.7"/>
    <n v="3378.18"/>
    <s v="Pending"/>
    <s v="Bengaluru"/>
    <n v="0"/>
    <b v="1"/>
    <x v="4"/>
    <s v="Corporate"/>
    <n v="36"/>
    <x v="2"/>
    <n v="517"/>
  </r>
  <r>
    <s v="ORD-01155"/>
    <x v="59"/>
    <s v="CUST-0165"/>
    <s v="PROD-010"/>
    <x v="24"/>
    <n v="1"/>
    <n v="2640"/>
    <n v="23.6"/>
    <n v="2016.96"/>
    <s v="Completed"/>
    <s v="Pune"/>
    <n v="0"/>
    <b v="1"/>
    <x v="4"/>
    <s v="Retail"/>
    <n v="29"/>
    <x v="3"/>
    <n v="1149"/>
  </r>
  <r>
    <s v="ORD-01156"/>
    <x v="232"/>
    <s v="CUST-0275"/>
    <s v="PROD-048"/>
    <x v="23"/>
    <n v="9"/>
    <n v="5100"/>
    <n v="9.5"/>
    <n v="41539.5"/>
    <s v="Completed"/>
    <s v="Mumbai"/>
    <n v="0"/>
    <b v="1"/>
    <x v="5"/>
    <s v="Retail"/>
    <n v="36"/>
    <x v="1"/>
    <n v="2237"/>
  </r>
  <r>
    <s v="ORD-01157"/>
    <x v="347"/>
    <s v="CUST-0225"/>
    <s v="PROD-050"/>
    <x v="4"/>
    <n v="7"/>
    <n v="6080"/>
    <n v="17.5"/>
    <n v="35112"/>
    <s v="Completed"/>
    <s v="Chennai"/>
    <n v="0"/>
    <b v="1"/>
    <x v="5"/>
    <s v="SMB"/>
    <n v="26"/>
    <x v="0"/>
    <n v="2617"/>
  </r>
  <r>
    <s v="ORD-01158"/>
    <x v="341"/>
    <s v="CUST-0059"/>
    <s v="PROD-005"/>
    <x v="17"/>
    <n v="1"/>
    <n v="300"/>
    <n v="26.9"/>
    <n v="219.3"/>
    <s v="Completed"/>
    <s v="Pune"/>
    <n v="0"/>
    <b v="1"/>
    <x v="4"/>
    <s v="Corporate"/>
    <n v="29"/>
    <x v="2"/>
    <n v="128"/>
  </r>
  <r>
    <s v="ORD-01159"/>
    <x v="181"/>
    <s v="CUST-0149"/>
    <s v="PROD-045"/>
    <x v="16"/>
    <n v="6"/>
    <n v="3020"/>
    <n v="28.5"/>
    <n v="12955.8"/>
    <s v="Completed"/>
    <s v="Hyderabad"/>
    <n v="0"/>
    <b v="1"/>
    <x v="5"/>
    <s v="Retail"/>
    <n v="44"/>
    <x v="3"/>
    <n v="1626"/>
  </r>
  <r>
    <s v="ORD-01160"/>
    <x v="137"/>
    <s v="CUST-0283"/>
    <s v="PROD-005"/>
    <x v="26"/>
    <n v="8"/>
    <n v="300"/>
    <n v="1.2"/>
    <n v="2371.1999999999998"/>
    <s v="Completed"/>
    <s v="Delhi"/>
    <n v="0"/>
    <b v="1"/>
    <x v="4"/>
    <s v="SMB"/>
    <n v="50"/>
    <x v="3"/>
    <n v="128"/>
  </r>
  <r>
    <s v="ORD-01161"/>
    <x v="271"/>
    <s v="CUST-0039"/>
    <s v="PROD-043"/>
    <x v="23"/>
    <n v="9"/>
    <n v="3350"/>
    <n v="0.6"/>
    <n v="29969.1"/>
    <s v="Refunded"/>
    <s v="Bengaluru"/>
    <n v="0"/>
    <b v="1"/>
    <x v="5"/>
    <s v="Retail"/>
    <n v="37"/>
    <x v="1"/>
    <n v="1728"/>
  </r>
  <r>
    <s v="ORD-01162"/>
    <x v="319"/>
    <s v="CUST-0046"/>
    <s v="PROD-026"/>
    <x v="6"/>
    <n v="4"/>
    <n v="4070"/>
    <n v="10.1"/>
    <n v="14635.72"/>
    <s v="Completed"/>
    <s v="Delhi"/>
    <n v="0"/>
    <b v="1"/>
    <x v="2"/>
    <s v="SMB"/>
    <n v="45"/>
    <x v="2"/>
    <n v="2027"/>
  </r>
  <r>
    <s v="ORD-01163"/>
    <x v="105"/>
    <s v="CUST-0105"/>
    <s v="PROD-059"/>
    <x v="6"/>
    <n v="9"/>
    <n v="3780"/>
    <n v="27.8"/>
    <n v="24562.44"/>
    <s v="Cancelled"/>
    <s v="Chennai"/>
    <n v="0"/>
    <b v="1"/>
    <x v="1"/>
    <s v="SMB"/>
    <n v="51"/>
    <x v="2"/>
    <n v="1860"/>
  </r>
  <r>
    <s v="ORD-01164"/>
    <x v="192"/>
    <s v="CUST-0006"/>
    <s v="PROD-040"/>
    <x v="14"/>
    <n v="6"/>
    <n v="1080"/>
    <n v="17.5"/>
    <n v="5346"/>
    <s v="Completed"/>
    <s v="Pune"/>
    <n v="0"/>
    <b v="1"/>
    <x v="3"/>
    <s v="SMB"/>
    <n v="44"/>
    <x v="2"/>
    <n v="519"/>
  </r>
  <r>
    <s v="ORD-01165"/>
    <x v="348"/>
    <s v="CUST-0192"/>
    <s v="PROD-002"/>
    <x v="12"/>
    <n v="3"/>
    <n v="2600"/>
    <n v="1.9"/>
    <n v="7651.8"/>
    <s v="Completed"/>
    <s v="Bengaluru"/>
    <n v="0"/>
    <b v="1"/>
    <x v="4"/>
    <s v="Retail"/>
    <n v="55"/>
    <x v="3"/>
    <n v="1052"/>
  </r>
  <r>
    <s v="ORD-01166"/>
    <x v="67"/>
    <s v="CUST-0290"/>
    <s v="PROD-015"/>
    <x v="4"/>
    <n v="5"/>
    <n v="2720"/>
    <n v="1.8"/>
    <n v="13355.2"/>
    <s v="Cancelled"/>
    <s v="Delhi"/>
    <n v="0"/>
    <b v="1"/>
    <x v="0"/>
    <s v="Retail"/>
    <n v="63"/>
    <x v="0"/>
    <n v="1962"/>
  </r>
  <r>
    <s v="ORD-01167"/>
    <x v="270"/>
    <s v="CUST-0287"/>
    <s v="PROD-028"/>
    <x v="27"/>
    <n v="8"/>
    <n v="3660"/>
    <n v="29.5"/>
    <n v="20642.400000000001"/>
    <s v="Completed"/>
    <s v="Chennai"/>
    <n v="0"/>
    <b v="0"/>
    <x v="2"/>
    <s v="SMB"/>
    <n v="53"/>
    <x v="1"/>
    <n v="2214"/>
  </r>
  <r>
    <s v="ORD-01168"/>
    <x v="237"/>
    <s v="CUST-0025"/>
    <s v="PROD-044"/>
    <x v="1"/>
    <n v="9"/>
    <n v="1650"/>
    <n v="19.8"/>
    <n v="11909.7"/>
    <s v="Refunded"/>
    <s v="Bengaluru"/>
    <n v="0"/>
    <b v="1"/>
    <x v="5"/>
    <s v="Retail"/>
    <n v="23"/>
    <x v="0"/>
    <n v="1222"/>
  </r>
  <r>
    <s v="ORD-01169"/>
    <x v="349"/>
    <s v="CUST-0139"/>
    <s v="PROD-055"/>
    <x v="7"/>
    <n v="3"/>
    <n v="2860"/>
    <n v="22.7"/>
    <n v="6632.34"/>
    <s v="Completed"/>
    <s v="Hyderabad"/>
    <n v="0"/>
    <b v="1"/>
    <x v="1"/>
    <s v="SMB"/>
    <n v="65"/>
    <x v="3"/>
    <n v="2028"/>
  </r>
  <r>
    <s v="ORD-01170"/>
    <x v="335"/>
    <s v="CUST-0278"/>
    <s v="PROD-051"/>
    <x v="5"/>
    <n v="4"/>
    <n v="3450"/>
    <n v="9.1999999999999993"/>
    <n v="12530.4"/>
    <s v="Completed"/>
    <s v="Hyderabad"/>
    <n v="0"/>
    <b v="1"/>
    <x v="1"/>
    <s v="Retail"/>
    <n v="41"/>
    <x v="2"/>
    <n v="2467"/>
  </r>
  <r>
    <s v="ORD-01171"/>
    <x v="171"/>
    <s v="CUST-0258"/>
    <s v="PROD-033"/>
    <x v="11"/>
    <n v="4"/>
    <n v="2030"/>
    <n v="17.100000000000001"/>
    <n v="6731.48"/>
    <s v="Completed"/>
    <s v="Pune"/>
    <n v="0"/>
    <b v="1"/>
    <x v="3"/>
    <s v="Retail"/>
    <n v="44"/>
    <x v="0"/>
    <n v="1143"/>
  </r>
  <r>
    <s v="ORD-01172"/>
    <x v="24"/>
    <s v="CUST-0106"/>
    <s v="PROD-022"/>
    <x v="29"/>
    <n v="4"/>
    <n v="2270"/>
    <n v="27.3"/>
    <n v="6601.16"/>
    <s v="Completed"/>
    <s v="Pune"/>
    <n v="0"/>
    <b v="1"/>
    <x v="2"/>
    <s v="Retail"/>
    <n v="22"/>
    <x v="1"/>
    <n v="1412"/>
  </r>
  <r>
    <s v="ORD-01173"/>
    <x v="41"/>
    <s v="CUST-0009"/>
    <s v="PROD-034"/>
    <x v="22"/>
    <n v="9"/>
    <n v="5080"/>
    <n v="10.9"/>
    <n v="40736.519999999997"/>
    <s v="Completed"/>
    <s v="Mumbai"/>
    <n v="0"/>
    <b v="1"/>
    <x v="3"/>
    <s v="Retail"/>
    <n v="61"/>
    <x v="1"/>
    <n v="2459"/>
  </r>
  <r>
    <s v="ORD-01174"/>
    <x v="341"/>
    <s v="CUST-0209"/>
    <s v="PROD-026"/>
    <x v="20"/>
    <n v="8"/>
    <n v="4070"/>
    <n v="17.7"/>
    <n v="26796.880000000001"/>
    <s v="Completed"/>
    <s v="Pune"/>
    <n v="0"/>
    <b v="1"/>
    <x v="2"/>
    <s v="Retail"/>
    <n v="31"/>
    <x v="2"/>
    <n v="2027"/>
  </r>
  <r>
    <s v="ORD-01175"/>
    <x v="332"/>
    <s v="CUST-0111"/>
    <s v="PROD-041"/>
    <x v="1"/>
    <n v="1"/>
    <n v="1540"/>
    <n v="0.9"/>
    <n v="1526.14"/>
    <s v="Completed"/>
    <s v="Chennai"/>
    <n v="0"/>
    <b v="0"/>
    <x v="5"/>
    <s v="SMB"/>
    <n v="64"/>
    <x v="0"/>
    <n v="647"/>
  </r>
  <r>
    <s v="ORD-01176"/>
    <x v="104"/>
    <s v="CUST-0014"/>
    <s v="PROD-048"/>
    <x v="6"/>
    <n v="10"/>
    <n v="5100"/>
    <n v="3"/>
    <n v="49470"/>
    <s v="Completed"/>
    <s v="Bengaluru"/>
    <n v="0"/>
    <b v="1"/>
    <x v="5"/>
    <s v="Retail"/>
    <n v="48"/>
    <x v="2"/>
    <n v="2237"/>
  </r>
  <r>
    <s v="ORD-01177"/>
    <x v="165"/>
    <s v="CUST-0073"/>
    <s v="PROD-014"/>
    <x v="3"/>
    <n v="6"/>
    <n v="3620"/>
    <n v="20.2"/>
    <n v="17332.560000000001"/>
    <s v="Completed"/>
    <s v="Pune"/>
    <n v="0"/>
    <b v="1"/>
    <x v="0"/>
    <s v="Corporate"/>
    <n v="40"/>
    <x v="0"/>
    <n v="2509"/>
  </r>
  <r>
    <s v="ORD-01178"/>
    <x v="258"/>
    <s v="CUST-0147"/>
    <s v="PROD-046"/>
    <x v="11"/>
    <n v="7"/>
    <n v="4880"/>
    <n v="5"/>
    <n v="32452"/>
    <s v="Completed"/>
    <s v="Pune"/>
    <n v="0"/>
    <b v="1"/>
    <x v="5"/>
    <s v="Retail"/>
    <n v="56"/>
    <x v="0"/>
    <n v="2768"/>
  </r>
  <r>
    <s v="ORD-01179"/>
    <x v="22"/>
    <s v="CUST-0006"/>
    <s v="PROD-010"/>
    <x v="6"/>
    <n v="1"/>
    <n v="2640"/>
    <n v="4.0999999999999996"/>
    <n v="2531.7600000000002"/>
    <s v="Completed"/>
    <s v="Pune"/>
    <n v="0"/>
    <b v="1"/>
    <x v="4"/>
    <s v="SMB"/>
    <n v="44"/>
    <x v="2"/>
    <n v="1149"/>
  </r>
  <r>
    <s v="ORD-01180"/>
    <x v="118"/>
    <s v="CUST-0031"/>
    <s v="PROD-026"/>
    <x v="16"/>
    <n v="9"/>
    <n v="4070"/>
    <n v="4.4000000000000004"/>
    <n v="35018.28"/>
    <s v="Completed"/>
    <s v="Hyderabad"/>
    <n v="0"/>
    <b v="1"/>
    <x v="2"/>
    <s v="Retail"/>
    <n v="53"/>
    <x v="3"/>
    <n v="2027"/>
  </r>
  <r>
    <s v="ORD-01181"/>
    <x v="7"/>
    <s v="CUST-0084"/>
    <s v="PROD-003"/>
    <x v="5"/>
    <n v="9"/>
    <n v="3570"/>
    <n v="24.8"/>
    <n v="24161.759999999998"/>
    <s v="Completed"/>
    <s v="Chennai"/>
    <n v="0"/>
    <b v="1"/>
    <x v="4"/>
    <s v="Retail"/>
    <n v="28"/>
    <x v="2"/>
    <n v="1665"/>
  </r>
  <r>
    <s v="ORD-01182"/>
    <x v="19"/>
    <s v="CUST-0203"/>
    <s v="PROD-043"/>
    <x v="1"/>
    <n v="10"/>
    <n v="3350"/>
    <n v="25.1"/>
    <n v="25091.5"/>
    <s v="Cancelled"/>
    <s v="Chennai"/>
    <n v="0"/>
    <b v="1"/>
    <x v="5"/>
    <s v="SMB"/>
    <n v="55"/>
    <x v="0"/>
    <n v="1728"/>
  </r>
  <r>
    <s v="ORD-01183"/>
    <x v="246"/>
    <s v="CUST-0138"/>
    <s v="PROD-059"/>
    <x v="5"/>
    <n v="3"/>
    <n v="3780"/>
    <n v="3.8"/>
    <n v="10909.08"/>
    <s v="Completed"/>
    <s v="Chennai"/>
    <n v="0"/>
    <b v="1"/>
    <x v="1"/>
    <s v="Retail"/>
    <n v="24"/>
    <x v="2"/>
    <n v="1860"/>
  </r>
  <r>
    <s v="ORD-01184"/>
    <x v="330"/>
    <s v="CUST-0157"/>
    <s v="PROD-003"/>
    <x v="4"/>
    <n v="4"/>
    <n v="3570"/>
    <n v="0.9"/>
    <n v="14151.48"/>
    <s v="Pending"/>
    <s v="Pune"/>
    <n v="0"/>
    <b v="1"/>
    <x v="4"/>
    <s v="Corporate"/>
    <n v="52"/>
    <x v="0"/>
    <n v="1665"/>
  </r>
  <r>
    <s v="ORD-01185"/>
    <x v="295"/>
    <s v="CUST-0298"/>
    <s v="PROD-055"/>
    <x v="6"/>
    <n v="5"/>
    <n v="2860"/>
    <n v="20.100000000000001"/>
    <n v="11425.7"/>
    <s v="Completed"/>
    <s v="Delhi"/>
    <n v="0"/>
    <b v="1"/>
    <x v="1"/>
    <s v="Retail"/>
    <n v="44"/>
    <x v="2"/>
    <n v="2028"/>
  </r>
  <r>
    <s v="ORD-01186"/>
    <x v="79"/>
    <s v="CUST-0132"/>
    <s v="PROD-016"/>
    <x v="11"/>
    <n v="1"/>
    <n v="620"/>
    <n v="1.1000000000000001"/>
    <n v="613.17999999999995"/>
    <s v="Cancelled"/>
    <s v="Delhi"/>
    <n v="0"/>
    <b v="1"/>
    <x v="0"/>
    <s v="Retail"/>
    <n v="41"/>
    <x v="0"/>
    <n v="396"/>
  </r>
  <r>
    <s v="ORD-01187"/>
    <x v="39"/>
    <s v="CUST-0006"/>
    <s v="PROD-003"/>
    <x v="27"/>
    <n v="1"/>
    <n v="3570"/>
    <n v="11.1"/>
    <n v="3173.73"/>
    <s v="Cancelled"/>
    <s v="Pune"/>
    <n v="0"/>
    <b v="1"/>
    <x v="4"/>
    <s v="SMB"/>
    <n v="44"/>
    <x v="1"/>
    <n v="1665"/>
  </r>
  <r>
    <s v="ORD-01188"/>
    <x v="317"/>
    <s v="CUST-0011"/>
    <s v="PROD-001"/>
    <x v="27"/>
    <n v="1"/>
    <n v="5330"/>
    <n v="3.5"/>
    <n v="5143.45"/>
    <s v="Completed"/>
    <s v="Chennai"/>
    <n v="0"/>
    <b v="1"/>
    <x v="4"/>
    <s v="Corporate"/>
    <n v="41"/>
    <x v="1"/>
    <n v="2405"/>
  </r>
  <r>
    <s v="ORD-01189"/>
    <x v="333"/>
    <s v="CUST-0170"/>
    <s v="PROD-052"/>
    <x v="26"/>
    <n v="7"/>
    <n v="5410"/>
    <n v="26.2"/>
    <n v="27948.06"/>
    <s v="Completed"/>
    <s v="Mumbai"/>
    <n v="0"/>
    <b v="1"/>
    <x v="1"/>
    <s v="SMB"/>
    <n v="22"/>
    <x v="3"/>
    <n v="2265"/>
  </r>
  <r>
    <s v="ORD-01190"/>
    <x v="163"/>
    <s v="CUST-0109"/>
    <s v="PROD-034"/>
    <x v="29"/>
    <n v="10"/>
    <n v="5080"/>
    <n v="3.7"/>
    <n v="48920.4"/>
    <s v="Pending"/>
    <s v="Pune"/>
    <n v="0"/>
    <b v="1"/>
    <x v="3"/>
    <s v="Retail"/>
    <n v="42"/>
    <x v="1"/>
    <n v="2459"/>
  </r>
  <r>
    <s v="ORD-01191"/>
    <x v="43"/>
    <s v="CUST-0066"/>
    <s v="PROD-003"/>
    <x v="1"/>
    <n v="9"/>
    <n v="3570"/>
    <n v="5.6"/>
    <n v="30330.720000000001"/>
    <s v="Completed"/>
    <s v="Delhi"/>
    <n v="0"/>
    <b v="1"/>
    <x v="4"/>
    <s v="Retail"/>
    <n v="24"/>
    <x v="0"/>
    <n v="1665"/>
  </r>
  <r>
    <s v="ORD-01192"/>
    <x v="165"/>
    <s v="CUST-0055"/>
    <s v="PROD-030"/>
    <x v="24"/>
    <n v="9"/>
    <n v="970"/>
    <n v="19.5"/>
    <n v="7027.65"/>
    <s v="Completed"/>
    <s v="Bengaluru"/>
    <n v="0"/>
    <b v="1"/>
    <x v="2"/>
    <s v="Retail"/>
    <n v="34"/>
    <x v="3"/>
    <n v="434"/>
  </r>
  <r>
    <s v="ORD-01193"/>
    <x v="298"/>
    <s v="CUST-0298"/>
    <s v="PROD-005"/>
    <x v="18"/>
    <n v="10"/>
    <n v="300"/>
    <n v="23"/>
    <n v="2310"/>
    <s v="Cancelled"/>
    <s v="Delhi"/>
    <n v="0"/>
    <b v="1"/>
    <x v="4"/>
    <s v="Retail"/>
    <n v="44"/>
    <x v="1"/>
    <n v="128"/>
  </r>
  <r>
    <s v="ORD-01194"/>
    <x v="319"/>
    <s v="CUST-0024"/>
    <s v="PROD-050"/>
    <x v="11"/>
    <n v="10"/>
    <n v="6080"/>
    <n v="3.9"/>
    <n v="58428.800000000003"/>
    <s v="Completed"/>
    <s v="Chennai"/>
    <n v="0"/>
    <b v="1"/>
    <x v="5"/>
    <s v="SMB"/>
    <n v="64"/>
    <x v="0"/>
    <n v="2617"/>
  </r>
  <r>
    <s v="ORD-01195"/>
    <x v="149"/>
    <s v="CUST-0008"/>
    <s v="PROD-048"/>
    <x v="23"/>
    <n v="2"/>
    <n v="5100"/>
    <n v="11"/>
    <n v="9078"/>
    <s v="Completed"/>
    <s v="Pune"/>
    <n v="0"/>
    <b v="1"/>
    <x v="5"/>
    <s v="SMB"/>
    <n v="39"/>
    <x v="1"/>
    <n v="2237"/>
  </r>
  <r>
    <s v="ORD-01196"/>
    <x v="18"/>
    <s v="CUST-0070"/>
    <s v="PROD-011"/>
    <x v="7"/>
    <n v="9"/>
    <n v="3450"/>
    <n v="23.7"/>
    <n v="23691.15"/>
    <s v="Completed"/>
    <s v="Mumbai"/>
    <n v="0"/>
    <b v="1"/>
    <x v="0"/>
    <s v="Retail"/>
    <n v="42"/>
    <x v="3"/>
    <n v="1748"/>
  </r>
  <r>
    <s v="ORD-01197"/>
    <x v="164"/>
    <s v="CUST-0270"/>
    <s v="PROD-019"/>
    <x v="23"/>
    <n v="5"/>
    <n v="2480"/>
    <n v="20.399999999999999"/>
    <n v="9870.4"/>
    <s v="Completed"/>
    <s v="Bengaluru"/>
    <n v="0"/>
    <b v="1"/>
    <x v="0"/>
    <s v="Retail"/>
    <n v="29"/>
    <x v="1"/>
    <n v="1173"/>
  </r>
  <r>
    <s v="ORD-01198"/>
    <x v="323"/>
    <s v="CUST-0175"/>
    <s v="PROD-060"/>
    <x v="9"/>
    <n v="4"/>
    <n v="190"/>
    <n v="2.6"/>
    <n v="740.24"/>
    <s v="Completed"/>
    <s v="Delhi"/>
    <n v="0"/>
    <b v="1"/>
    <x v="1"/>
    <s v="Corporate"/>
    <n v="55"/>
    <x v="1"/>
    <n v="147"/>
  </r>
  <r>
    <s v="ORD-01199"/>
    <x v="212"/>
    <s v="CUST-0227"/>
    <s v="PROD-022"/>
    <x v="16"/>
    <n v="4"/>
    <n v="2270"/>
    <n v="8.1"/>
    <n v="8344.52"/>
    <s v="Pending"/>
    <s v="Bengaluru"/>
    <n v="0"/>
    <b v="1"/>
    <x v="2"/>
    <s v="SMB"/>
    <n v="44"/>
    <x v="3"/>
    <n v="1412"/>
  </r>
  <r>
    <s v="ORD-01200"/>
    <x v="169"/>
    <s v="CUST-0041"/>
    <s v="PROD-017"/>
    <x v="8"/>
    <n v="7"/>
    <n v="2510"/>
    <n v="25.5"/>
    <n v="13089.65"/>
    <s v="Completed"/>
    <s v="Bengaluru"/>
    <n v="0"/>
    <b v="0"/>
    <x v="0"/>
    <s v="SMB"/>
    <n v="26"/>
    <x v="2"/>
    <n v="1075"/>
  </r>
  <r>
    <s v="ORD-01201"/>
    <x v="318"/>
    <s v="CUST-0147"/>
    <s v="PROD-059"/>
    <x v="10"/>
    <n v="3"/>
    <n v="3780"/>
    <n v="16.8"/>
    <n v="9434.8799999999992"/>
    <s v="Completed"/>
    <s v="Pune"/>
    <n v="0"/>
    <b v="1"/>
    <x v="1"/>
    <s v="Retail"/>
    <n v="56"/>
    <x v="0"/>
    <n v="1860"/>
  </r>
  <r>
    <s v="ORD-01202"/>
    <x v="79"/>
    <s v="CUST-0185"/>
    <s v="PROD-003"/>
    <x v="9"/>
    <n v="7"/>
    <n v="3570"/>
    <n v="23.7"/>
    <n v="19067.37"/>
    <s v="Completed"/>
    <s v="Hyderabad"/>
    <n v="0"/>
    <b v="1"/>
    <x v="4"/>
    <s v="SMB"/>
    <n v="43"/>
    <x v="1"/>
    <n v="1665"/>
  </r>
  <r>
    <s v="ORD-01203"/>
    <x v="115"/>
    <s v="CUST-0210"/>
    <s v="PROD-037"/>
    <x v="23"/>
    <n v="4"/>
    <n v="660"/>
    <n v="3.6"/>
    <n v="2544.96"/>
    <s v="Completed"/>
    <s v="Pune"/>
    <n v="0"/>
    <b v="1"/>
    <x v="3"/>
    <s v="Corporate"/>
    <n v="48"/>
    <x v="1"/>
    <n v="329"/>
  </r>
  <r>
    <s v="ORD-01204"/>
    <x v="350"/>
    <s v="CUST-0289"/>
    <s v="PROD-030"/>
    <x v="9"/>
    <n v="7"/>
    <n v="970"/>
    <n v="23.7"/>
    <n v="5180.7700000000004"/>
    <s v="Completed"/>
    <s v="Mumbai"/>
    <n v="0"/>
    <b v="1"/>
    <x v="2"/>
    <s v="Retail"/>
    <n v="54"/>
    <x v="1"/>
    <n v="434"/>
  </r>
  <r>
    <s v="ORD-01205"/>
    <x v="200"/>
    <s v="CUST-0017"/>
    <s v="PROD-024"/>
    <x v="3"/>
    <n v="8"/>
    <n v="2270"/>
    <n v="6.8"/>
    <n v="16925.12"/>
    <s v="Completed"/>
    <s v="Delhi"/>
    <n v="0"/>
    <b v="1"/>
    <x v="2"/>
    <s v="SMB"/>
    <n v="38"/>
    <x v="0"/>
    <n v="1203"/>
  </r>
  <r>
    <s v="ORD-01206"/>
    <x v="65"/>
    <s v="CUST-0115"/>
    <s v="PROD-058"/>
    <x v="27"/>
    <n v="1"/>
    <n v="2400"/>
    <n v="26.5"/>
    <n v="1764"/>
    <s v="Completed"/>
    <s v="Mumbai"/>
    <n v="0"/>
    <b v="1"/>
    <x v="1"/>
    <s v="SMB"/>
    <n v="65"/>
    <x v="1"/>
    <n v="974"/>
  </r>
  <r>
    <s v="ORD-01207"/>
    <x v="283"/>
    <s v="CUST-0183"/>
    <s v="PROD-034"/>
    <x v="9"/>
    <n v="5"/>
    <n v="5080"/>
    <n v="29.6"/>
    <n v="17881.599999999999"/>
    <s v="Completed"/>
    <s v="Mumbai"/>
    <n v="0"/>
    <b v="1"/>
    <x v="3"/>
    <s v="SMB"/>
    <n v="27"/>
    <x v="1"/>
    <n v="2459"/>
  </r>
  <r>
    <s v="ORD-01208"/>
    <x v="116"/>
    <s v="CUST-0193"/>
    <s v="PROD-043"/>
    <x v="2"/>
    <n v="9"/>
    <n v="3350"/>
    <n v="6.2"/>
    <n v="28280.7"/>
    <s v="Completed"/>
    <s v="Bengaluru"/>
    <n v="0"/>
    <b v="1"/>
    <x v="5"/>
    <s v="Retail"/>
    <n v="42"/>
    <x v="1"/>
    <n v="1728"/>
  </r>
  <r>
    <s v="ORD-01209"/>
    <x v="9"/>
    <s v="CUST-0019"/>
    <s v="PROD-041"/>
    <x v="19"/>
    <n v="4"/>
    <n v="1540"/>
    <n v="22.2"/>
    <n v="4792.4799999999996"/>
    <s v="Completed"/>
    <s v="Chennai"/>
    <n v="0"/>
    <b v="0"/>
    <x v="5"/>
    <s v="Retail"/>
    <n v="22"/>
    <x v="0"/>
    <n v="647"/>
  </r>
  <r>
    <s v="ORD-01210"/>
    <x v="313"/>
    <s v="CUST-0097"/>
    <s v="PROD-034"/>
    <x v="25"/>
    <n v="10"/>
    <n v="5080"/>
    <n v="11.8"/>
    <n v="44805.599999999999"/>
    <s v="Completed"/>
    <s v="Mumbai"/>
    <n v="0"/>
    <b v="1"/>
    <x v="3"/>
    <s v="Retail"/>
    <n v="65"/>
    <x v="0"/>
    <n v="2459"/>
  </r>
  <r>
    <s v="ORD-01211"/>
    <x v="197"/>
    <s v="CUST-0237"/>
    <s v="PROD-018"/>
    <x v="27"/>
    <n v="9"/>
    <n v="3560"/>
    <n v="15.9"/>
    <n v="26945.64"/>
    <s v="Completed"/>
    <s v="Mumbai"/>
    <n v="0"/>
    <b v="1"/>
    <x v="0"/>
    <s v="Retail"/>
    <n v="49"/>
    <x v="1"/>
    <n v="2629"/>
  </r>
  <r>
    <s v="ORD-01212"/>
    <x v="98"/>
    <s v="CUST-0252"/>
    <s v="PROD-040"/>
    <x v="18"/>
    <n v="2"/>
    <n v="1080"/>
    <n v="21.1"/>
    <n v="1704.24"/>
    <s v="Completed"/>
    <s v="Bengaluru"/>
    <n v="0"/>
    <b v="1"/>
    <x v="3"/>
    <s v="Retail"/>
    <n v="27"/>
    <x v="1"/>
    <n v="519"/>
  </r>
  <r>
    <s v="ORD-01213"/>
    <x v="202"/>
    <s v="CUST-0216"/>
    <s v="PROD-023"/>
    <x v="26"/>
    <n v="5"/>
    <n v="2380"/>
    <n v="20.5"/>
    <n v="9460.5"/>
    <s v="Completed"/>
    <s v="Mumbai"/>
    <n v="0"/>
    <b v="1"/>
    <x v="2"/>
    <s v="Retail"/>
    <n v="50"/>
    <x v="3"/>
    <n v="1182"/>
  </r>
  <r>
    <s v="ORD-01214"/>
    <x v="71"/>
    <s v="CUST-0248"/>
    <s v="PROD-019"/>
    <x v="5"/>
    <n v="9"/>
    <n v="2480"/>
    <n v="1.2"/>
    <n v="22052.16"/>
    <s v="Completed"/>
    <s v="Chennai"/>
    <n v="0"/>
    <b v="1"/>
    <x v="0"/>
    <s v="SMB"/>
    <n v="57"/>
    <x v="2"/>
    <n v="1173"/>
  </r>
  <r>
    <s v="ORD-01215"/>
    <x v="333"/>
    <s v="CUST-0044"/>
    <s v="PROD-042"/>
    <x v="27"/>
    <n v="9"/>
    <n v="2290"/>
    <n v="0.9"/>
    <n v="20424.509999999998"/>
    <s v="Completed"/>
    <s v="Hyderabad"/>
    <n v="0"/>
    <b v="1"/>
    <x v="5"/>
    <s v="SMB"/>
    <n v="29"/>
    <x v="1"/>
    <n v="1219"/>
  </r>
  <r>
    <s v="ORD-01216"/>
    <x v="143"/>
    <s v="CUST-0251"/>
    <s v="PROD-011"/>
    <x v="23"/>
    <n v="3"/>
    <n v="3450"/>
    <n v="29.5"/>
    <n v="7296.75"/>
    <s v="Completed"/>
    <s v="Mumbai"/>
    <n v="0"/>
    <b v="1"/>
    <x v="0"/>
    <s v="Retail"/>
    <n v="44"/>
    <x v="1"/>
    <n v="1748"/>
  </r>
  <r>
    <s v="ORD-01217"/>
    <x v="28"/>
    <s v="CUST-0280"/>
    <s v="PROD-047"/>
    <x v="6"/>
    <n v="9"/>
    <n v="3450"/>
    <n v="19.399999999999999"/>
    <n v="25026.3"/>
    <s v="Completed"/>
    <s v="Delhi"/>
    <n v="0"/>
    <b v="1"/>
    <x v="5"/>
    <s v="SMB"/>
    <n v="27"/>
    <x v="2"/>
    <n v="2420"/>
  </r>
  <r>
    <s v="ORD-01218"/>
    <x v="340"/>
    <s v="CUST-0108"/>
    <s v="PROD-002"/>
    <x v="14"/>
    <n v="2"/>
    <n v="2600"/>
    <n v="20.2"/>
    <n v="4149.6000000000004"/>
    <s v="Cancelled"/>
    <s v="Bengaluru"/>
    <n v="0"/>
    <b v="1"/>
    <x v="4"/>
    <s v="Corporate"/>
    <n v="59"/>
    <x v="2"/>
    <n v="1052"/>
  </r>
  <r>
    <s v="ORD-01219"/>
    <x v="281"/>
    <s v="CUST-0058"/>
    <s v="PROD-021"/>
    <x v="5"/>
    <n v="1"/>
    <n v="2760"/>
    <n v="9.5"/>
    <n v="2497.8000000000002"/>
    <s v="Completed"/>
    <s v="Bengaluru"/>
    <n v="0"/>
    <b v="1"/>
    <x v="2"/>
    <s v="SMB"/>
    <n v="49"/>
    <x v="2"/>
    <n v="1435"/>
  </r>
  <r>
    <s v="ORD-01220"/>
    <x v="106"/>
    <s v="CUST-0090"/>
    <s v="PROD-039"/>
    <x v="11"/>
    <n v="4"/>
    <n v="4610"/>
    <n v="14.8"/>
    <n v="15710.88"/>
    <s v="Completed"/>
    <s v="Bengaluru"/>
    <n v="0"/>
    <b v="1"/>
    <x v="3"/>
    <s v="Corporate"/>
    <n v="26"/>
    <x v="0"/>
    <n v="1850"/>
  </r>
  <r>
    <s v="ORD-01221"/>
    <x v="147"/>
    <s v="CUST-0204"/>
    <s v="PROD-019"/>
    <x v="6"/>
    <n v="3"/>
    <n v="2480"/>
    <n v="3.7"/>
    <n v="7164.72"/>
    <s v="Completed"/>
    <s v="Hyderabad"/>
    <n v="0"/>
    <b v="1"/>
    <x v="0"/>
    <s v="Retail"/>
    <n v="60"/>
    <x v="2"/>
    <n v="1173"/>
  </r>
  <r>
    <s v="ORD-01222"/>
    <x v="294"/>
    <s v="CUST-0044"/>
    <s v="PROD-056"/>
    <x v="23"/>
    <n v="5"/>
    <n v="6940"/>
    <n v="0.3"/>
    <n v="34595.9"/>
    <s v="Completed"/>
    <s v="Hyderabad"/>
    <n v="0"/>
    <b v="1"/>
    <x v="1"/>
    <s v="SMB"/>
    <n v="29"/>
    <x v="1"/>
    <n v="2827"/>
  </r>
  <r>
    <s v="ORD-01223"/>
    <x v="9"/>
    <s v="CUST-0068"/>
    <s v="PROD-022"/>
    <x v="12"/>
    <n v="8"/>
    <n v="2270"/>
    <n v="15.6"/>
    <n v="15327.04"/>
    <s v="Pending"/>
    <s v="Delhi"/>
    <n v="0"/>
    <b v="1"/>
    <x v="2"/>
    <s v="SMB"/>
    <n v="48"/>
    <x v="3"/>
    <n v="1412"/>
  </r>
  <r>
    <s v="ORD-01224"/>
    <x v="313"/>
    <s v="CUST-0127"/>
    <s v="PROD-048"/>
    <x v="14"/>
    <n v="5"/>
    <n v="5100"/>
    <n v="9.5"/>
    <n v="23077.5"/>
    <s v="Completed"/>
    <s v="Bengaluru"/>
    <n v="0"/>
    <b v="1"/>
    <x v="5"/>
    <s v="SMB"/>
    <n v="36"/>
    <x v="2"/>
    <n v="2237"/>
  </r>
  <r>
    <s v="ORD-01225"/>
    <x v="345"/>
    <s v="CUST-0191"/>
    <s v="PROD-036"/>
    <x v="23"/>
    <n v="5"/>
    <n v="3250"/>
    <n v="8.1"/>
    <n v="14933.75"/>
    <s v="Completed"/>
    <s v="Hyderabad"/>
    <n v="0"/>
    <b v="1"/>
    <x v="3"/>
    <s v="SMB"/>
    <n v="43"/>
    <x v="1"/>
    <n v="1556"/>
  </r>
  <r>
    <s v="ORD-01226"/>
    <x v="303"/>
    <s v="CUST-0028"/>
    <s v="PROD-006"/>
    <x v="11"/>
    <n v="6"/>
    <n v="3970"/>
    <n v="18.8"/>
    <n v="19341.84"/>
    <s v="Pending"/>
    <s v="Bengaluru"/>
    <n v="0"/>
    <b v="1"/>
    <x v="4"/>
    <s v="Retail"/>
    <n v="59"/>
    <x v="0"/>
    <n v="2865"/>
  </r>
  <r>
    <s v="ORD-01227"/>
    <x v="14"/>
    <s v="CUST-0027"/>
    <s v="PROD-001"/>
    <x v="5"/>
    <n v="4"/>
    <n v="5330"/>
    <n v="19.7"/>
    <n v="17119.96"/>
    <s v="Completed"/>
    <s v="Hyderabad"/>
    <n v="0"/>
    <b v="1"/>
    <x v="4"/>
    <s v="Corporate"/>
    <n v="52"/>
    <x v="2"/>
    <n v="2405"/>
  </r>
  <r>
    <s v="ORD-01228"/>
    <x v="84"/>
    <s v="CUST-0193"/>
    <s v="PROD-008"/>
    <x v="10"/>
    <n v="7"/>
    <n v="2660"/>
    <n v="8.5"/>
    <n v="17037.3"/>
    <s v="Completed"/>
    <s v="Bengaluru"/>
    <n v="0"/>
    <b v="0"/>
    <x v="4"/>
    <s v="Retail"/>
    <n v="42"/>
    <x v="0"/>
    <n v="1259"/>
  </r>
  <r>
    <s v="ORD-01229"/>
    <x v="124"/>
    <s v="CUST-0202"/>
    <s v="PROD-012"/>
    <x v="20"/>
    <n v="5"/>
    <n v="3160"/>
    <n v="13.4"/>
    <n v="13682.8"/>
    <s v="Pending"/>
    <s v="Chennai"/>
    <n v="0"/>
    <b v="1"/>
    <x v="0"/>
    <s v="Retail"/>
    <n v="39"/>
    <x v="2"/>
    <n v="1886"/>
  </r>
  <r>
    <s v="ORD-01230"/>
    <x v="287"/>
    <s v="CUST-0230"/>
    <s v="PROD-054"/>
    <x v="7"/>
    <n v="10"/>
    <n v="1010"/>
    <n v="14"/>
    <n v="8686"/>
    <s v="Completed"/>
    <s v="Pune"/>
    <n v="0"/>
    <b v="1"/>
    <x v="1"/>
    <s v="Corporate"/>
    <n v="33"/>
    <x v="3"/>
    <n v="516"/>
  </r>
  <r>
    <s v="ORD-01231"/>
    <x v="351"/>
    <s v="CUST-0280"/>
    <s v="PROD-041"/>
    <x v="11"/>
    <n v="3"/>
    <n v="1540"/>
    <n v="13.7"/>
    <n v="3987.06"/>
    <s v="Pending"/>
    <s v="Delhi"/>
    <n v="0"/>
    <b v="0"/>
    <x v="5"/>
    <s v="SMB"/>
    <n v="27"/>
    <x v="0"/>
    <n v="647"/>
  </r>
  <r>
    <s v="ORD-01232"/>
    <x v="343"/>
    <s v="CUST-0196"/>
    <s v="PROD-048"/>
    <x v="18"/>
    <n v="10"/>
    <n v="5100"/>
    <n v="13.8"/>
    <n v="43962"/>
    <s v="Completed"/>
    <s v="Chennai"/>
    <n v="0"/>
    <b v="1"/>
    <x v="5"/>
    <s v="Retail"/>
    <n v="26"/>
    <x v="1"/>
    <n v="2237"/>
  </r>
  <r>
    <s v="ORD-01233"/>
    <x v="136"/>
    <s v="CUST-0019"/>
    <s v="PROD-007"/>
    <x v="14"/>
    <n v="3"/>
    <n v="1430"/>
    <n v="1.5"/>
    <n v="4225.6499999999996"/>
    <s v="Completed"/>
    <s v="Chennai"/>
    <n v="0"/>
    <b v="1"/>
    <x v="4"/>
    <s v="Retail"/>
    <n v="22"/>
    <x v="2"/>
    <n v="861"/>
  </r>
  <r>
    <s v="ORD-01234"/>
    <x v="247"/>
    <s v="CUST-0201"/>
    <s v="PROD-038"/>
    <x v="22"/>
    <n v="8"/>
    <n v="5490"/>
    <n v="23.2"/>
    <n v="33730.559999999998"/>
    <s v="Completed"/>
    <s v="Hyderabad"/>
    <n v="0"/>
    <b v="1"/>
    <x v="3"/>
    <s v="Retail"/>
    <n v="31"/>
    <x v="1"/>
    <n v="2549"/>
  </r>
  <r>
    <s v="ORD-01235"/>
    <x v="185"/>
    <s v="CUST-0146"/>
    <s v="PROD-044"/>
    <x v="4"/>
    <n v="6"/>
    <n v="1650"/>
    <n v="16.8"/>
    <n v="8236.7999999999993"/>
    <s v="Completed"/>
    <s v="Hyderabad"/>
    <n v="0"/>
    <b v="1"/>
    <x v="5"/>
    <s v="Retail"/>
    <n v="22"/>
    <x v="0"/>
    <n v="1222"/>
  </r>
  <r>
    <s v="ORD-01236"/>
    <x v="151"/>
    <s v="CUST-0199"/>
    <s v="PROD-045"/>
    <x v="26"/>
    <n v="3"/>
    <n v="3020"/>
    <n v="14.5"/>
    <n v="7746.3"/>
    <s v="Completed"/>
    <s v="Hyderabad"/>
    <n v="0"/>
    <b v="1"/>
    <x v="5"/>
    <s v="SMB"/>
    <n v="31"/>
    <x v="3"/>
    <n v="1626"/>
  </r>
  <r>
    <s v="ORD-01237"/>
    <x v="334"/>
    <s v="CUST-0099"/>
    <s v="PROD-041"/>
    <x v="11"/>
    <n v="5"/>
    <n v="1540"/>
    <n v="27.2"/>
    <n v="5605.6"/>
    <s v="Completed"/>
    <s v="Bengaluru"/>
    <n v="0"/>
    <b v="0"/>
    <x v="5"/>
    <s v="SMB"/>
    <n v="54"/>
    <x v="0"/>
    <n v="647"/>
  </r>
  <r>
    <s v="ORD-00372"/>
    <x v="246"/>
    <s v="CUST-0094"/>
    <s v="PROD-056"/>
    <x v="12"/>
    <n v="4"/>
    <n v="6940"/>
    <n v="3.2"/>
    <n v="26871.68"/>
    <s v="Completed"/>
    <s v="Pune"/>
    <n v="0"/>
    <b v="1"/>
    <x v="1"/>
    <s v="SMB"/>
    <n v="60"/>
    <x v="3"/>
    <n v="2827"/>
  </r>
  <r>
    <s v="ORD-01239"/>
    <x v="25"/>
    <s v="CUST-0275"/>
    <s v="PROD-048"/>
    <x v="21"/>
    <n v="2"/>
    <n v="5100"/>
    <n v="18.100000000000001"/>
    <n v="8353.7999999999993"/>
    <s v="Completed"/>
    <s v="Mumbai"/>
    <n v="0"/>
    <b v="1"/>
    <x v="5"/>
    <s v="Retail"/>
    <n v="36"/>
    <x v="3"/>
    <n v="2237"/>
  </r>
  <r>
    <s v="ORD-01240"/>
    <x v="189"/>
    <s v="CUST-0230"/>
    <s v="PROD-001"/>
    <x v="29"/>
    <n v="6"/>
    <n v="5330"/>
    <n v="0.3"/>
    <n v="31884.06"/>
    <s v="Pending"/>
    <s v="Pune"/>
    <n v="0"/>
    <b v="1"/>
    <x v="4"/>
    <s v="Corporate"/>
    <n v="33"/>
    <x v="1"/>
    <n v="2405"/>
  </r>
  <r>
    <s v="ORD-01241"/>
    <x v="121"/>
    <s v="CUST-0227"/>
    <s v="PROD-057"/>
    <x v="20"/>
    <n v="5"/>
    <n v="960"/>
    <n v="16.600000000000001"/>
    <n v="4003.2"/>
    <s v="Completed"/>
    <s v="Bengaluru"/>
    <n v="0"/>
    <b v="1"/>
    <x v="1"/>
    <s v="SMB"/>
    <n v="44"/>
    <x v="2"/>
    <n v="705"/>
  </r>
  <r>
    <s v="ORD-01365"/>
    <x v="214"/>
    <s v="CUST-0200"/>
    <s v="PROD-014"/>
    <x v="24"/>
    <n v="7"/>
    <n v="3620"/>
    <n v="5.4"/>
    <n v="23971.64"/>
    <s v="Completed"/>
    <s v="Hyderabad"/>
    <n v="1"/>
    <b v="1"/>
    <x v="0"/>
    <s v="Corporate"/>
    <n v="46"/>
    <x v="3"/>
    <n v="2509"/>
  </r>
  <r>
    <s v="ORD-01243"/>
    <x v="213"/>
    <s v="CUST-0268"/>
    <s v="PROD-002"/>
    <x v="3"/>
    <n v="6"/>
    <n v="2600"/>
    <n v="25.9"/>
    <n v="11559.6"/>
    <s v="Completed"/>
    <s v="Chennai"/>
    <n v="0"/>
    <b v="1"/>
    <x v="4"/>
    <s v="Retail"/>
    <n v="35"/>
    <x v="0"/>
    <n v="1052"/>
  </r>
  <r>
    <s v="ORD-01244"/>
    <x v="129"/>
    <s v="CUST-0163"/>
    <s v="PROD-008"/>
    <x v="22"/>
    <n v="7"/>
    <n v="2660"/>
    <n v="20.2"/>
    <n v="14858.76"/>
    <s v="Completed"/>
    <s v="Pune"/>
    <n v="0"/>
    <b v="0"/>
    <x v="4"/>
    <s v="Retail"/>
    <n v="49"/>
    <x v="1"/>
    <n v="1259"/>
  </r>
  <r>
    <s v="ORD-01245"/>
    <x v="22"/>
    <s v="CUST-0233"/>
    <s v="PROD-019"/>
    <x v="24"/>
    <n v="9"/>
    <n v="2480"/>
    <n v="14.7"/>
    <n v="19038.96"/>
    <s v="Completed"/>
    <s v="Mumbai"/>
    <n v="0"/>
    <b v="1"/>
    <x v="0"/>
    <s v="SMB"/>
    <n v="65"/>
    <x v="3"/>
    <n v="1173"/>
  </r>
  <r>
    <s v="ORD-01246"/>
    <x v="296"/>
    <s v="CUST-0181"/>
    <s v="PROD-008"/>
    <x v="15"/>
    <n v="4"/>
    <n v="2660"/>
    <n v="8.9"/>
    <n v="9693.0400000000009"/>
    <s v="Completed"/>
    <s v="Delhi"/>
    <n v="0"/>
    <b v="0"/>
    <x v="4"/>
    <s v="SMB"/>
    <n v="38"/>
    <x v="1"/>
    <n v="1259"/>
  </r>
  <r>
    <s v="ORD-01247"/>
    <x v="326"/>
    <s v="CUST-0254"/>
    <s v="PROD-001"/>
    <x v="9"/>
    <n v="1"/>
    <n v="5330"/>
    <n v="26.8"/>
    <n v="3901.56"/>
    <s v="Completed"/>
    <s v="Bengaluru"/>
    <n v="0"/>
    <b v="1"/>
    <x v="4"/>
    <s v="Retail"/>
    <n v="35"/>
    <x v="1"/>
    <n v="2405"/>
  </r>
  <r>
    <s v="ORD-01248"/>
    <x v="227"/>
    <s v="CUST-0116"/>
    <s v="PROD-051"/>
    <x v="28"/>
    <n v="6"/>
    <n v="3450"/>
    <n v="19.2"/>
    <n v="16725.599999999999"/>
    <s v="Pending"/>
    <s v="Bengaluru"/>
    <n v="0"/>
    <b v="1"/>
    <x v="1"/>
    <s v="Retail"/>
    <n v="53"/>
    <x v="2"/>
    <n v="2467"/>
  </r>
  <r>
    <s v="ORD-01249"/>
    <x v="323"/>
    <s v="CUST-0259"/>
    <s v="PROD-060"/>
    <x v="5"/>
    <n v="10"/>
    <n v="190"/>
    <n v="18.100000000000001"/>
    <n v="1556.1"/>
    <s v="Completed"/>
    <s v="Mumbai"/>
    <n v="0"/>
    <b v="1"/>
    <x v="1"/>
    <s v="Retail"/>
    <n v="34"/>
    <x v="2"/>
    <n v="147"/>
  </r>
  <r>
    <s v="ORD-01250"/>
    <x v="241"/>
    <s v="CUST-0198"/>
    <s v="PROD-006"/>
    <x v="18"/>
    <n v="9"/>
    <n v="3970"/>
    <n v="18.2"/>
    <n v="29227.14"/>
    <s v="Pending"/>
    <s v="Chennai"/>
    <n v="0"/>
    <b v="1"/>
    <x v="4"/>
    <s v="Corporate"/>
    <n v="22"/>
    <x v="1"/>
    <n v="2865"/>
  </r>
  <r>
    <s v="ORD-01251"/>
    <x v="280"/>
    <s v="CUST-0204"/>
    <s v="PROD-039"/>
    <x v="25"/>
    <n v="4"/>
    <n v="4610"/>
    <n v="15.1"/>
    <n v="15655.56"/>
    <s v="Cancelled"/>
    <s v="Hyderabad"/>
    <n v="0"/>
    <b v="1"/>
    <x v="3"/>
    <s v="Retail"/>
    <n v="60"/>
    <x v="0"/>
    <n v="1850"/>
  </r>
  <r>
    <s v="ORD-01252"/>
    <x v="233"/>
    <s v="CUST-0216"/>
    <s v="PROD-016"/>
    <x v="5"/>
    <n v="2"/>
    <n v="620"/>
    <n v="3.3"/>
    <n v="1199.08"/>
    <s v="Completed"/>
    <s v="Mumbai"/>
    <n v="0"/>
    <b v="1"/>
    <x v="0"/>
    <s v="Retail"/>
    <n v="50"/>
    <x v="2"/>
    <n v="396"/>
  </r>
  <r>
    <s v="ORD-01253"/>
    <x v="214"/>
    <s v="CUST-0030"/>
    <s v="PROD-041"/>
    <x v="5"/>
    <n v="7"/>
    <n v="1540"/>
    <n v="27.5"/>
    <n v="7815.5"/>
    <s v="Completed"/>
    <s v="Bengaluru"/>
    <n v="0"/>
    <b v="0"/>
    <x v="5"/>
    <s v="Corporate"/>
    <n v="43"/>
    <x v="2"/>
    <n v="647"/>
  </r>
  <r>
    <s v="ORD-01254"/>
    <x v="178"/>
    <s v="CUST-0019"/>
    <s v="PROD-053"/>
    <x v="21"/>
    <n v="10"/>
    <n v="470"/>
    <n v="3.9"/>
    <n v="4516.7"/>
    <s v="Completed"/>
    <s v="Chennai"/>
    <n v="0"/>
    <b v="0"/>
    <x v="1"/>
    <s v="Retail"/>
    <n v="22"/>
    <x v="3"/>
    <n v="302"/>
  </r>
  <r>
    <s v="ORD-01255"/>
    <x v="348"/>
    <s v="CUST-0034"/>
    <s v="PROD-046"/>
    <x v="25"/>
    <n v="5"/>
    <n v="4880"/>
    <n v="27.4"/>
    <n v="17714.400000000001"/>
    <s v="Completed"/>
    <s v="Delhi"/>
    <n v="0"/>
    <b v="1"/>
    <x v="5"/>
    <s v="Retail"/>
    <n v="47"/>
    <x v="0"/>
    <n v="2768"/>
  </r>
  <r>
    <s v="ORD-01256"/>
    <x v="289"/>
    <s v="CUST-0063"/>
    <s v="PROD-052"/>
    <x v="20"/>
    <n v="1"/>
    <n v="5410"/>
    <n v="8.3000000000000007"/>
    <n v="4960.97"/>
    <s v="Completed"/>
    <s v="Mumbai"/>
    <n v="0"/>
    <b v="1"/>
    <x v="1"/>
    <s v="SMB"/>
    <n v="53"/>
    <x v="2"/>
    <n v="2265"/>
  </r>
  <r>
    <s v="ORD-01257"/>
    <x v="337"/>
    <s v="CUST-0203"/>
    <s v="PROD-004"/>
    <x v="24"/>
    <n v="8"/>
    <n v="3870"/>
    <n v="9.3000000000000007"/>
    <n v="28080.720000000001"/>
    <s v="Pending"/>
    <s v="Chennai"/>
    <n v="0"/>
    <b v="1"/>
    <x v="4"/>
    <s v="SMB"/>
    <n v="55"/>
    <x v="3"/>
    <n v="1559"/>
  </r>
  <r>
    <s v="ORD-01258"/>
    <x v="136"/>
    <s v="CUST-0016"/>
    <s v="PROD-010"/>
    <x v="21"/>
    <n v="10"/>
    <n v="2640"/>
    <n v="19.899999999999999"/>
    <n v="21146.400000000001"/>
    <s v="Completed"/>
    <s v="Delhi"/>
    <n v="0"/>
    <b v="1"/>
    <x v="4"/>
    <s v="SMB"/>
    <n v="26"/>
    <x v="3"/>
    <n v="1149"/>
  </r>
  <r>
    <s v="ORD-01259"/>
    <x v="118"/>
    <s v="CUST-0198"/>
    <s v="PROD-034"/>
    <x v="0"/>
    <n v="1"/>
    <n v="5080"/>
    <n v="8.6"/>
    <n v="4643.12"/>
    <s v="Completed"/>
    <s v="Chennai"/>
    <n v="0"/>
    <b v="1"/>
    <x v="3"/>
    <s v="Corporate"/>
    <n v="22"/>
    <x v="0"/>
    <n v="2459"/>
  </r>
  <r>
    <s v="ORD-01260"/>
    <x v="342"/>
    <s v="CUST-0212"/>
    <s v="PROD-036"/>
    <x v="26"/>
    <n v="9"/>
    <n v="3250"/>
    <n v="18.2"/>
    <n v="23926.5"/>
    <s v="Pending"/>
    <s v="Chennai"/>
    <n v="0"/>
    <b v="1"/>
    <x v="3"/>
    <s v="SMB"/>
    <n v="46"/>
    <x v="3"/>
    <n v="1556"/>
  </r>
  <r>
    <s v="ORD-01261"/>
    <x v="84"/>
    <s v="CUST-0265"/>
    <s v="PROD-006"/>
    <x v="25"/>
    <n v="8"/>
    <n v="3970"/>
    <n v="22.4"/>
    <n v="24645.759999999998"/>
    <s v="Completed"/>
    <s v="Chennai"/>
    <n v="0"/>
    <b v="1"/>
    <x v="4"/>
    <s v="Retail"/>
    <n v="49"/>
    <x v="0"/>
    <n v="2865"/>
  </r>
  <r>
    <s v="ORD-01262"/>
    <x v="192"/>
    <s v="CUST-0165"/>
    <s v="PROD-037"/>
    <x v="21"/>
    <n v="3"/>
    <n v="660"/>
    <n v="3.1"/>
    <n v="1918.62"/>
    <s v="Completed"/>
    <s v="Pune"/>
    <n v="0"/>
    <b v="1"/>
    <x v="3"/>
    <s v="Retail"/>
    <n v="29"/>
    <x v="3"/>
    <n v="329"/>
  </r>
  <r>
    <s v="ORD-01263"/>
    <x v="298"/>
    <s v="CUST-0109"/>
    <s v="PROD-002"/>
    <x v="24"/>
    <n v="7"/>
    <n v="2600"/>
    <n v="15.4"/>
    <n v="15397.2"/>
    <s v="Completed"/>
    <s v="Pune"/>
    <n v="0"/>
    <b v="1"/>
    <x v="4"/>
    <s v="Retail"/>
    <n v="42"/>
    <x v="3"/>
    <n v="1052"/>
  </r>
  <r>
    <s v="ORD-01264"/>
    <x v="45"/>
    <s v="CUST-0155"/>
    <s v="PROD-037"/>
    <x v="15"/>
    <n v="9"/>
    <n v="660"/>
    <n v="23.7"/>
    <n v="4532.22"/>
    <s v="Completed"/>
    <s v="Pune"/>
    <n v="0"/>
    <b v="1"/>
    <x v="3"/>
    <s v="Corporate"/>
    <n v="40"/>
    <x v="1"/>
    <n v="329"/>
  </r>
  <r>
    <s v="ORD-01265"/>
    <x v="183"/>
    <s v="CUST-0194"/>
    <s v="PROD-023"/>
    <x v="13"/>
    <n v="3"/>
    <n v="2380"/>
    <n v="19.5"/>
    <n v="5747.7"/>
    <s v="Cancelled"/>
    <s v="Delhi"/>
    <n v="0"/>
    <b v="1"/>
    <x v="2"/>
    <s v="SMB"/>
    <n v="55"/>
    <x v="3"/>
    <n v="1182"/>
  </r>
  <r>
    <s v="ORD-01266"/>
    <x v="207"/>
    <s v="CUST-0084"/>
    <s v="PROD-044"/>
    <x v="9"/>
    <n v="9"/>
    <n v="1650"/>
    <n v="2.5"/>
    <n v="14478.75"/>
    <s v="Completed"/>
    <s v="Chennai"/>
    <n v="0"/>
    <b v="1"/>
    <x v="5"/>
    <s v="Retail"/>
    <n v="28"/>
    <x v="1"/>
    <n v="1222"/>
  </r>
  <r>
    <s v="ORD-01267"/>
    <x v="181"/>
    <s v="CUST-9684"/>
    <s v="PROD-010"/>
    <x v="3"/>
    <n v="8"/>
    <n v="2640"/>
    <n v="24.4"/>
    <n v="15966.72"/>
    <s v="Completed"/>
    <s v="Mumbai"/>
    <n v="0"/>
    <b v="1"/>
    <x v="4"/>
    <e v="#N/A"/>
    <e v="#N/A"/>
    <x v="0"/>
    <n v="1149"/>
  </r>
  <r>
    <s v="ORD-01268"/>
    <x v="43"/>
    <s v="CUST-0218"/>
    <s v="PROD-023"/>
    <x v="22"/>
    <n v="8"/>
    <n v="2380"/>
    <n v="24.2"/>
    <n v="14432.32"/>
    <s v="Completed"/>
    <s v="Mumbai"/>
    <n v="0"/>
    <b v="1"/>
    <x v="2"/>
    <s v="Retail"/>
    <n v="39"/>
    <x v="1"/>
    <n v="1182"/>
  </r>
  <r>
    <s v="ORD-01269"/>
    <x v="41"/>
    <s v="CUST-0194"/>
    <s v="PROD-029"/>
    <x v="0"/>
    <n v="10"/>
    <n v="2210"/>
    <n v="3.6"/>
    <n v="21304.400000000001"/>
    <s v="Completed"/>
    <s v="Delhi"/>
    <n v="0"/>
    <b v="1"/>
    <x v="2"/>
    <s v="SMB"/>
    <n v="55"/>
    <x v="0"/>
    <n v="1010"/>
  </r>
  <r>
    <s v="ORD-01270"/>
    <x v="139"/>
    <s v="CUST-0037"/>
    <s v="PROD-050"/>
    <x v="26"/>
    <n v="9"/>
    <n v="6080"/>
    <n v="17.2"/>
    <n v="45308.160000000003"/>
    <s v="Pending"/>
    <s v="Bengaluru"/>
    <n v="0"/>
    <b v="1"/>
    <x v="5"/>
    <s v="Retail"/>
    <n v="52"/>
    <x v="3"/>
    <n v="2617"/>
  </r>
  <r>
    <s v="ORD-01271"/>
    <x v="10"/>
    <s v="CUST-0245"/>
    <s v="PROD-054"/>
    <x v="24"/>
    <n v="8"/>
    <n v="1010"/>
    <n v="12.3"/>
    <n v="7086.16"/>
    <s v="Completed"/>
    <s v="Hyderabad"/>
    <n v="0"/>
    <b v="1"/>
    <x v="1"/>
    <s v="Retail"/>
    <n v="65"/>
    <x v="3"/>
    <n v="516"/>
  </r>
  <r>
    <s v="ORD-01272"/>
    <x v="329"/>
    <s v="CUST-0266"/>
    <s v="PROD-028"/>
    <x v="23"/>
    <n v="8"/>
    <n v="3660"/>
    <n v="8.4"/>
    <n v="26820.48"/>
    <s v="Completed"/>
    <s v="Pune"/>
    <n v="0"/>
    <b v="0"/>
    <x v="2"/>
    <s v="Retail"/>
    <n v="65"/>
    <x v="1"/>
    <n v="2214"/>
  </r>
  <r>
    <s v="ORD-01273"/>
    <x v="68"/>
    <s v="CUST-0058"/>
    <s v="PROD-039"/>
    <x v="20"/>
    <n v="8"/>
    <n v="4610"/>
    <n v="15.4"/>
    <n v="31200.48"/>
    <s v="Cancelled"/>
    <s v="Bengaluru"/>
    <n v="0"/>
    <b v="1"/>
    <x v="3"/>
    <s v="SMB"/>
    <n v="49"/>
    <x v="2"/>
    <n v="1850"/>
  </r>
  <r>
    <s v="ORD-01274"/>
    <x v="283"/>
    <s v="CUST-0058"/>
    <s v="PROD-048"/>
    <x v="3"/>
    <n v="9"/>
    <n v="5100"/>
    <n v="25.2"/>
    <n v="34333.199999999997"/>
    <s v="Cancelled"/>
    <s v="Bengaluru"/>
    <n v="0"/>
    <b v="1"/>
    <x v="5"/>
    <s v="SMB"/>
    <n v="49"/>
    <x v="0"/>
    <n v="2237"/>
  </r>
  <r>
    <s v="ORD-01275"/>
    <x v="312"/>
    <s v="CUST-0028"/>
    <s v="PROD-045"/>
    <x v="7"/>
    <n v="5"/>
    <n v="3020"/>
    <n v="23"/>
    <n v="11627"/>
    <s v="Completed"/>
    <s v="Bengaluru"/>
    <n v="0"/>
    <b v="1"/>
    <x v="5"/>
    <s v="Retail"/>
    <n v="59"/>
    <x v="3"/>
    <n v="1626"/>
  </r>
  <r>
    <s v="ORD-01276"/>
    <x v="3"/>
    <s v="CUST-0262"/>
    <s v="PROD-059"/>
    <x v="15"/>
    <n v="8"/>
    <n v="3780"/>
    <n v="17.100000000000001"/>
    <n v="25068.959999999999"/>
    <s v="Completed"/>
    <s v="Mumbai"/>
    <n v="0"/>
    <b v="1"/>
    <x v="1"/>
    <s v="Retail"/>
    <n v="52"/>
    <x v="1"/>
    <n v="1860"/>
  </r>
  <r>
    <s v="ORD-01277"/>
    <x v="352"/>
    <s v="CUST-0241"/>
    <s v="PROD-029"/>
    <x v="19"/>
    <n v="10"/>
    <n v="2210"/>
    <n v="8.5"/>
    <n v="20221.5"/>
    <s v="Completed"/>
    <s v="Pune"/>
    <n v="0"/>
    <b v="1"/>
    <x v="2"/>
    <s v="Corporate"/>
    <n v="47"/>
    <x v="0"/>
    <n v="1010"/>
  </r>
  <r>
    <s v="ORD-01278"/>
    <x v="117"/>
    <s v="CUST-0109"/>
    <s v="PROD-029"/>
    <x v="15"/>
    <n v="4"/>
    <n v="2210"/>
    <n v="3.1"/>
    <n v="8565.9599999999991"/>
    <s v="Completed"/>
    <s v="Pune"/>
    <n v="0"/>
    <b v="1"/>
    <x v="2"/>
    <s v="Retail"/>
    <n v="42"/>
    <x v="1"/>
    <n v="1010"/>
  </r>
  <r>
    <s v="ORD-01279"/>
    <x v="326"/>
    <s v="CUST-0228"/>
    <s v="PROD-044"/>
    <x v="15"/>
    <n v="1"/>
    <n v="1650"/>
    <n v="10"/>
    <n v="1485"/>
    <s v="Completed"/>
    <s v="Pune"/>
    <n v="0"/>
    <b v="1"/>
    <x v="5"/>
    <s v="Corporate"/>
    <n v="37"/>
    <x v="1"/>
    <n v="1222"/>
  </r>
  <r>
    <s v="ORD-01280"/>
    <x v="100"/>
    <s v="CUST-0239"/>
    <s v="PROD-060"/>
    <x v="1"/>
    <n v="6"/>
    <n v="190"/>
    <n v="3.5"/>
    <n v="1100.0999999999999"/>
    <s v="Cancelled"/>
    <s v="Mumbai"/>
    <n v="0"/>
    <b v="1"/>
    <x v="1"/>
    <s v="Retail"/>
    <n v="61"/>
    <x v="0"/>
    <n v="147"/>
  </r>
  <r>
    <s v="ORD-01281"/>
    <x v="55"/>
    <s v="CUST-0092"/>
    <s v="PROD-055"/>
    <x v="28"/>
    <n v="8"/>
    <n v="2860"/>
    <n v="14.7"/>
    <n v="19516.64"/>
    <s v="Completed"/>
    <s v="Bengaluru"/>
    <n v="0"/>
    <b v="1"/>
    <x v="1"/>
    <s v="SMB"/>
    <n v="28"/>
    <x v="2"/>
    <n v="2028"/>
  </r>
  <r>
    <s v="ORD-01282"/>
    <x v="120"/>
    <s v="CUST-0283"/>
    <s v="PROD-005"/>
    <x v="14"/>
    <n v="9"/>
    <n v="300"/>
    <n v="19.5"/>
    <n v="2173.5"/>
    <s v="Completed"/>
    <s v="Delhi"/>
    <n v="0"/>
    <b v="1"/>
    <x v="4"/>
    <s v="SMB"/>
    <n v="50"/>
    <x v="2"/>
    <n v="128"/>
  </r>
  <r>
    <s v="ORD-01283"/>
    <x v="170"/>
    <s v="CUST-0206"/>
    <s v="PROD-049"/>
    <x v="0"/>
    <n v="10"/>
    <n v="960"/>
    <n v="9.6999999999999993"/>
    <n v="8668.7999999999993"/>
    <s v="Completed"/>
    <s v="Mumbai"/>
    <n v="0"/>
    <b v="1"/>
    <x v="5"/>
    <s v="Retail"/>
    <n v="40"/>
    <x v="0"/>
    <n v="675"/>
  </r>
  <r>
    <s v="ORD-01284"/>
    <x v="292"/>
    <s v="CUST-0174"/>
    <s v="PROD-020"/>
    <x v="22"/>
    <n v="5"/>
    <n v="820"/>
    <n v="0.5"/>
    <n v="4079.5"/>
    <s v="Completed"/>
    <s v="Pune"/>
    <n v="0"/>
    <b v="1"/>
    <x v="0"/>
    <s v="Retail"/>
    <n v="54"/>
    <x v="1"/>
    <n v="391"/>
  </r>
  <r>
    <s v="ORD-01285"/>
    <x v="266"/>
    <s v="CUST-0040"/>
    <s v="PROD-032"/>
    <x v="10"/>
    <n v="2"/>
    <n v="370"/>
    <n v="10.5"/>
    <n v="662.3"/>
    <s v="Pending"/>
    <s v="Chennai"/>
    <n v="0"/>
    <b v="1"/>
    <x v="3"/>
    <s v="Retail"/>
    <n v="28"/>
    <x v="0"/>
    <n v="288"/>
  </r>
  <r>
    <s v="ORD-01286"/>
    <x v="99"/>
    <s v="CUST-0153"/>
    <s v="PROD-038"/>
    <x v="12"/>
    <n v="9"/>
    <n v="5490"/>
    <n v="14.2"/>
    <n v="42393.78"/>
    <s v="Cancelled"/>
    <s v="Mumbai"/>
    <n v="0"/>
    <b v="1"/>
    <x v="3"/>
    <s v="Retail"/>
    <n v="35"/>
    <x v="3"/>
    <n v="2549"/>
  </r>
  <r>
    <s v="ORD-01287"/>
    <x v="62"/>
    <s v="CUST-0236"/>
    <s v="PROD-032"/>
    <x v="26"/>
    <n v="3"/>
    <n v="370"/>
    <n v="18.399999999999999"/>
    <n v="905.76"/>
    <s v="Completed"/>
    <s v="Hyderabad"/>
    <n v="0"/>
    <b v="1"/>
    <x v="3"/>
    <s v="SMB"/>
    <n v="28"/>
    <x v="3"/>
    <n v="288"/>
  </r>
  <r>
    <s v="ORD-01288"/>
    <x v="241"/>
    <s v="CUST-0295"/>
    <s v="PROD-060"/>
    <x v="26"/>
    <n v="6"/>
    <n v="190"/>
    <n v="12.9"/>
    <n v="992.94"/>
    <s v="Completed"/>
    <s v="Delhi"/>
    <n v="0"/>
    <b v="1"/>
    <x v="1"/>
    <s v="SMB"/>
    <n v="48"/>
    <x v="3"/>
    <n v="147"/>
  </r>
  <r>
    <s v="ORD-01289"/>
    <x v="245"/>
    <s v="CUST-0145"/>
    <s v="PROD-029"/>
    <x v="12"/>
    <n v="8"/>
    <n v="2210"/>
    <n v="9.8000000000000007"/>
    <n v="15947.36"/>
    <s v="Completed"/>
    <s v="Bengaluru"/>
    <n v="0"/>
    <b v="1"/>
    <x v="2"/>
    <s v="SMB"/>
    <n v="44"/>
    <x v="3"/>
    <n v="1010"/>
  </r>
  <r>
    <s v="ORD-01290"/>
    <x v="99"/>
    <s v="CUST-0192"/>
    <s v="PROD-044"/>
    <x v="18"/>
    <n v="7"/>
    <n v="1650"/>
    <n v="8.4"/>
    <n v="10579.8"/>
    <s v="Completed"/>
    <s v="Bengaluru"/>
    <n v="0"/>
    <b v="1"/>
    <x v="5"/>
    <s v="Retail"/>
    <n v="55"/>
    <x v="1"/>
    <n v="1222"/>
  </r>
  <r>
    <s v="ORD-01291"/>
    <x v="353"/>
    <s v="CUST-0148"/>
    <s v="PROD-037"/>
    <x v="22"/>
    <n v="8"/>
    <n v="660"/>
    <n v="7.5"/>
    <n v="4884"/>
    <s v="Completed"/>
    <s v="Chennai"/>
    <n v="0"/>
    <b v="1"/>
    <x v="3"/>
    <s v="Retail"/>
    <n v="32"/>
    <x v="1"/>
    <n v="329"/>
  </r>
  <r>
    <s v="ORD-01292"/>
    <x v="128"/>
    <s v="CUST-0227"/>
    <s v="PROD-039"/>
    <x v="10"/>
    <n v="3"/>
    <n v="4610"/>
    <n v="29.6"/>
    <n v="9736.32"/>
    <s v="Completed"/>
    <s v="Bengaluru"/>
    <n v="0"/>
    <b v="1"/>
    <x v="3"/>
    <s v="SMB"/>
    <n v="44"/>
    <x v="0"/>
    <n v="1850"/>
  </r>
  <r>
    <s v="ORD-01293"/>
    <x v="354"/>
    <s v="CUST-0170"/>
    <s v="PROD-029"/>
    <x v="5"/>
    <n v="6"/>
    <n v="2210"/>
    <n v="9.5"/>
    <n v="12000.3"/>
    <s v="Completed"/>
    <s v="Mumbai"/>
    <n v="0"/>
    <b v="1"/>
    <x v="2"/>
    <s v="SMB"/>
    <n v="22"/>
    <x v="2"/>
    <n v="1010"/>
  </r>
  <r>
    <s v="ORD-01294"/>
    <x v="80"/>
    <s v="CUST-0102"/>
    <s v="PROD-042"/>
    <x v="21"/>
    <n v="4"/>
    <n v="2290"/>
    <n v="3.3"/>
    <n v="8857.7199999999993"/>
    <s v="Completed"/>
    <s v="Chennai"/>
    <n v="0"/>
    <b v="1"/>
    <x v="5"/>
    <s v="SMB"/>
    <n v="62"/>
    <x v="3"/>
    <n v="1219"/>
  </r>
  <r>
    <s v="ORD-01295"/>
    <x v="264"/>
    <s v="CUST-0071"/>
    <s v="PROD-040"/>
    <x v="17"/>
    <n v="5"/>
    <n v="1080"/>
    <n v="26.1"/>
    <n v="3990.6"/>
    <s v="Completed"/>
    <s v="Delhi"/>
    <n v="0"/>
    <b v="1"/>
    <x v="3"/>
    <s v="Corporate"/>
    <n v="46"/>
    <x v="2"/>
    <n v="519"/>
  </r>
  <r>
    <s v="ORD-01296"/>
    <x v="42"/>
    <s v="CUST-0080"/>
    <s v="PROD-057"/>
    <x v="9"/>
    <n v="7"/>
    <n v="960"/>
    <n v="17.7"/>
    <n v="5530.56"/>
    <s v="Completed"/>
    <s v="Pune"/>
    <n v="0"/>
    <b v="1"/>
    <x v="1"/>
    <s v="SMB"/>
    <n v="30"/>
    <x v="1"/>
    <n v="705"/>
  </r>
  <r>
    <s v="ORD-01297"/>
    <x v="338"/>
    <s v="CUST-0272"/>
    <s v="PROD-058"/>
    <x v="4"/>
    <n v="1"/>
    <n v="2400"/>
    <n v="29.9"/>
    <n v="1682.4"/>
    <s v="Completed"/>
    <s v="Mumbai"/>
    <n v="0"/>
    <b v="1"/>
    <x v="1"/>
    <s v="SMB"/>
    <n v="47"/>
    <x v="0"/>
    <n v="974"/>
  </r>
  <r>
    <s v="ORD-01298"/>
    <x v="184"/>
    <s v="CUST-0076"/>
    <s v="PROD-042"/>
    <x v="9"/>
    <n v="9"/>
    <n v="2290"/>
    <n v="28.8"/>
    <n v="14674.32"/>
    <s v="Completed"/>
    <s v="Mumbai"/>
    <n v="0"/>
    <b v="1"/>
    <x v="5"/>
    <s v="Retail"/>
    <n v="38"/>
    <x v="1"/>
    <n v="1219"/>
  </r>
  <r>
    <s v="ORD-01299"/>
    <x v="137"/>
    <s v="CUST-0222"/>
    <s v="PROD-040"/>
    <x v="26"/>
    <n v="9"/>
    <n v="1080"/>
    <n v="10.3"/>
    <n v="8718.84"/>
    <s v="Completed"/>
    <s v="Chennai"/>
    <n v="0"/>
    <b v="1"/>
    <x v="3"/>
    <s v="Retail"/>
    <n v="37"/>
    <x v="3"/>
    <n v="519"/>
  </r>
  <r>
    <s v="ORD-01300"/>
    <x v="121"/>
    <s v="CUST-0091"/>
    <s v="PROD-035"/>
    <x v="10"/>
    <n v="1"/>
    <n v="1090"/>
    <n v="5.8"/>
    <n v="1026.78"/>
    <s v="Cancelled"/>
    <s v="Delhi"/>
    <n v="0"/>
    <b v="1"/>
    <x v="3"/>
    <s v="Retail"/>
    <n v="55"/>
    <x v="0"/>
    <n v="464"/>
  </r>
  <r>
    <s v="ORD-01301"/>
    <x v="9"/>
    <s v="CUST-0126"/>
    <s v="PROD-029"/>
    <x v="26"/>
    <n v="3"/>
    <n v="2210"/>
    <n v="18.2"/>
    <n v="5423.34"/>
    <s v="Pending"/>
    <s v="Mumbai"/>
    <n v="0"/>
    <b v="1"/>
    <x v="2"/>
    <s v="Retail"/>
    <n v="37"/>
    <x v="3"/>
    <n v="1010"/>
  </r>
  <r>
    <s v="ORD-01302"/>
    <x v="276"/>
    <s v="CUST-0241"/>
    <s v="PROD-014"/>
    <x v="15"/>
    <n v="8"/>
    <n v="3620"/>
    <n v="1.4"/>
    <n v="28554.560000000001"/>
    <s v="Completed"/>
    <s v="Pune"/>
    <n v="0"/>
    <b v="1"/>
    <x v="0"/>
    <s v="Corporate"/>
    <n v="47"/>
    <x v="1"/>
    <n v="2509"/>
  </r>
  <r>
    <s v="ORD-01303"/>
    <x v="107"/>
    <s v="CUST-0118"/>
    <s v="PROD-033"/>
    <x v="23"/>
    <n v="7"/>
    <n v="2030"/>
    <n v="27.7"/>
    <n v="10273.83"/>
    <s v="Completed"/>
    <s v="Hyderabad"/>
    <n v="0"/>
    <b v="1"/>
    <x v="3"/>
    <s v="Retail"/>
    <n v="26"/>
    <x v="1"/>
    <n v="1143"/>
  </r>
  <r>
    <s v="ORD-01304"/>
    <x v="309"/>
    <s v="CUST-0090"/>
    <s v="PROD-004"/>
    <x v="12"/>
    <n v="1"/>
    <n v="3870"/>
    <n v="29.6"/>
    <n v="2724.48"/>
    <s v="Completed"/>
    <s v="Bengaluru"/>
    <n v="0"/>
    <b v="1"/>
    <x v="4"/>
    <s v="Corporate"/>
    <n v="26"/>
    <x v="3"/>
    <n v="1559"/>
  </r>
  <r>
    <s v="ORD-01305"/>
    <x v="258"/>
    <s v="CUST-0037"/>
    <s v="PROD-003"/>
    <x v="2"/>
    <n v="5"/>
    <n v="3570"/>
    <n v="11.8"/>
    <n v="15743.7"/>
    <s v="Refunded"/>
    <s v="Bengaluru"/>
    <n v="0"/>
    <b v="1"/>
    <x v="4"/>
    <s v="Retail"/>
    <n v="52"/>
    <x v="1"/>
    <n v="1665"/>
  </r>
  <r>
    <s v="ORD-01306"/>
    <x v="181"/>
    <s v="CUST-0083"/>
    <s v="PROD-001"/>
    <x v="7"/>
    <n v="7"/>
    <n v="5330"/>
    <n v="8.1999999999999993"/>
    <n v="34250.58"/>
    <s v="Completed"/>
    <s v="Bengaluru"/>
    <n v="0"/>
    <b v="1"/>
    <x v="4"/>
    <s v="Corporate"/>
    <n v="31"/>
    <x v="3"/>
    <n v="2405"/>
  </r>
  <r>
    <s v="ORD-01307"/>
    <x v="148"/>
    <s v="CUST-0154"/>
    <s v="PROD-009"/>
    <x v="18"/>
    <n v="5"/>
    <n v="1220"/>
    <n v="17.8"/>
    <n v="5014.2"/>
    <s v="Refunded"/>
    <s v="Pune"/>
    <n v="0"/>
    <b v="1"/>
    <x v="4"/>
    <s v="Retail"/>
    <n v="36"/>
    <x v="1"/>
    <n v="517"/>
  </r>
  <r>
    <s v="ORD-01308"/>
    <x v="78"/>
    <s v="CUST-0265"/>
    <s v="PROD-011"/>
    <x v="7"/>
    <n v="7"/>
    <n v="3450"/>
    <n v="29.3"/>
    <n v="17074.05"/>
    <s v="Completed"/>
    <s v="Chennai"/>
    <n v="0"/>
    <b v="1"/>
    <x v="0"/>
    <s v="Retail"/>
    <n v="49"/>
    <x v="3"/>
    <n v="1748"/>
  </r>
  <r>
    <s v="ORD-01309"/>
    <x v="152"/>
    <s v="CUST-0115"/>
    <s v="PROD-018"/>
    <x v="22"/>
    <n v="6"/>
    <n v="3560"/>
    <n v="9.4"/>
    <n v="19352.16"/>
    <s v="Pending"/>
    <s v="Mumbai"/>
    <n v="0"/>
    <b v="1"/>
    <x v="0"/>
    <s v="SMB"/>
    <n v="65"/>
    <x v="1"/>
    <n v="2629"/>
  </r>
  <r>
    <s v="ORD-01310"/>
    <x v="217"/>
    <s v="CUST-0274"/>
    <s v="PROD-032"/>
    <x v="1"/>
    <n v="4"/>
    <n v="370"/>
    <n v="4.9000000000000004"/>
    <n v="1407.48"/>
    <s v="Completed"/>
    <s v="Bengaluru"/>
    <n v="0"/>
    <b v="1"/>
    <x v="3"/>
    <s v="Corporate"/>
    <n v="36"/>
    <x v="0"/>
    <n v="288"/>
  </r>
  <r>
    <s v="ORD-01311"/>
    <x v="262"/>
    <s v="CUST-0269"/>
    <s v="PROD-009"/>
    <x v="11"/>
    <n v="1"/>
    <n v="1220"/>
    <n v="15.2"/>
    <n v="1034.56"/>
    <s v="Completed"/>
    <s v="Pune"/>
    <n v="0"/>
    <b v="1"/>
    <x v="4"/>
    <s v="Retail"/>
    <n v="48"/>
    <x v="0"/>
    <n v="517"/>
  </r>
  <r>
    <s v="ORD-01312"/>
    <x v="12"/>
    <s v="CUST-0045"/>
    <s v="PROD-013"/>
    <x v="3"/>
    <n v="3"/>
    <n v="3640"/>
    <n v="12.3"/>
    <n v="9576.84"/>
    <s v="Pending"/>
    <s v="Chennai"/>
    <n v="0"/>
    <b v="1"/>
    <x v="0"/>
    <s v="SMB"/>
    <n v="39"/>
    <x v="0"/>
    <n v="2611"/>
  </r>
  <r>
    <s v="ORD-01313"/>
    <x v="115"/>
    <s v="CUST-0054"/>
    <s v="PROD-045"/>
    <x v="9"/>
    <n v="8"/>
    <n v="3020"/>
    <n v="28.2"/>
    <n v="17346.88"/>
    <s v="Pending"/>
    <s v="Mumbai"/>
    <n v="0"/>
    <b v="1"/>
    <x v="5"/>
    <s v="Corporate"/>
    <n v="62"/>
    <x v="1"/>
    <n v="1626"/>
  </r>
  <r>
    <s v="ORD-01314"/>
    <x v="277"/>
    <s v="CUST-0160"/>
    <s v="PROD-048"/>
    <x v="4"/>
    <n v="3"/>
    <n v="5100"/>
    <n v="7.8"/>
    <n v="14106.6"/>
    <s v="Completed"/>
    <s v="Hyderabad"/>
    <n v="0"/>
    <b v="1"/>
    <x v="5"/>
    <s v="Retail"/>
    <n v="27"/>
    <x v="0"/>
    <n v="2237"/>
  </r>
  <r>
    <s v="ORD-01315"/>
    <x v="192"/>
    <s v="CUST-0163"/>
    <s v="PROD-005"/>
    <x v="19"/>
    <n v="9"/>
    <n v="300"/>
    <n v="19"/>
    <n v="2187"/>
    <s v="Completed"/>
    <s v="Pune"/>
    <n v="0"/>
    <b v="1"/>
    <x v="4"/>
    <s v="Retail"/>
    <n v="49"/>
    <x v="0"/>
    <n v="128"/>
  </r>
  <r>
    <s v="ORD-01316"/>
    <x v="287"/>
    <s v="CUST-0006"/>
    <s v="PROD-042"/>
    <x v="0"/>
    <n v="10"/>
    <n v="2290"/>
    <n v="27.7"/>
    <n v="16556.7"/>
    <s v="Completed"/>
    <s v="Pune"/>
    <n v="0"/>
    <b v="1"/>
    <x v="5"/>
    <s v="SMB"/>
    <n v="44"/>
    <x v="0"/>
    <n v="1219"/>
  </r>
  <r>
    <s v="ORD-01317"/>
    <x v="253"/>
    <s v="CUST-0142"/>
    <s v="PROD-013"/>
    <x v="6"/>
    <n v="9"/>
    <n v="3640"/>
    <n v="20.100000000000001"/>
    <n v="26175.24"/>
    <s v="Completed"/>
    <s v="Chennai"/>
    <n v="0"/>
    <b v="1"/>
    <x v="0"/>
    <s v="Corporate"/>
    <n v="55"/>
    <x v="2"/>
    <n v="2611"/>
  </r>
  <r>
    <s v="ORD-01318"/>
    <x v="45"/>
    <s v="CUST-0262"/>
    <s v="PROD-020"/>
    <x v="24"/>
    <n v="4"/>
    <n v="820"/>
    <n v="7.6"/>
    <n v="3030.72"/>
    <s v="Completed"/>
    <s v="Mumbai"/>
    <n v="0"/>
    <b v="1"/>
    <x v="0"/>
    <s v="Retail"/>
    <n v="52"/>
    <x v="3"/>
    <n v="391"/>
  </r>
  <r>
    <s v="ORD-01319"/>
    <x v="68"/>
    <s v="CUST-0049"/>
    <s v="PROD-030"/>
    <x v="2"/>
    <n v="1"/>
    <n v="970"/>
    <n v="1.7"/>
    <n v="953.51"/>
    <s v="Completed"/>
    <s v="Mumbai"/>
    <n v="0"/>
    <b v="1"/>
    <x v="2"/>
    <s v="Corporate"/>
    <n v="42"/>
    <x v="1"/>
    <n v="434"/>
  </r>
  <r>
    <s v="ORD-01320"/>
    <x v="125"/>
    <s v="CUST-0204"/>
    <s v="PROD-018"/>
    <x v="7"/>
    <n v="5"/>
    <n v="3560"/>
    <n v="10.5"/>
    <n v="15931"/>
    <s v="Completed"/>
    <s v="Hyderabad"/>
    <n v="0"/>
    <b v="1"/>
    <x v="0"/>
    <s v="Retail"/>
    <n v="60"/>
    <x v="3"/>
    <n v="2629"/>
  </r>
  <r>
    <s v="ORD-01321"/>
    <x v="231"/>
    <s v="CUST-0164"/>
    <s v="PROD-035"/>
    <x v="18"/>
    <n v="6"/>
    <n v="1090"/>
    <n v="2.4"/>
    <n v="6383.04"/>
    <s v="Pending"/>
    <s v="Chennai"/>
    <n v="0"/>
    <b v="1"/>
    <x v="3"/>
    <s v="Retail"/>
    <n v="60"/>
    <x v="1"/>
    <n v="464"/>
  </r>
  <r>
    <s v="ORD-01322"/>
    <x v="141"/>
    <s v="CUST-0003"/>
    <s v="PROD-008"/>
    <x v="21"/>
    <n v="6"/>
    <n v="2660"/>
    <n v="6.4"/>
    <n v="14938.56"/>
    <s v="Completed"/>
    <s v="Mumbai"/>
    <n v="0"/>
    <b v="0"/>
    <x v="4"/>
    <s v="Retail"/>
    <n v="33"/>
    <x v="3"/>
    <n v="1259"/>
  </r>
  <r>
    <s v="ORD-01323"/>
    <x v="39"/>
    <s v="CUST-0032"/>
    <s v="PROD-006"/>
    <x v="19"/>
    <n v="5"/>
    <n v="3970"/>
    <n v="18.8"/>
    <n v="16118.2"/>
    <s v="Pending"/>
    <s v="Hyderabad"/>
    <n v="0"/>
    <b v="1"/>
    <x v="4"/>
    <s v="Retail"/>
    <n v="28"/>
    <x v="0"/>
    <n v="2865"/>
  </r>
  <r>
    <s v="ORD-01324"/>
    <x v="264"/>
    <s v="CUST-0208"/>
    <s v="PROD-056"/>
    <x v="13"/>
    <n v="7"/>
    <n v="6940"/>
    <n v="23.8"/>
    <n v="37017.96"/>
    <s v="Refunded"/>
    <s v="Mumbai"/>
    <n v="0"/>
    <b v="1"/>
    <x v="1"/>
    <s v="Retail"/>
    <n v="49"/>
    <x v="3"/>
    <n v="2827"/>
  </r>
  <r>
    <s v="ORD-01325"/>
    <x v="227"/>
    <s v="CUST-0183"/>
    <s v="PROD-058"/>
    <x v="10"/>
    <n v="3"/>
    <n v="2400"/>
    <n v="9.8000000000000007"/>
    <n v="6494.4"/>
    <s v="Completed"/>
    <s v="Mumbai"/>
    <n v="0"/>
    <b v="1"/>
    <x v="1"/>
    <s v="SMB"/>
    <n v="27"/>
    <x v="0"/>
    <n v="974"/>
  </r>
  <r>
    <s v="ORD-01326"/>
    <x v="183"/>
    <s v="CUST-0021"/>
    <s v="PROD-051"/>
    <x v="12"/>
    <n v="8"/>
    <n v="3450"/>
    <n v="26.6"/>
    <n v="20258.400000000001"/>
    <s v="Cancelled"/>
    <s v="Pune"/>
    <n v="0"/>
    <b v="1"/>
    <x v="1"/>
    <s v="Retail"/>
    <n v="44"/>
    <x v="3"/>
    <n v="2467"/>
  </r>
  <r>
    <s v="ORD-01327"/>
    <x v="44"/>
    <s v="CUST-0080"/>
    <s v="PROD-009"/>
    <x v="10"/>
    <n v="4"/>
    <n v="1220"/>
    <n v="5.5"/>
    <n v="4611.6000000000004"/>
    <s v="Completed"/>
    <s v="Pune"/>
    <n v="0"/>
    <b v="1"/>
    <x v="4"/>
    <s v="SMB"/>
    <n v="30"/>
    <x v="0"/>
    <n v="517"/>
  </r>
  <r>
    <s v="ORD-01328"/>
    <x v="355"/>
    <s v="CUST-0286"/>
    <s v="PROD-016"/>
    <x v="0"/>
    <n v="1"/>
    <n v="620"/>
    <n v="22.3"/>
    <n v="481.74"/>
    <s v="Pending"/>
    <s v="Delhi"/>
    <n v="0"/>
    <b v="1"/>
    <x v="0"/>
    <s v="Retail"/>
    <n v="62"/>
    <x v="0"/>
    <n v="396"/>
  </r>
  <r>
    <s v="ORD-01329"/>
    <x v="333"/>
    <s v="CUST-0152"/>
    <s v="PROD-005"/>
    <x v="12"/>
    <n v="1"/>
    <n v="300"/>
    <n v="12.5"/>
    <n v="262.5"/>
    <s v="Completed"/>
    <s v="Bengaluru"/>
    <n v="0"/>
    <b v="1"/>
    <x v="4"/>
    <s v="SMB"/>
    <n v="64"/>
    <x v="3"/>
    <n v="128"/>
  </r>
  <r>
    <s v="ORD-01330"/>
    <x v="349"/>
    <s v="CUST-0254"/>
    <s v="PROD-054"/>
    <x v="16"/>
    <n v="3"/>
    <n v="1010"/>
    <n v="14.1"/>
    <n v="2602.77"/>
    <s v="Completed"/>
    <s v="Bengaluru"/>
    <n v="0"/>
    <b v="1"/>
    <x v="1"/>
    <s v="Retail"/>
    <n v="35"/>
    <x v="3"/>
    <n v="516"/>
  </r>
  <r>
    <s v="ORD-01331"/>
    <x v="77"/>
    <s v="CUST-0290"/>
    <s v="PROD-034"/>
    <x v="28"/>
    <n v="2"/>
    <n v="5080"/>
    <n v="16.8"/>
    <n v="8453.1200000000008"/>
    <s v="Completed"/>
    <s v="Delhi"/>
    <n v="0"/>
    <b v="1"/>
    <x v="3"/>
    <s v="Retail"/>
    <n v="63"/>
    <x v="2"/>
    <n v="2459"/>
  </r>
  <r>
    <s v="ORD-01332"/>
    <x v="104"/>
    <s v="CUST-0101"/>
    <s v="PROD-012"/>
    <x v="28"/>
    <n v="2"/>
    <n v="3160"/>
    <n v="21.4"/>
    <n v="4967.5200000000004"/>
    <s v="Completed"/>
    <s v="Hyderabad"/>
    <n v="0"/>
    <b v="1"/>
    <x v="0"/>
    <s v="SMB"/>
    <n v="40"/>
    <x v="2"/>
    <n v="1886"/>
  </r>
  <r>
    <s v="ORD-01333"/>
    <x v="275"/>
    <s v="CUST-0058"/>
    <s v="PROD-047"/>
    <x v="29"/>
    <n v="7"/>
    <n v="3450"/>
    <n v="21.3"/>
    <n v="19006.05"/>
    <s v="Completed"/>
    <s v="Bengaluru"/>
    <n v="0"/>
    <b v="1"/>
    <x v="5"/>
    <s v="SMB"/>
    <n v="49"/>
    <x v="1"/>
    <n v="2420"/>
  </r>
  <r>
    <s v="ORD-01334"/>
    <x v="94"/>
    <s v="CUST-0296"/>
    <s v="PROD-001"/>
    <x v="3"/>
    <n v="2"/>
    <n v="5330"/>
    <n v="4.3"/>
    <n v="10201.620000000001"/>
    <s v="Completed"/>
    <s v="Delhi"/>
    <n v="0"/>
    <b v="1"/>
    <x v="4"/>
    <s v="Corporate"/>
    <n v="47"/>
    <x v="0"/>
    <n v="2405"/>
  </r>
  <r>
    <s v="ORD-01335"/>
    <x v="17"/>
    <s v="CUST-0249"/>
    <s v="PROD-056"/>
    <x v="2"/>
    <n v="5"/>
    <n v="6940"/>
    <n v="2.9"/>
    <n v="33693.699999999997"/>
    <s v="Completed"/>
    <s v="Mumbai"/>
    <n v="0"/>
    <b v="1"/>
    <x v="1"/>
    <s v="Retail"/>
    <n v="44"/>
    <x v="1"/>
    <n v="2827"/>
  </r>
  <r>
    <s v="ORD-01336"/>
    <x v="166"/>
    <s v="CUST-0055"/>
    <s v="PROD-037"/>
    <x v="8"/>
    <n v="5"/>
    <n v="660"/>
    <n v="15.8"/>
    <n v="2778.6"/>
    <s v="Completed"/>
    <s v="Bengaluru"/>
    <n v="0"/>
    <b v="1"/>
    <x v="3"/>
    <s v="Retail"/>
    <n v="34"/>
    <x v="2"/>
    <n v="329"/>
  </r>
  <r>
    <s v="ORD-01337"/>
    <x v="281"/>
    <s v="CUST-0005"/>
    <s v="PROD-048"/>
    <x v="22"/>
    <n v="9"/>
    <n v="5100"/>
    <n v="0.4"/>
    <n v="45716.4"/>
    <s v="Completed"/>
    <s v="Chennai"/>
    <n v="0"/>
    <b v="1"/>
    <x v="5"/>
    <s v="Corporate"/>
    <n v="52"/>
    <x v="1"/>
    <n v="2237"/>
  </r>
  <r>
    <s v="ORD-01338"/>
    <x v="162"/>
    <s v="CUST-9595"/>
    <s v="PROD-044"/>
    <x v="2"/>
    <n v="5"/>
    <n v="1650"/>
    <n v="0.8"/>
    <n v="8184"/>
    <s v="Pending"/>
    <s v="Chennai"/>
    <n v="0"/>
    <b v="1"/>
    <x v="5"/>
    <e v="#N/A"/>
    <e v="#N/A"/>
    <x v="1"/>
    <n v="1222"/>
  </r>
  <r>
    <s v="ORD-01339"/>
    <x v="286"/>
    <s v="CUST-0138"/>
    <s v="PROD-013"/>
    <x v="26"/>
    <n v="7"/>
    <n v="3640"/>
    <n v="25.5"/>
    <n v="18982.599999999999"/>
    <s v="Completed"/>
    <s v="Chennai"/>
    <n v="0"/>
    <b v="1"/>
    <x v="0"/>
    <s v="Retail"/>
    <n v="24"/>
    <x v="3"/>
    <n v="2611"/>
  </r>
  <r>
    <s v="ORD-01340"/>
    <x v="175"/>
    <s v="CUST-0112"/>
    <s v="PROD-046"/>
    <x v="20"/>
    <n v="6"/>
    <n v="4880"/>
    <n v="12.6"/>
    <n v="25590.720000000001"/>
    <s v="Cancelled"/>
    <s v="Hyderabad"/>
    <n v="0"/>
    <b v="1"/>
    <x v="5"/>
    <s v="Retail"/>
    <n v="64"/>
    <x v="2"/>
    <n v="2768"/>
  </r>
  <r>
    <s v="ORD-01341"/>
    <x v="124"/>
    <s v="CUST-0254"/>
    <s v="PROD-001"/>
    <x v="8"/>
    <n v="4"/>
    <n v="5330"/>
    <n v="16.2"/>
    <n v="17866.16"/>
    <s v="Completed"/>
    <s v="Bengaluru"/>
    <n v="0"/>
    <b v="1"/>
    <x v="4"/>
    <s v="Retail"/>
    <n v="35"/>
    <x v="2"/>
    <n v="2405"/>
  </r>
  <r>
    <s v="ORD-01342"/>
    <x v="169"/>
    <s v="CUST-0087"/>
    <s v="PROD-038"/>
    <x v="12"/>
    <n v="3"/>
    <n v="5490"/>
    <n v="26.7"/>
    <n v="12072.51"/>
    <s v="Completed"/>
    <s v="Pune"/>
    <n v="0"/>
    <b v="1"/>
    <x v="3"/>
    <s v="SMB"/>
    <n v="49"/>
    <x v="3"/>
    <n v="2549"/>
  </r>
  <r>
    <s v="ORD-01343"/>
    <x v="148"/>
    <s v="CUST-0142"/>
    <s v="PROD-060"/>
    <x v="25"/>
    <n v="7"/>
    <n v="190"/>
    <n v="11.6"/>
    <n v="1175.72"/>
    <s v="Completed"/>
    <s v="Chennai"/>
    <n v="0"/>
    <b v="1"/>
    <x v="1"/>
    <s v="Corporate"/>
    <n v="55"/>
    <x v="0"/>
    <n v="147"/>
  </r>
  <r>
    <s v="ORD-01344"/>
    <x v="352"/>
    <s v="CUST-0293"/>
    <s v="PROD-012"/>
    <x v="29"/>
    <n v="5"/>
    <n v="3160"/>
    <n v="24.1"/>
    <n v="11992.2"/>
    <s v="Completed"/>
    <s v="Bengaluru"/>
    <n v="0"/>
    <b v="1"/>
    <x v="0"/>
    <s v="Retail"/>
    <n v="27"/>
    <x v="1"/>
    <n v="1886"/>
  </r>
  <r>
    <s v="ORD-01345"/>
    <x v="183"/>
    <s v="CUST-0025"/>
    <s v="PROD-035"/>
    <x v="12"/>
    <n v="1"/>
    <n v="1090"/>
    <n v="9.6"/>
    <n v="985.36"/>
    <s v="Refunded"/>
    <s v="Bengaluru"/>
    <n v="0"/>
    <b v="1"/>
    <x v="3"/>
    <s v="Retail"/>
    <n v="23"/>
    <x v="3"/>
    <n v="464"/>
  </r>
  <r>
    <s v="ORD-01346"/>
    <x v="130"/>
    <s v="CUST-0096"/>
    <s v="PROD-032"/>
    <x v="10"/>
    <n v="9"/>
    <n v="370"/>
    <n v="4"/>
    <n v="3196.8"/>
    <s v="Completed"/>
    <s v="Delhi"/>
    <n v="0"/>
    <b v="1"/>
    <x v="3"/>
    <s v="Corporate"/>
    <n v="27"/>
    <x v="0"/>
    <n v="288"/>
  </r>
  <r>
    <s v="ORD-01347"/>
    <x v="212"/>
    <s v="CUST-0069"/>
    <s v="PROD-008"/>
    <x v="25"/>
    <n v="5"/>
    <n v="2660"/>
    <n v="24.6"/>
    <n v="10028.200000000001"/>
    <s v="Cancelled"/>
    <s v="Chennai"/>
    <n v="0"/>
    <b v="0"/>
    <x v="4"/>
    <s v="Retail"/>
    <n v="51"/>
    <x v="0"/>
    <n v="1259"/>
  </r>
  <r>
    <s v="ORD-01348"/>
    <x v="322"/>
    <s v="CUST-0220"/>
    <s v="PROD-018"/>
    <x v="26"/>
    <n v="4"/>
    <n v="3560"/>
    <n v="25.7"/>
    <n v="10580.32"/>
    <s v="Completed"/>
    <s v="Chennai"/>
    <n v="0"/>
    <b v="1"/>
    <x v="0"/>
    <s v="Retail"/>
    <n v="34"/>
    <x v="3"/>
    <n v="2629"/>
  </r>
  <r>
    <s v="ORD-01349"/>
    <x v="306"/>
    <s v="CUST-0005"/>
    <s v="PROD-049"/>
    <x v="1"/>
    <n v="8"/>
    <n v="960"/>
    <n v="0.1"/>
    <n v="7672.32"/>
    <s v="Completed"/>
    <s v="Chennai"/>
    <n v="0"/>
    <b v="1"/>
    <x v="5"/>
    <s v="Corporate"/>
    <n v="52"/>
    <x v="0"/>
    <n v="675"/>
  </r>
  <r>
    <s v="ORD-01350"/>
    <x v="128"/>
    <s v="CUST-0222"/>
    <s v="PROD-032"/>
    <x v="6"/>
    <n v="10"/>
    <n v="370"/>
    <n v="16.399999999999999"/>
    <n v="3093.2"/>
    <s v="Cancelled"/>
    <s v="Chennai"/>
    <n v="0"/>
    <b v="1"/>
    <x v="3"/>
    <s v="Retail"/>
    <n v="37"/>
    <x v="2"/>
    <n v="288"/>
  </r>
  <r>
    <s v="ORD-01351"/>
    <x v="342"/>
    <s v="CUST-0039"/>
    <s v="PROD-015"/>
    <x v="20"/>
    <n v="4"/>
    <n v="2720"/>
    <n v="3.1"/>
    <n v="10542.72"/>
    <s v="Completed"/>
    <s v="Bengaluru"/>
    <n v="0"/>
    <b v="1"/>
    <x v="0"/>
    <s v="Retail"/>
    <n v="37"/>
    <x v="2"/>
    <n v="1962"/>
  </r>
  <r>
    <s v="ORD-01352"/>
    <x v="236"/>
    <s v="CUST-0224"/>
    <s v="PROD-034"/>
    <x v="1"/>
    <n v="10"/>
    <n v="5080"/>
    <n v="6.8"/>
    <n v="47345.599999999999"/>
    <s v="Completed"/>
    <s v="Chennai"/>
    <n v="0"/>
    <b v="1"/>
    <x v="3"/>
    <s v="Corporate"/>
    <n v="24"/>
    <x v="0"/>
    <n v="2459"/>
  </r>
  <r>
    <s v="ORD-01353"/>
    <x v="229"/>
    <s v="CUST-0288"/>
    <s v="PROD-042"/>
    <x v="4"/>
    <n v="6"/>
    <n v="2290"/>
    <n v="22.6"/>
    <n v="10634.76"/>
    <s v="Completed"/>
    <s v="Hyderabad"/>
    <n v="0"/>
    <b v="1"/>
    <x v="5"/>
    <s v="Corporate"/>
    <n v="25"/>
    <x v="0"/>
    <n v="1219"/>
  </r>
  <r>
    <s v="ORD-01354"/>
    <x v="349"/>
    <s v="CUST-0002"/>
    <s v="PROD-021"/>
    <x v="3"/>
    <n v="4"/>
    <n v="2760"/>
    <n v="27.2"/>
    <n v="8037.12"/>
    <s v="Refunded"/>
    <s v="Pune"/>
    <n v="0"/>
    <b v="1"/>
    <x v="2"/>
    <s v="Corporate"/>
    <n v="42"/>
    <x v="0"/>
    <n v="1435"/>
  </r>
  <r>
    <s v="ORD-01355"/>
    <x v="12"/>
    <s v="CUST-0172"/>
    <s v="PROD-024"/>
    <x v="28"/>
    <n v="9"/>
    <n v="2270"/>
    <n v="5.2"/>
    <n v="19367.64"/>
    <s v="Completed"/>
    <s v="Pune"/>
    <n v="0"/>
    <b v="1"/>
    <x v="2"/>
    <s v="Retail"/>
    <n v="65"/>
    <x v="2"/>
    <n v="1203"/>
  </r>
  <r>
    <s v="ORD-01356"/>
    <x v="66"/>
    <s v="CUST-0287"/>
    <s v="PROD-017"/>
    <x v="4"/>
    <n v="3"/>
    <n v="2510"/>
    <n v="16.399999999999999"/>
    <n v="6295.08"/>
    <s v="Completed"/>
    <s v="Chennai"/>
    <n v="0"/>
    <b v="0"/>
    <x v="0"/>
    <s v="SMB"/>
    <n v="53"/>
    <x v="0"/>
    <n v="1075"/>
  </r>
  <r>
    <s v="ORD-01357"/>
    <x v="186"/>
    <s v="CUST-0020"/>
    <s v="PROD-023"/>
    <x v="27"/>
    <n v="1"/>
    <n v="2380"/>
    <n v="23.5"/>
    <n v="1820.7"/>
    <s v="Completed"/>
    <s v="Hyderabad"/>
    <n v="0"/>
    <b v="1"/>
    <x v="2"/>
    <s v="Retail"/>
    <n v="46"/>
    <x v="1"/>
    <n v="1182"/>
  </r>
  <r>
    <s v="ORD-01358"/>
    <x v="130"/>
    <s v="CUST-0039"/>
    <s v="PROD-059"/>
    <x v="7"/>
    <n v="2"/>
    <n v="3780"/>
    <n v="29.1"/>
    <n v="5360.04"/>
    <s v="Completed"/>
    <s v="Bengaluru"/>
    <n v="0"/>
    <b v="1"/>
    <x v="1"/>
    <s v="Retail"/>
    <n v="37"/>
    <x v="3"/>
    <n v="1860"/>
  </r>
  <r>
    <s v="ORD-01359"/>
    <x v="14"/>
    <s v="CUST-0128"/>
    <s v="PROD-011"/>
    <x v="17"/>
    <n v="1"/>
    <n v="3450"/>
    <n v="17.8"/>
    <n v="2835.9"/>
    <s v="Completed"/>
    <s v="Hyderabad"/>
    <n v="0"/>
    <b v="1"/>
    <x v="0"/>
    <s v="Retail"/>
    <n v="35"/>
    <x v="2"/>
    <n v="1748"/>
  </r>
  <r>
    <s v="ORD-01360"/>
    <x v="310"/>
    <s v="CUST-0149"/>
    <s v="PROD-046"/>
    <x v="3"/>
    <n v="6"/>
    <n v="4880"/>
    <n v="15.6"/>
    <n v="24712.32"/>
    <s v="Pending"/>
    <s v="Hyderabad"/>
    <n v="0"/>
    <b v="1"/>
    <x v="5"/>
    <s v="Retail"/>
    <n v="44"/>
    <x v="0"/>
    <n v="2768"/>
  </r>
  <r>
    <s v="ORD-01361"/>
    <x v="273"/>
    <s v="CUST-0101"/>
    <s v="PROD-049"/>
    <x v="29"/>
    <n v="6"/>
    <n v="960"/>
    <n v="7.5"/>
    <n v="5328"/>
    <s v="Pending"/>
    <s v="Hyderabad"/>
    <n v="0"/>
    <b v="1"/>
    <x v="5"/>
    <s v="SMB"/>
    <n v="40"/>
    <x v="1"/>
    <n v="675"/>
  </r>
  <r>
    <s v="ORD-01362"/>
    <x v="147"/>
    <s v="CUST-0106"/>
    <s v="PROD-018"/>
    <x v="12"/>
    <n v="1"/>
    <n v="3560"/>
    <n v="12.9"/>
    <n v="3100.76"/>
    <s v="Completed"/>
    <s v="Pune"/>
    <n v="0"/>
    <b v="1"/>
    <x v="0"/>
    <s v="Retail"/>
    <n v="22"/>
    <x v="3"/>
    <n v="2629"/>
  </r>
  <r>
    <s v="ORD-01363"/>
    <x v="12"/>
    <s v="CUST-0085"/>
    <s v="PROD-025"/>
    <x v="1"/>
    <n v="5"/>
    <n v="4060"/>
    <n v="18.100000000000001"/>
    <n v="16625.7"/>
    <s v="Pending"/>
    <s v="Chennai"/>
    <n v="0"/>
    <b v="1"/>
    <x v="2"/>
    <s v="Retail"/>
    <n v="26"/>
    <x v="0"/>
    <n v="2911"/>
  </r>
  <r>
    <s v="ORD-01364"/>
    <x v="182"/>
    <s v="CUST-0071"/>
    <s v="PROD-015"/>
    <x v="16"/>
    <n v="10"/>
    <n v="2720"/>
    <n v="23.2"/>
    <n v="20889.599999999999"/>
    <s v="Completed"/>
    <s v="Delhi"/>
    <n v="0"/>
    <b v="1"/>
    <x v="0"/>
    <s v="Corporate"/>
    <n v="46"/>
    <x v="3"/>
    <n v="1962"/>
  </r>
  <r>
    <s v="ORD-01365"/>
    <x v="74"/>
    <s v="CUST-0185"/>
    <s v="PROD-029"/>
    <x v="24"/>
    <n v="1"/>
    <n v="2210"/>
    <n v="5.8"/>
    <n v="2081.8200000000002"/>
    <s v="Pending"/>
    <s v="Hyderabad"/>
    <n v="0"/>
    <b v="1"/>
    <x v="2"/>
    <s v="SMB"/>
    <n v="43"/>
    <x v="3"/>
    <n v="1010"/>
  </r>
  <r>
    <s v="ORD-01366"/>
    <x v="74"/>
    <s v="CUST-0182"/>
    <s v="PROD-047"/>
    <x v="22"/>
    <n v="5"/>
    <n v="3450"/>
    <n v="27.9"/>
    <n v="12437.25"/>
    <s v="Pending"/>
    <s v="Mumbai"/>
    <n v="0"/>
    <b v="1"/>
    <x v="5"/>
    <s v="Retail"/>
    <n v="54"/>
    <x v="1"/>
    <n v="2420"/>
  </r>
  <r>
    <s v="ORD-01367"/>
    <x v="269"/>
    <s v="CUST-0177"/>
    <s v="PROD-023"/>
    <x v="12"/>
    <n v="9"/>
    <n v="2380"/>
    <n v="15.2"/>
    <n v="18164.16"/>
    <s v="Refunded"/>
    <s v="Mumbai"/>
    <n v="0"/>
    <b v="1"/>
    <x v="2"/>
    <s v="SMB"/>
    <n v="36"/>
    <x v="3"/>
    <n v="1182"/>
  </r>
  <r>
    <s v="ORD-01368"/>
    <x v="317"/>
    <s v="CUST-0253"/>
    <s v="PROD-023"/>
    <x v="25"/>
    <n v="2"/>
    <n v="2380"/>
    <n v="24.3"/>
    <n v="3603.32"/>
    <s v="Completed"/>
    <s v="Delhi"/>
    <n v="0"/>
    <b v="1"/>
    <x v="2"/>
    <s v="SMB"/>
    <n v="53"/>
    <x v="0"/>
    <n v="1182"/>
  </r>
  <r>
    <s v="ORD-01369"/>
    <x v="9"/>
    <s v="CUST-0071"/>
    <s v="PROD-018"/>
    <x v="27"/>
    <n v="9"/>
    <n v="3560"/>
    <n v="6.6"/>
    <n v="29925.360000000001"/>
    <s v="Refunded"/>
    <s v="Delhi"/>
    <n v="0"/>
    <b v="1"/>
    <x v="0"/>
    <s v="Corporate"/>
    <n v="46"/>
    <x v="1"/>
    <n v="2629"/>
  </r>
  <r>
    <s v="ORD-01370"/>
    <x v="259"/>
    <s v="CUST-0240"/>
    <s v="PROD-009"/>
    <x v="26"/>
    <n v="7"/>
    <n v="1220"/>
    <n v="29.4"/>
    <n v="6029.24"/>
    <s v="Completed"/>
    <s v="Chennai"/>
    <n v="0"/>
    <b v="1"/>
    <x v="4"/>
    <s v="Corporate"/>
    <n v="35"/>
    <x v="3"/>
    <n v="517"/>
  </r>
  <r>
    <s v="ORD-01371"/>
    <x v="9"/>
    <s v="CUST-0050"/>
    <s v="PROD-056"/>
    <x v="21"/>
    <n v="7"/>
    <n v="6940"/>
    <n v="9.6"/>
    <n v="43916.32"/>
    <s v="Completed"/>
    <s v="Mumbai"/>
    <n v="0"/>
    <b v="1"/>
    <x v="1"/>
    <s v="Retail"/>
    <n v="37"/>
    <x v="3"/>
    <n v="2827"/>
  </r>
  <r>
    <s v="ORD-01372"/>
    <x v="183"/>
    <s v="CUST-0089"/>
    <s v="PROD-035"/>
    <x v="24"/>
    <n v="2"/>
    <n v="1090"/>
    <n v="17"/>
    <n v="1809.4"/>
    <s v="Completed"/>
    <s v="Mumbai"/>
    <n v="0"/>
    <b v="1"/>
    <x v="3"/>
    <s v="SMB"/>
    <n v="43"/>
    <x v="3"/>
    <n v="464"/>
  </r>
  <r>
    <s v="ORD-01373"/>
    <x v="97"/>
    <s v="CUST-0209"/>
    <s v="PROD-023"/>
    <x v="8"/>
    <n v="4"/>
    <n v="2380"/>
    <n v="18.899999999999999"/>
    <n v="7720.72"/>
    <s v="Pending"/>
    <s v="Pune"/>
    <n v="0"/>
    <b v="1"/>
    <x v="2"/>
    <s v="Retail"/>
    <n v="31"/>
    <x v="2"/>
    <n v="1182"/>
  </r>
  <r>
    <s v="ORD-01374"/>
    <x v="344"/>
    <s v="CUST-0089"/>
    <s v="PROD-024"/>
    <x v="10"/>
    <n v="6"/>
    <n v="2270"/>
    <n v="20.9"/>
    <n v="10773.42"/>
    <s v="Pending"/>
    <s v="Mumbai"/>
    <n v="0"/>
    <b v="1"/>
    <x v="2"/>
    <s v="SMB"/>
    <n v="43"/>
    <x v="0"/>
    <n v="1203"/>
  </r>
  <r>
    <s v="ORD-01375"/>
    <x v="248"/>
    <s v="CUST-0093"/>
    <s v="PROD-033"/>
    <x v="7"/>
    <n v="10"/>
    <n v="2030"/>
    <n v="25"/>
    <n v="15225"/>
    <s v="Completed"/>
    <s v="Pune"/>
    <n v="0"/>
    <b v="1"/>
    <x v="3"/>
    <s v="Retail"/>
    <n v="36"/>
    <x v="3"/>
    <n v="1143"/>
  </r>
  <r>
    <s v="ORD-01376"/>
    <x v="118"/>
    <s v="CUST-0018"/>
    <s v="PROD-035"/>
    <x v="28"/>
    <n v="3"/>
    <n v="1090"/>
    <n v="12.1"/>
    <n v="2874.33"/>
    <s v="Completed"/>
    <s v="Pune"/>
    <n v="0"/>
    <b v="1"/>
    <x v="3"/>
    <s v="SMB"/>
    <n v="54"/>
    <x v="2"/>
    <n v="464"/>
  </r>
  <r>
    <s v="ORD-01377"/>
    <x v="291"/>
    <s v="CUST-0089"/>
    <s v="PROD-017"/>
    <x v="21"/>
    <n v="3"/>
    <n v="2510"/>
    <n v="28.7"/>
    <n v="5368.89"/>
    <s v="Completed"/>
    <s v="Mumbai"/>
    <n v="0"/>
    <b v="0"/>
    <x v="0"/>
    <s v="SMB"/>
    <n v="43"/>
    <x v="3"/>
    <n v="1075"/>
  </r>
  <r>
    <s v="ORD-01378"/>
    <x v="249"/>
    <s v="CUST-0116"/>
    <s v="PROD-024"/>
    <x v="17"/>
    <n v="9"/>
    <n v="2270"/>
    <n v="25.4"/>
    <n v="15240.78"/>
    <s v="Pending"/>
    <s v="Bengaluru"/>
    <n v="0"/>
    <b v="1"/>
    <x v="2"/>
    <s v="Retail"/>
    <n v="53"/>
    <x v="2"/>
    <n v="1203"/>
  </r>
  <r>
    <s v="ORD-01379"/>
    <x v="169"/>
    <s v="CUST-0071"/>
    <s v="PROD-006"/>
    <x v="20"/>
    <n v="9"/>
    <n v="3970"/>
    <n v="10.1"/>
    <n v="32121.27"/>
    <s v="Cancelled"/>
    <s v="Delhi"/>
    <n v="0"/>
    <b v="1"/>
    <x v="4"/>
    <s v="Corporate"/>
    <n v="46"/>
    <x v="2"/>
    <n v="2865"/>
  </r>
  <r>
    <s v="ORD-01380"/>
    <x v="23"/>
    <s v="CUST-0115"/>
    <s v="PROD-029"/>
    <x v="2"/>
    <n v="6"/>
    <n v="2210"/>
    <n v="7.4"/>
    <n v="12278.76"/>
    <s v="Completed"/>
    <s v="Mumbai"/>
    <n v="0"/>
    <b v="1"/>
    <x v="2"/>
    <s v="SMB"/>
    <n v="65"/>
    <x v="1"/>
    <n v="1010"/>
  </r>
  <r>
    <s v="ORD-01381"/>
    <x v="107"/>
    <s v="CUST-0258"/>
    <s v="PROD-041"/>
    <x v="21"/>
    <n v="7"/>
    <n v="1540"/>
    <n v="20.6"/>
    <n v="8559.32"/>
    <s v="Completed"/>
    <s v="Pune"/>
    <n v="0"/>
    <b v="0"/>
    <x v="5"/>
    <s v="Retail"/>
    <n v="44"/>
    <x v="3"/>
    <n v="647"/>
  </r>
  <r>
    <s v="ORD-01382"/>
    <x v="323"/>
    <s v="CUST-0290"/>
    <s v="PROD-039"/>
    <x v="28"/>
    <n v="9"/>
    <n v="4610"/>
    <n v="2.1"/>
    <n v="40618.71"/>
    <s v="Completed"/>
    <s v="Delhi"/>
    <n v="0"/>
    <b v="1"/>
    <x v="3"/>
    <s v="Retail"/>
    <n v="63"/>
    <x v="2"/>
    <n v="1850"/>
  </r>
  <r>
    <s v="ORD-01383"/>
    <x v="159"/>
    <s v="CUST-0279"/>
    <s v="PROD-006"/>
    <x v="25"/>
    <n v="10"/>
    <n v="3970"/>
    <n v="13.3"/>
    <n v="34419.9"/>
    <s v="Pending"/>
    <s v="Mumbai"/>
    <n v="0"/>
    <b v="1"/>
    <x v="4"/>
    <s v="Retail"/>
    <n v="56"/>
    <x v="0"/>
    <n v="2865"/>
  </r>
  <r>
    <s v="ORD-01384"/>
    <x v="166"/>
    <s v="CUST-0132"/>
    <s v="PROD-008"/>
    <x v="4"/>
    <n v="8"/>
    <n v="2660"/>
    <n v="16.8"/>
    <n v="17704.96"/>
    <s v="Completed"/>
    <s v="Delhi"/>
    <n v="0"/>
    <b v="0"/>
    <x v="4"/>
    <s v="Retail"/>
    <n v="41"/>
    <x v="0"/>
    <n v="1259"/>
  </r>
  <r>
    <s v="ORD-01385"/>
    <x v="90"/>
    <s v="CUST-0029"/>
    <s v="PROD-047"/>
    <x v="13"/>
    <n v="6"/>
    <n v="3450"/>
    <n v="23.4"/>
    <n v="15856.2"/>
    <s v="Completed"/>
    <s v="Chennai"/>
    <n v="0"/>
    <b v="1"/>
    <x v="5"/>
    <s v="Corporate"/>
    <n v="54"/>
    <x v="3"/>
    <n v="2420"/>
  </r>
  <r>
    <s v="ORD-01386"/>
    <x v="356"/>
    <s v="CUST-0295"/>
    <s v="PROD-053"/>
    <x v="0"/>
    <n v="10"/>
    <n v="470"/>
    <n v="21.2"/>
    <n v="3703.6"/>
    <s v="Completed"/>
    <s v="Delhi"/>
    <n v="0"/>
    <b v="0"/>
    <x v="1"/>
    <s v="SMB"/>
    <n v="48"/>
    <x v="0"/>
    <n v="302"/>
  </r>
  <r>
    <s v="ORD-00168"/>
    <x v="323"/>
    <s v="CUST-0106"/>
    <s v="PROD-059"/>
    <x v="24"/>
    <n v="7"/>
    <n v="3780"/>
    <n v="10.1"/>
    <n v="23787.54"/>
    <s v="Completed"/>
    <s v="Pune"/>
    <n v="0"/>
    <b v="1"/>
    <x v="1"/>
    <s v="Retail"/>
    <n v="22"/>
    <x v="3"/>
    <n v="1860"/>
  </r>
  <r>
    <s v="ORD-01388"/>
    <x v="258"/>
    <s v="CUST-0127"/>
    <s v="PROD-014"/>
    <x v="28"/>
    <n v="3"/>
    <n v="3620"/>
    <n v="4.2"/>
    <n v="10403.879999999999"/>
    <s v="Completed"/>
    <s v="Bengaluru"/>
    <n v="0"/>
    <b v="1"/>
    <x v="0"/>
    <s v="SMB"/>
    <n v="36"/>
    <x v="2"/>
    <n v="2509"/>
  </r>
  <r>
    <s v="ORD-01389"/>
    <x v="110"/>
    <s v="CUST-0031"/>
    <s v="PROD-049"/>
    <x v="8"/>
    <n v="7"/>
    <n v="960"/>
    <n v="9"/>
    <n v="6115.2"/>
    <s v="Completed"/>
    <s v="Hyderabad"/>
    <n v="0"/>
    <b v="1"/>
    <x v="5"/>
    <s v="Retail"/>
    <n v="53"/>
    <x v="2"/>
    <n v="675"/>
  </r>
  <r>
    <s v="ORD-01390"/>
    <x v="112"/>
    <s v="CUST-0256"/>
    <s v="PROD-043"/>
    <x v="0"/>
    <n v="10"/>
    <n v="3350"/>
    <n v="1.2"/>
    <n v="33098"/>
    <s v="Cancelled"/>
    <s v="Hyderabad"/>
    <n v="0"/>
    <b v="1"/>
    <x v="5"/>
    <s v="Retail"/>
    <n v="28"/>
    <x v="0"/>
    <n v="1728"/>
  </r>
  <r>
    <s v="ORD-01391"/>
    <x v="321"/>
    <s v="CUST-0131"/>
    <s v="PROD-058"/>
    <x v="14"/>
    <n v="3"/>
    <n v="2400"/>
    <n v="15.4"/>
    <n v="6091.2"/>
    <s v="Completed"/>
    <s v="Delhi"/>
    <n v="0"/>
    <b v="1"/>
    <x v="1"/>
    <s v="SMB"/>
    <n v="28"/>
    <x v="2"/>
    <n v="974"/>
  </r>
  <r>
    <s v="ORD-01392"/>
    <x v="192"/>
    <s v="CUST-0270"/>
    <s v="PROD-055"/>
    <x v="25"/>
    <n v="2"/>
    <n v="2860"/>
    <n v="10.5"/>
    <n v="5119.3999999999996"/>
    <s v="Completed"/>
    <s v="Bengaluru"/>
    <n v="0"/>
    <b v="1"/>
    <x v="1"/>
    <s v="Retail"/>
    <n v="29"/>
    <x v="0"/>
    <n v="2028"/>
  </r>
  <r>
    <s v="ORD-01393"/>
    <x v="247"/>
    <s v="CUST-0212"/>
    <s v="PROD-042"/>
    <x v="4"/>
    <n v="4"/>
    <n v="2290"/>
    <n v="5.9"/>
    <n v="8619.56"/>
    <s v="Completed"/>
    <s v="Chennai"/>
    <n v="0"/>
    <b v="1"/>
    <x v="5"/>
    <s v="SMB"/>
    <n v="46"/>
    <x v="0"/>
    <n v="1219"/>
  </r>
  <r>
    <s v="ORD-01394"/>
    <x v="59"/>
    <s v="CUST-0216"/>
    <s v="PROD-001"/>
    <x v="12"/>
    <n v="7"/>
    <n v="5330"/>
    <n v="3.5"/>
    <n v="36004.15"/>
    <s v="Cancelled"/>
    <s v="Mumbai"/>
    <n v="0"/>
    <b v="1"/>
    <x v="4"/>
    <s v="Retail"/>
    <n v="50"/>
    <x v="3"/>
    <n v="2405"/>
  </r>
  <r>
    <s v="ORD-01395"/>
    <x v="65"/>
    <s v="CUST-0189"/>
    <s v="PROD-013"/>
    <x v="26"/>
    <n v="10"/>
    <n v="3640"/>
    <n v="20.100000000000001"/>
    <n v="29083.599999999999"/>
    <s v="Completed"/>
    <s v="Chennai"/>
    <n v="0"/>
    <b v="1"/>
    <x v="0"/>
    <s v="Retail"/>
    <n v="41"/>
    <x v="3"/>
    <n v="2611"/>
  </r>
  <r>
    <s v="ORD-01396"/>
    <x v="142"/>
    <s v="CUST-0064"/>
    <s v="PROD-034"/>
    <x v="6"/>
    <n v="10"/>
    <n v="5080"/>
    <n v="2.1"/>
    <n v="49733.2"/>
    <s v="Completed"/>
    <s v="Hyderabad"/>
    <n v="0"/>
    <b v="1"/>
    <x v="3"/>
    <s v="SMB"/>
    <n v="40"/>
    <x v="2"/>
    <n v="2459"/>
  </r>
  <r>
    <s v="ORD-01397"/>
    <x v="25"/>
    <s v="CUST-0016"/>
    <s v="PROD-035"/>
    <x v="26"/>
    <n v="4"/>
    <n v="1090"/>
    <n v="18.5"/>
    <n v="3553.4"/>
    <s v="Refunded"/>
    <s v="Delhi"/>
    <n v="0"/>
    <b v="1"/>
    <x v="3"/>
    <s v="SMB"/>
    <n v="26"/>
    <x v="3"/>
    <n v="464"/>
  </r>
  <r>
    <s v="ORD-01398"/>
    <x v="218"/>
    <s v="CUST-0296"/>
    <s v="PROD-047"/>
    <x v="14"/>
    <n v="10"/>
    <n v="3450"/>
    <n v="26.5"/>
    <n v="25357.5"/>
    <s v="Refunded"/>
    <s v="Delhi"/>
    <n v="0"/>
    <b v="1"/>
    <x v="5"/>
    <s v="Corporate"/>
    <n v="47"/>
    <x v="2"/>
    <n v="2420"/>
  </r>
  <r>
    <s v="ORD-01399"/>
    <x v="64"/>
    <s v="CUST-0031"/>
    <s v="PROD-052"/>
    <x v="18"/>
    <n v="9"/>
    <n v="5410"/>
    <n v="11.5"/>
    <n v="43090.65"/>
    <s v="Completed"/>
    <s v="Hyderabad"/>
    <n v="0"/>
    <b v="1"/>
    <x v="1"/>
    <s v="Retail"/>
    <n v="53"/>
    <x v="1"/>
    <n v="2265"/>
  </r>
  <r>
    <s v="ORD-01400"/>
    <x v="338"/>
    <s v="CUST-0207"/>
    <s v="PROD-011"/>
    <x v="14"/>
    <n v="9"/>
    <n v="3450"/>
    <n v="0.3"/>
    <n v="30956.85"/>
    <s v="Refunded"/>
    <s v="Hyderabad"/>
    <n v="0"/>
    <b v="1"/>
    <x v="0"/>
    <s v="SMB"/>
    <n v="34"/>
    <x v="2"/>
    <n v="1748"/>
  </r>
  <r>
    <s v="ORD-01401"/>
    <x v="105"/>
    <s v="CUST-0165"/>
    <s v="PROD-012"/>
    <x v="5"/>
    <n v="10"/>
    <n v="3160"/>
    <n v="13.6"/>
    <n v="27302.400000000001"/>
    <s v="Completed"/>
    <s v="Pune"/>
    <n v="0"/>
    <b v="1"/>
    <x v="0"/>
    <s v="Retail"/>
    <n v="29"/>
    <x v="2"/>
    <n v="1886"/>
  </r>
  <r>
    <s v="ORD-01402"/>
    <x v="301"/>
    <s v="CUST-0281"/>
    <s v="PROD-041"/>
    <x v="17"/>
    <n v="3"/>
    <n v="1540"/>
    <n v="21.2"/>
    <n v="3640.56"/>
    <s v="Completed"/>
    <s v="Bengaluru"/>
    <n v="0"/>
    <b v="0"/>
    <x v="5"/>
    <s v="Corporate"/>
    <n v="57"/>
    <x v="2"/>
    <n v="647"/>
  </r>
  <r>
    <s v="ORD-01403"/>
    <x v="73"/>
    <s v="CUST-0018"/>
    <s v="PROD-013"/>
    <x v="24"/>
    <n v="5"/>
    <n v="3640"/>
    <n v="17.5"/>
    <n v="15015"/>
    <s v="Completed"/>
    <s v="Pune"/>
    <n v="0"/>
    <b v="1"/>
    <x v="0"/>
    <s v="SMB"/>
    <n v="54"/>
    <x v="3"/>
    <n v="2611"/>
  </r>
  <r>
    <s v="ORD-01404"/>
    <x v="272"/>
    <s v="CUST-0204"/>
    <s v="PROD-059"/>
    <x v="25"/>
    <n v="4"/>
    <n v="3780"/>
    <n v="9"/>
    <n v="13759.2"/>
    <s v="Pending"/>
    <s v="Hyderabad"/>
    <n v="0"/>
    <b v="1"/>
    <x v="1"/>
    <s v="Retail"/>
    <n v="60"/>
    <x v="0"/>
    <n v="1860"/>
  </r>
  <r>
    <s v="ORD-01405"/>
    <x v="357"/>
    <s v="CUST-0028"/>
    <s v="PROD-015"/>
    <x v="5"/>
    <n v="9"/>
    <n v="2720"/>
    <n v="8.9"/>
    <n v="22301.279999999999"/>
    <s v="Completed"/>
    <s v="Bengaluru"/>
    <n v="0"/>
    <b v="1"/>
    <x v="0"/>
    <s v="Retail"/>
    <n v="59"/>
    <x v="2"/>
    <n v="1962"/>
  </r>
  <r>
    <s v="ORD-01406"/>
    <x v="83"/>
    <s v="CUST-0144"/>
    <s v="PROD-014"/>
    <x v="10"/>
    <n v="4"/>
    <n v="3620"/>
    <n v="8"/>
    <n v="13321.6"/>
    <s v="Pending"/>
    <s v="Chennai"/>
    <n v="0"/>
    <b v="1"/>
    <x v="0"/>
    <s v="Retail"/>
    <n v="49"/>
    <x v="0"/>
    <n v="2509"/>
  </r>
  <r>
    <s v="ORD-01407"/>
    <x v="354"/>
    <s v="CUST-0043"/>
    <s v="PROD-011"/>
    <x v="10"/>
    <n v="1"/>
    <n v="3450"/>
    <n v="0.2"/>
    <n v="3443.1"/>
    <s v="Completed"/>
    <s v="Hyderabad"/>
    <n v="0"/>
    <b v="1"/>
    <x v="0"/>
    <s v="Retail"/>
    <n v="61"/>
    <x v="0"/>
    <n v="1748"/>
  </r>
  <r>
    <s v="ORD-01408"/>
    <x v="93"/>
    <s v="CUST-0246"/>
    <s v="PROD-013"/>
    <x v="2"/>
    <n v="7"/>
    <n v="3640"/>
    <n v="4.5999999999999996"/>
    <n v="24307.919999999998"/>
    <s v="Completed"/>
    <s v="Delhi"/>
    <n v="0"/>
    <b v="1"/>
    <x v="0"/>
    <s v="SMB"/>
    <n v="29"/>
    <x v="1"/>
    <n v="2611"/>
  </r>
  <r>
    <s v="ORD-01409"/>
    <x v="318"/>
    <s v="CUST-0156"/>
    <s v="PROD-016"/>
    <x v="12"/>
    <n v="9"/>
    <n v="620"/>
    <n v="8.5"/>
    <n v="5105.7"/>
    <s v="Completed"/>
    <s v="Mumbai"/>
    <n v="0"/>
    <b v="1"/>
    <x v="0"/>
    <s v="Retail"/>
    <n v="33"/>
    <x v="3"/>
    <n v="396"/>
  </r>
  <r>
    <s v="ORD-01410"/>
    <x v="318"/>
    <s v="CUST-0066"/>
    <s v="PROD-059"/>
    <x v="29"/>
    <n v="10"/>
    <n v="3780"/>
    <n v="5.8"/>
    <n v="35607.599999999999"/>
    <s v="Completed"/>
    <s v="Delhi"/>
    <n v="0"/>
    <b v="1"/>
    <x v="1"/>
    <s v="Retail"/>
    <n v="24"/>
    <x v="1"/>
    <n v="1860"/>
  </r>
  <r>
    <s v="ORD-01411"/>
    <x v="79"/>
    <s v="CUST-0121"/>
    <s v="PROD-003"/>
    <x v="18"/>
    <n v="7"/>
    <n v="3570"/>
    <n v="26.1"/>
    <n v="18467.61"/>
    <s v="Completed"/>
    <s v="Delhi"/>
    <n v="0"/>
    <b v="1"/>
    <x v="4"/>
    <s v="SMB"/>
    <n v="55"/>
    <x v="1"/>
    <n v="1665"/>
  </r>
  <r>
    <s v="ORD-01412"/>
    <x v="141"/>
    <s v="CUST-0066"/>
    <s v="PROD-044"/>
    <x v="25"/>
    <n v="2"/>
    <n v="1650"/>
    <n v="3.8"/>
    <n v="3174.6"/>
    <s v="Completed"/>
    <s v="Delhi"/>
    <n v="0"/>
    <b v="1"/>
    <x v="5"/>
    <s v="Retail"/>
    <n v="24"/>
    <x v="0"/>
    <n v="1222"/>
  </r>
  <r>
    <s v="ORD-01413"/>
    <x v="63"/>
    <s v="CUST-0099"/>
    <s v="PROD-049"/>
    <x v="27"/>
    <n v="2"/>
    <n v="960"/>
    <n v="6.8"/>
    <n v="1789.44"/>
    <s v="Completed"/>
    <s v="Bengaluru"/>
    <n v="0"/>
    <b v="1"/>
    <x v="5"/>
    <s v="SMB"/>
    <n v="54"/>
    <x v="1"/>
    <n v="675"/>
  </r>
  <r>
    <s v="ORD-01414"/>
    <x v="351"/>
    <s v="CUST-0054"/>
    <s v="PROD-005"/>
    <x v="3"/>
    <n v="2"/>
    <n v="300"/>
    <n v="2.8"/>
    <n v="583.20000000000005"/>
    <s v="Completed"/>
    <s v="Mumbai"/>
    <n v="0"/>
    <b v="1"/>
    <x v="4"/>
    <s v="Corporate"/>
    <n v="62"/>
    <x v="0"/>
    <n v="128"/>
  </r>
  <r>
    <s v="ORD-01415"/>
    <x v="230"/>
    <s v="CUST-0124"/>
    <s v="PROD-025"/>
    <x v="28"/>
    <n v="10"/>
    <n v="4060"/>
    <n v="15.1"/>
    <n v="34469.4"/>
    <s v="Completed"/>
    <s v="Pune"/>
    <n v="0"/>
    <b v="1"/>
    <x v="2"/>
    <s v="Retail"/>
    <n v="57"/>
    <x v="2"/>
    <n v="2911"/>
  </r>
  <r>
    <s v="ORD-01416"/>
    <x v="153"/>
    <s v="CUST-0211"/>
    <s v="PROD-001"/>
    <x v="24"/>
    <n v="6"/>
    <n v="5330"/>
    <n v="2"/>
    <n v="31340.400000000001"/>
    <s v="Completed"/>
    <s v="Bengaluru"/>
    <n v="0"/>
    <b v="1"/>
    <x v="4"/>
    <s v="Retail"/>
    <n v="36"/>
    <x v="3"/>
    <n v="2405"/>
  </r>
  <r>
    <s v="ORD-01417"/>
    <x v="160"/>
    <s v="CUST-0298"/>
    <s v="PROD-031"/>
    <x v="13"/>
    <n v="9"/>
    <n v="3730"/>
    <n v="24.5"/>
    <n v="25345.35"/>
    <s v="Refunded"/>
    <s v="Delhi"/>
    <n v="0"/>
    <b v="1"/>
    <x v="3"/>
    <s v="Retail"/>
    <n v="44"/>
    <x v="3"/>
    <n v="2135"/>
  </r>
  <r>
    <s v="ORD-01418"/>
    <x v="4"/>
    <s v="CUST-0164"/>
    <s v="PROD-050"/>
    <x v="14"/>
    <n v="1"/>
    <n v="6080"/>
    <n v="4.4000000000000004"/>
    <n v="5812.48"/>
    <s v="Cancelled"/>
    <s v="Chennai"/>
    <n v="0"/>
    <b v="1"/>
    <x v="5"/>
    <s v="Retail"/>
    <n v="60"/>
    <x v="2"/>
    <n v="2617"/>
  </r>
  <r>
    <s v="ORD-01419"/>
    <x v="111"/>
    <s v="CUST-0003"/>
    <s v="PROD-015"/>
    <x v="5"/>
    <n v="5"/>
    <n v="2720"/>
    <n v="9.1999999999999993"/>
    <n v="12348.8"/>
    <s v="Completed"/>
    <s v="Mumbai"/>
    <n v="0"/>
    <b v="1"/>
    <x v="0"/>
    <s v="Retail"/>
    <n v="33"/>
    <x v="2"/>
    <n v="1962"/>
  </r>
  <r>
    <s v="ORD-01420"/>
    <x v="334"/>
    <s v="CUST-0239"/>
    <s v="PROD-011"/>
    <x v="12"/>
    <n v="1"/>
    <n v="3450"/>
    <n v="15.6"/>
    <n v="2911.8"/>
    <s v="Completed"/>
    <s v="Mumbai"/>
    <n v="0"/>
    <b v="1"/>
    <x v="0"/>
    <s v="Retail"/>
    <n v="61"/>
    <x v="3"/>
    <n v="1748"/>
  </r>
  <r>
    <s v="ORD-01421"/>
    <x v="285"/>
    <s v="CUST-0116"/>
    <s v="PROD-035"/>
    <x v="24"/>
    <n v="2"/>
    <n v="1090"/>
    <n v="0.4"/>
    <n v="2171.2800000000002"/>
    <s v="Refunded"/>
    <s v="Bengaluru"/>
    <n v="0"/>
    <b v="1"/>
    <x v="3"/>
    <s v="Retail"/>
    <n v="53"/>
    <x v="3"/>
    <n v="464"/>
  </r>
  <r>
    <s v="ORD-01422"/>
    <x v="175"/>
    <s v="CUST-0232"/>
    <s v="PROD-003"/>
    <x v="21"/>
    <n v="2"/>
    <n v="3570"/>
    <n v="9"/>
    <n v="6497.4"/>
    <s v="Completed"/>
    <s v="Hyderabad"/>
    <n v="0"/>
    <b v="1"/>
    <x v="4"/>
    <s v="Retail"/>
    <n v="38"/>
    <x v="3"/>
    <n v="1665"/>
  </r>
  <r>
    <s v="ORD-01423"/>
    <x v="352"/>
    <s v="CUST-0121"/>
    <s v="PROD-019"/>
    <x v="2"/>
    <n v="9"/>
    <n v="2480"/>
    <n v="3.6"/>
    <n v="21516.48"/>
    <s v="Pending"/>
    <s v="Delhi"/>
    <n v="0"/>
    <b v="1"/>
    <x v="0"/>
    <s v="SMB"/>
    <n v="55"/>
    <x v="1"/>
    <n v="1173"/>
  </r>
  <r>
    <s v="ORD-01424"/>
    <x v="291"/>
    <s v="CUST-0178"/>
    <s v="PROD-027"/>
    <x v="24"/>
    <n v="9"/>
    <n v="3780"/>
    <n v="4.5"/>
    <n v="32489.1"/>
    <s v="Completed"/>
    <s v="Hyderabad"/>
    <n v="0"/>
    <b v="1"/>
    <x v="2"/>
    <s v="Retail"/>
    <n v="25"/>
    <x v="3"/>
    <n v="2436"/>
  </r>
  <r>
    <s v="ORD-01425"/>
    <x v="252"/>
    <s v="CUST-0131"/>
    <s v="PROD-025"/>
    <x v="9"/>
    <n v="5"/>
    <n v="4060"/>
    <n v="2.7"/>
    <n v="19751.900000000001"/>
    <s v="Completed"/>
    <s v="Delhi"/>
    <n v="0"/>
    <b v="1"/>
    <x v="2"/>
    <s v="SMB"/>
    <n v="28"/>
    <x v="1"/>
    <n v="2911"/>
  </r>
  <r>
    <s v="ORD-01426"/>
    <x v="148"/>
    <s v="CUST-0155"/>
    <s v="PROD-005"/>
    <x v="25"/>
    <n v="8"/>
    <n v="300"/>
    <n v="19.8"/>
    <n v="1924.8"/>
    <s v="Cancelled"/>
    <s v="Pune"/>
    <n v="0"/>
    <b v="1"/>
    <x v="4"/>
    <s v="Corporate"/>
    <n v="40"/>
    <x v="0"/>
    <n v="128"/>
  </r>
  <r>
    <s v="ORD-01427"/>
    <x v="253"/>
    <s v="CUST-0170"/>
    <s v="PROD-036"/>
    <x v="25"/>
    <n v="10"/>
    <n v="3250"/>
    <n v="21.3"/>
    <n v="25577.5"/>
    <s v="Cancelled"/>
    <s v="Mumbai"/>
    <n v="0"/>
    <b v="1"/>
    <x v="3"/>
    <s v="SMB"/>
    <n v="22"/>
    <x v="0"/>
    <n v="1556"/>
  </r>
  <r>
    <s v="ORD-01428"/>
    <x v="48"/>
    <s v="CUST-0180"/>
    <s v="PROD-055"/>
    <x v="18"/>
    <n v="2"/>
    <n v="2860"/>
    <n v="13.7"/>
    <n v="4936.3599999999997"/>
    <s v="Completed"/>
    <s v="Chennai"/>
    <n v="0"/>
    <b v="1"/>
    <x v="1"/>
    <s v="Retail"/>
    <n v="36"/>
    <x v="1"/>
    <n v="2028"/>
  </r>
  <r>
    <s v="ORD-01429"/>
    <x v="271"/>
    <s v="CUST-0066"/>
    <s v="PROD-009"/>
    <x v="21"/>
    <n v="10"/>
    <n v="1220"/>
    <n v="15.4"/>
    <n v="10321.200000000001"/>
    <s v="Completed"/>
    <s v="Delhi"/>
    <n v="0"/>
    <b v="1"/>
    <x v="4"/>
    <s v="Retail"/>
    <n v="24"/>
    <x v="3"/>
    <n v="517"/>
  </r>
  <r>
    <s v="ORD-01430"/>
    <x v="96"/>
    <s v="CUST-0267"/>
    <s v="PROD-027"/>
    <x v="9"/>
    <n v="3"/>
    <n v="3780"/>
    <n v="1.9"/>
    <n v="11124.54"/>
    <s v="Completed"/>
    <s v="Hyderabad"/>
    <n v="0"/>
    <b v="1"/>
    <x v="2"/>
    <s v="Retail"/>
    <n v="27"/>
    <x v="1"/>
    <n v="2436"/>
  </r>
  <r>
    <s v="ORD-01431"/>
    <x v="133"/>
    <s v="CUST-0034"/>
    <s v="PROD-038"/>
    <x v="26"/>
    <n v="6"/>
    <n v="5490"/>
    <n v="0.5"/>
    <n v="32775.300000000003"/>
    <s v="Pending"/>
    <s v="Delhi"/>
    <n v="0"/>
    <b v="1"/>
    <x v="3"/>
    <s v="Retail"/>
    <n v="47"/>
    <x v="3"/>
    <n v="2549"/>
  </r>
  <r>
    <s v="ORD-01432"/>
    <x v="185"/>
    <s v="CUST-0029"/>
    <s v="PROD-022"/>
    <x v="20"/>
    <n v="6"/>
    <n v="2270"/>
    <n v="21.5"/>
    <n v="10691.7"/>
    <s v="Completed"/>
    <s v="Chennai"/>
    <n v="0"/>
    <b v="1"/>
    <x v="2"/>
    <s v="Corporate"/>
    <n v="54"/>
    <x v="2"/>
    <n v="1412"/>
  </r>
  <r>
    <s v="ORD-01433"/>
    <x v="77"/>
    <s v="CUST-0224"/>
    <s v="PROD-029"/>
    <x v="12"/>
    <n v="7"/>
    <n v="2210"/>
    <n v="10.3"/>
    <n v="13876.59"/>
    <s v="Completed"/>
    <s v="Chennai"/>
    <n v="0"/>
    <b v="1"/>
    <x v="2"/>
    <s v="Corporate"/>
    <n v="24"/>
    <x v="3"/>
    <n v="1010"/>
  </r>
  <r>
    <s v="ORD-01434"/>
    <x v="150"/>
    <s v="CUST-9889"/>
    <s v="PROD-035"/>
    <x v="18"/>
    <n v="8"/>
    <n v="1090"/>
    <n v="21.7"/>
    <n v="6827.76"/>
    <s v="Completed"/>
    <s v="Pune"/>
    <n v="0"/>
    <b v="1"/>
    <x v="3"/>
    <e v="#N/A"/>
    <e v="#N/A"/>
    <x v="1"/>
    <n v="464"/>
  </r>
  <r>
    <s v="ORD-01435"/>
    <x v="311"/>
    <s v="CUST-0130"/>
    <s v="PROD-018"/>
    <x v="25"/>
    <n v="5"/>
    <n v="3560"/>
    <n v="19.399999999999999"/>
    <n v="14346.8"/>
    <s v="Pending"/>
    <s v="Bengaluru"/>
    <n v="0"/>
    <b v="1"/>
    <x v="0"/>
    <s v="Corporate"/>
    <n v="41"/>
    <x v="0"/>
    <n v="2629"/>
  </r>
  <r>
    <s v="ORD-01436"/>
    <x v="358"/>
    <s v="CUST-0060"/>
    <s v="PROD-054"/>
    <x v="8"/>
    <n v="7"/>
    <n v="1010"/>
    <n v="28.2"/>
    <n v="5076.26"/>
    <s v="Completed"/>
    <s v="Pune"/>
    <n v="0"/>
    <b v="1"/>
    <x v="1"/>
    <s v="Retail"/>
    <n v="39"/>
    <x v="2"/>
    <n v="516"/>
  </r>
  <r>
    <s v="ORD-01437"/>
    <x v="19"/>
    <s v="CUST-0299"/>
    <s v="PROD-033"/>
    <x v="15"/>
    <n v="2"/>
    <n v="2030"/>
    <n v="27.3"/>
    <n v="2951.62"/>
    <s v="Refunded"/>
    <s v="Mumbai"/>
    <n v="0"/>
    <b v="1"/>
    <x v="3"/>
    <s v="Corporate"/>
    <n v="51"/>
    <x v="1"/>
    <n v="1143"/>
  </r>
  <r>
    <s v="ORD-01438"/>
    <x v="154"/>
    <s v="CUST-0013"/>
    <s v="PROD-001"/>
    <x v="27"/>
    <n v="6"/>
    <n v="5330"/>
    <n v="0.6"/>
    <n v="31788.12"/>
    <s v="Completed"/>
    <s v="Delhi"/>
    <n v="0"/>
    <b v="1"/>
    <x v="4"/>
    <s v="Retail"/>
    <n v="41"/>
    <x v="1"/>
    <n v="2405"/>
  </r>
  <r>
    <s v="ORD-01439"/>
    <x v="282"/>
    <s v="CUST-0193"/>
    <s v="PROD-010"/>
    <x v="0"/>
    <n v="2"/>
    <n v="2640"/>
    <n v="26"/>
    <n v="3907.2"/>
    <s v="Pending"/>
    <s v="Bengaluru"/>
    <n v="0"/>
    <b v="1"/>
    <x v="4"/>
    <s v="Retail"/>
    <n v="42"/>
    <x v="0"/>
    <n v="1149"/>
  </r>
  <r>
    <s v="ORD-01440"/>
    <x v="130"/>
    <s v="CUST-0170"/>
    <s v="PROD-008"/>
    <x v="27"/>
    <n v="8"/>
    <n v="2660"/>
    <n v="2.9"/>
    <n v="20662.88"/>
    <s v="Completed"/>
    <s v="Mumbai"/>
    <n v="0"/>
    <b v="0"/>
    <x v="4"/>
    <s v="SMB"/>
    <n v="22"/>
    <x v="1"/>
    <n v="1259"/>
  </r>
  <r>
    <s v="ORD-01441"/>
    <x v="69"/>
    <s v="CUST-0063"/>
    <s v="PROD-036"/>
    <x v="12"/>
    <n v="6"/>
    <n v="3250"/>
    <n v="11.1"/>
    <n v="17335.5"/>
    <s v="Completed"/>
    <s v="Mumbai"/>
    <n v="0"/>
    <b v="1"/>
    <x v="3"/>
    <s v="SMB"/>
    <n v="53"/>
    <x v="3"/>
    <n v="1556"/>
  </r>
  <r>
    <s v="ORD-01442"/>
    <x v="246"/>
    <s v="CUST-0168"/>
    <s v="PROD-029"/>
    <x v="10"/>
    <n v="1"/>
    <n v="2210"/>
    <n v="3.5"/>
    <n v="2132.65"/>
    <s v="Completed"/>
    <s v="Pune"/>
    <n v="0"/>
    <b v="1"/>
    <x v="2"/>
    <s v="Retail"/>
    <n v="25"/>
    <x v="0"/>
    <n v="1010"/>
  </r>
  <r>
    <s v="ORD-01443"/>
    <x v="39"/>
    <s v="CUST-0124"/>
    <s v="PROD-032"/>
    <x v="7"/>
    <n v="9"/>
    <n v="370"/>
    <n v="12.4"/>
    <n v="2917.08"/>
    <s v="Completed"/>
    <s v="Pune"/>
    <n v="0"/>
    <b v="1"/>
    <x v="3"/>
    <s v="Retail"/>
    <n v="57"/>
    <x v="3"/>
    <n v="288"/>
  </r>
  <r>
    <s v="ORD-01444"/>
    <x v="99"/>
    <s v="CUST-0138"/>
    <s v="PROD-059"/>
    <x v="24"/>
    <n v="3"/>
    <n v="3780"/>
    <n v="8.5"/>
    <n v="10376.1"/>
    <s v="Pending"/>
    <s v="Chennai"/>
    <n v="0"/>
    <b v="1"/>
    <x v="1"/>
    <s v="Retail"/>
    <n v="24"/>
    <x v="3"/>
    <n v="1860"/>
  </r>
  <r>
    <s v="ORD-01445"/>
    <x v="245"/>
    <s v="CUST-0146"/>
    <s v="PROD-054"/>
    <x v="25"/>
    <n v="2"/>
    <n v="1010"/>
    <n v="2.7"/>
    <n v="1965.46"/>
    <s v="Completed"/>
    <s v="Hyderabad"/>
    <n v="0"/>
    <b v="1"/>
    <x v="1"/>
    <s v="Retail"/>
    <n v="22"/>
    <x v="0"/>
    <n v="516"/>
  </r>
  <r>
    <s v="ORD-01446"/>
    <x v="167"/>
    <s v="CUST-0244"/>
    <s v="PROD-020"/>
    <x v="27"/>
    <n v="2"/>
    <n v="820"/>
    <n v="13.2"/>
    <n v="1423.52"/>
    <s v="Pending"/>
    <s v="Bengaluru"/>
    <n v="0"/>
    <b v="1"/>
    <x v="0"/>
    <s v="Retail"/>
    <n v="61"/>
    <x v="1"/>
    <n v="391"/>
  </r>
  <r>
    <s v="ORD-01447"/>
    <x v="337"/>
    <s v="CUST-0291"/>
    <s v="PROD-028"/>
    <x v="27"/>
    <n v="1"/>
    <n v="3660"/>
    <n v="14"/>
    <n v="3147.6"/>
    <s v="Refunded"/>
    <s v="Pune"/>
    <n v="0"/>
    <b v="0"/>
    <x v="2"/>
    <s v="SMB"/>
    <n v="29"/>
    <x v="1"/>
    <n v="2214"/>
  </r>
  <r>
    <s v="ORD-01448"/>
    <x v="130"/>
    <s v="CUST-0222"/>
    <s v="PROD-022"/>
    <x v="21"/>
    <n v="6"/>
    <n v="2270"/>
    <n v="16"/>
    <n v="11440.8"/>
    <s v="Completed"/>
    <s v="Chennai"/>
    <n v="0"/>
    <b v="1"/>
    <x v="2"/>
    <s v="Retail"/>
    <n v="37"/>
    <x v="3"/>
    <n v="1412"/>
  </r>
  <r>
    <s v="ORD-01449"/>
    <x v="311"/>
    <s v="CUST-0137"/>
    <s v="PROD-049"/>
    <x v="7"/>
    <n v="7"/>
    <n v="960"/>
    <n v="28.8"/>
    <n v="4784.6400000000003"/>
    <s v="Refunded"/>
    <s v="Mumbai"/>
    <n v="0"/>
    <b v="1"/>
    <x v="5"/>
    <s v="Retail"/>
    <n v="41"/>
    <x v="3"/>
    <n v="675"/>
  </r>
  <r>
    <s v="ORD-01450"/>
    <x v="218"/>
    <s v="CUST-0150"/>
    <s v="PROD-033"/>
    <x v="5"/>
    <n v="9"/>
    <n v="2030"/>
    <n v="3.4"/>
    <n v="17648.82"/>
    <s v="Completed"/>
    <s v="Pune"/>
    <n v="0"/>
    <b v="1"/>
    <x v="3"/>
    <s v="SMB"/>
    <n v="53"/>
    <x v="2"/>
    <n v="1143"/>
  </r>
  <r>
    <s v="ORD-01451"/>
    <x v="193"/>
    <s v="CUST-0058"/>
    <s v="PROD-023"/>
    <x v="1"/>
    <n v="6"/>
    <n v="2380"/>
    <n v="13.2"/>
    <n v="12395.04"/>
    <s v="Completed"/>
    <s v="Bengaluru"/>
    <n v="0"/>
    <b v="1"/>
    <x v="2"/>
    <s v="SMB"/>
    <n v="49"/>
    <x v="0"/>
    <n v="1182"/>
  </r>
  <r>
    <s v="ORD-01452"/>
    <x v="231"/>
    <s v="CUST-0187"/>
    <s v="PROD-047"/>
    <x v="18"/>
    <n v="10"/>
    <n v="3450"/>
    <n v="8.6999999999999993"/>
    <n v="31498.5"/>
    <s v="Completed"/>
    <s v="Chennai"/>
    <n v="0"/>
    <b v="1"/>
    <x v="5"/>
    <s v="SMB"/>
    <n v="51"/>
    <x v="1"/>
    <n v="2420"/>
  </r>
  <r>
    <s v="ORD-01453"/>
    <x v="173"/>
    <s v="CUST-0116"/>
    <s v="PROD-049"/>
    <x v="13"/>
    <n v="6"/>
    <n v="960"/>
    <n v="20.6"/>
    <n v="4573.4399999999996"/>
    <s v="Pending"/>
    <s v="Bengaluru"/>
    <n v="0"/>
    <b v="1"/>
    <x v="5"/>
    <s v="Retail"/>
    <n v="53"/>
    <x v="3"/>
    <n v="675"/>
  </r>
  <r>
    <s v="ORD-01454"/>
    <x v="123"/>
    <s v="CUST-0290"/>
    <s v="PROD-018"/>
    <x v="22"/>
    <n v="10"/>
    <n v="3560"/>
    <n v="1.4"/>
    <n v="35101.599999999999"/>
    <s v="Pending"/>
    <s v="Delhi"/>
    <n v="0"/>
    <b v="1"/>
    <x v="0"/>
    <s v="Retail"/>
    <n v="63"/>
    <x v="1"/>
    <n v="2629"/>
  </r>
  <r>
    <s v="ORD-01455"/>
    <x v="20"/>
    <s v="CUST-0053"/>
    <s v="PROD-015"/>
    <x v="2"/>
    <n v="4"/>
    <n v="2720"/>
    <n v="19.399999999999999"/>
    <n v="8769.2800000000007"/>
    <s v="Refunded"/>
    <s v="Delhi"/>
    <n v="0"/>
    <b v="1"/>
    <x v="0"/>
    <s v="Retail"/>
    <n v="53"/>
    <x v="1"/>
    <n v="1962"/>
  </r>
  <r>
    <s v="ORD-01456"/>
    <x v="86"/>
    <s v="CUST-0044"/>
    <s v="PROD-009"/>
    <x v="20"/>
    <n v="5"/>
    <n v="1220"/>
    <n v="15.6"/>
    <n v="5148.3999999999996"/>
    <s v="Completed"/>
    <s v="Hyderabad"/>
    <n v="0"/>
    <b v="1"/>
    <x v="4"/>
    <s v="SMB"/>
    <n v="29"/>
    <x v="2"/>
    <n v="517"/>
  </r>
  <r>
    <s v="ORD-01457"/>
    <x v="234"/>
    <s v="CUST-0267"/>
    <s v="PROD-035"/>
    <x v="17"/>
    <n v="5"/>
    <n v="1090"/>
    <n v="15"/>
    <n v="4632.5"/>
    <s v="Completed"/>
    <s v="Hyderabad"/>
    <n v="0"/>
    <b v="1"/>
    <x v="3"/>
    <s v="Retail"/>
    <n v="27"/>
    <x v="2"/>
    <n v="464"/>
  </r>
  <r>
    <s v="ORD-01458"/>
    <x v="221"/>
    <s v="CUST-0179"/>
    <s v="PROD-032"/>
    <x v="20"/>
    <n v="9"/>
    <n v="370"/>
    <n v="25.4"/>
    <n v="2484.1799999999998"/>
    <s v="Completed"/>
    <s v="Mumbai"/>
    <n v="0"/>
    <b v="1"/>
    <x v="3"/>
    <s v="SMB"/>
    <n v="54"/>
    <x v="2"/>
    <n v="288"/>
  </r>
  <r>
    <s v="ORD-01459"/>
    <x v="145"/>
    <s v="CUST-0089"/>
    <s v="PROD-055"/>
    <x v="0"/>
    <n v="7"/>
    <n v="2860"/>
    <n v="14"/>
    <n v="17217.2"/>
    <s v="Completed"/>
    <s v="Mumbai"/>
    <n v="0"/>
    <b v="1"/>
    <x v="1"/>
    <s v="SMB"/>
    <n v="43"/>
    <x v="0"/>
    <n v="2028"/>
  </r>
  <r>
    <s v="ORD-01460"/>
    <x v="156"/>
    <s v="CUST-0090"/>
    <s v="PROD-029"/>
    <x v="17"/>
    <n v="1"/>
    <n v="2210"/>
    <n v="1.7"/>
    <n v="2172.4299999999998"/>
    <s v="Completed"/>
    <s v="Bengaluru"/>
    <n v="0"/>
    <b v="1"/>
    <x v="2"/>
    <s v="Corporate"/>
    <n v="26"/>
    <x v="2"/>
    <n v="1010"/>
  </r>
  <r>
    <s v="ORD-01461"/>
    <x v="241"/>
    <s v="CUST-0135"/>
    <s v="PROD-030"/>
    <x v="5"/>
    <n v="3"/>
    <n v="970"/>
    <n v="20.3"/>
    <n v="2319.27"/>
    <s v="Pending"/>
    <s v="Pune"/>
    <n v="0"/>
    <b v="1"/>
    <x v="2"/>
    <s v="SMB"/>
    <n v="24"/>
    <x v="2"/>
    <n v="434"/>
  </r>
  <r>
    <s v="ORD-01462"/>
    <x v="233"/>
    <s v="CUST-0252"/>
    <s v="PROD-018"/>
    <x v="13"/>
    <n v="5"/>
    <n v="3560"/>
    <n v="17.100000000000001"/>
    <n v="14756.2"/>
    <s v="Completed"/>
    <s v="Bengaluru"/>
    <n v="0"/>
    <b v="1"/>
    <x v="0"/>
    <s v="Retail"/>
    <n v="27"/>
    <x v="3"/>
    <n v="2629"/>
  </r>
  <r>
    <s v="ORD-01463"/>
    <x v="244"/>
    <s v="CUST-0086"/>
    <s v="PROD-040"/>
    <x v="12"/>
    <n v="10"/>
    <n v="1080"/>
    <n v="12.8"/>
    <n v="9417.6"/>
    <s v="Completed"/>
    <s v="Hyderabad"/>
    <n v="0"/>
    <b v="1"/>
    <x v="3"/>
    <s v="Corporate"/>
    <n v="56"/>
    <x v="3"/>
    <n v="519"/>
  </r>
  <r>
    <s v="ORD-01464"/>
    <x v="258"/>
    <s v="CUST-0264"/>
    <s v="PROD-009"/>
    <x v="23"/>
    <n v="3"/>
    <n v="1220"/>
    <n v="1.9"/>
    <n v="3590.46"/>
    <s v="Completed"/>
    <s v="Pune"/>
    <n v="0"/>
    <b v="1"/>
    <x v="4"/>
    <s v="Retail"/>
    <n v="59"/>
    <x v="1"/>
    <n v="517"/>
  </r>
  <r>
    <s v="ORD-01465"/>
    <x v="319"/>
    <s v="CUST-9851"/>
    <s v="PROD-031"/>
    <x v="18"/>
    <n v="1"/>
    <n v="3730"/>
    <n v="14.7"/>
    <n v="3181.69"/>
    <s v="Pending"/>
    <s v="Pune"/>
    <n v="0"/>
    <b v="1"/>
    <x v="3"/>
    <e v="#N/A"/>
    <e v="#N/A"/>
    <x v="1"/>
    <n v="2135"/>
  </r>
  <r>
    <s v="ORD-01466"/>
    <x v="108"/>
    <s v="CUST-0143"/>
    <s v="PROD-007"/>
    <x v="19"/>
    <n v="3"/>
    <n v="1430"/>
    <n v="13.2"/>
    <n v="3723.72"/>
    <s v="Completed"/>
    <s v="Chennai"/>
    <n v="0"/>
    <b v="1"/>
    <x v="4"/>
    <s v="SMB"/>
    <n v="52"/>
    <x v="0"/>
    <n v="861"/>
  </r>
  <r>
    <s v="ORD-01467"/>
    <x v="3"/>
    <s v="CUST-0086"/>
    <s v="PROD-050"/>
    <x v="26"/>
    <n v="2"/>
    <n v="6080"/>
    <n v="21.8"/>
    <n v="9509.1200000000008"/>
    <s v="Cancelled"/>
    <s v="Hyderabad"/>
    <n v="0"/>
    <b v="1"/>
    <x v="5"/>
    <s v="Corporate"/>
    <n v="56"/>
    <x v="3"/>
    <n v="2617"/>
  </r>
  <r>
    <s v="ORD-01468"/>
    <x v="30"/>
    <s v="CUST-0196"/>
    <s v="PROD-048"/>
    <x v="15"/>
    <n v="9"/>
    <n v="5100"/>
    <n v="29.3"/>
    <n v="32451.3"/>
    <s v="Completed"/>
    <s v="Chennai"/>
    <n v="0"/>
    <b v="1"/>
    <x v="5"/>
    <s v="Retail"/>
    <n v="26"/>
    <x v="1"/>
    <n v="2237"/>
  </r>
  <r>
    <s v="ORD-01469"/>
    <x v="75"/>
    <s v="CUST-0089"/>
    <s v="PROD-011"/>
    <x v="2"/>
    <n v="5"/>
    <n v="3450"/>
    <n v="5.3"/>
    <n v="16335.75"/>
    <s v="Completed"/>
    <s v="Mumbai"/>
    <n v="0"/>
    <b v="1"/>
    <x v="0"/>
    <s v="SMB"/>
    <n v="43"/>
    <x v="1"/>
    <n v="1748"/>
  </r>
  <r>
    <s v="ORD-01470"/>
    <x v="215"/>
    <s v="CUST-0149"/>
    <s v="PROD-003"/>
    <x v="25"/>
    <n v="6"/>
    <n v="3570"/>
    <n v="17.3"/>
    <n v="17714.34"/>
    <s v="Completed"/>
    <s v="Hyderabad"/>
    <n v="0"/>
    <b v="1"/>
    <x v="4"/>
    <s v="Retail"/>
    <n v="44"/>
    <x v="0"/>
    <n v="1665"/>
  </r>
  <r>
    <s v="ORD-01471"/>
    <x v="328"/>
    <s v="CUST-0161"/>
    <s v="PROD-031"/>
    <x v="26"/>
    <n v="6"/>
    <n v="3730"/>
    <n v="1"/>
    <n v="22156.2"/>
    <s v="Completed"/>
    <s v="Chennai"/>
    <n v="0"/>
    <b v="1"/>
    <x v="3"/>
    <s v="Retail"/>
    <n v="38"/>
    <x v="3"/>
    <n v="2135"/>
  </r>
  <r>
    <s v="ORD-01472"/>
    <x v="182"/>
    <s v="CUST-0022"/>
    <s v="PROD-059"/>
    <x v="7"/>
    <n v="4"/>
    <n v="3780"/>
    <n v="13.1"/>
    <n v="13139.28"/>
    <s v="Completed"/>
    <s v="Bengaluru"/>
    <n v="0"/>
    <b v="1"/>
    <x v="1"/>
    <s v="Corporate"/>
    <n v="55"/>
    <x v="3"/>
    <n v="1860"/>
  </r>
  <r>
    <s v="ORD-01473"/>
    <x v="187"/>
    <s v="CUST-0169"/>
    <s v="PROD-017"/>
    <x v="23"/>
    <n v="1"/>
    <n v="2510"/>
    <n v="27.8"/>
    <n v="1812.22"/>
    <s v="Cancelled"/>
    <s v="Bengaluru"/>
    <n v="0"/>
    <b v="0"/>
    <x v="0"/>
    <s v="SMB"/>
    <n v="42"/>
    <x v="1"/>
    <n v="1075"/>
  </r>
  <r>
    <s v="ORD-01474"/>
    <x v="251"/>
    <s v="CUST-0290"/>
    <s v="PROD-037"/>
    <x v="0"/>
    <n v="9"/>
    <n v="660"/>
    <n v="29.3"/>
    <n v="4199.58"/>
    <s v="Completed"/>
    <s v="Delhi"/>
    <n v="0"/>
    <b v="1"/>
    <x v="3"/>
    <s v="Retail"/>
    <n v="63"/>
    <x v="0"/>
    <n v="329"/>
  </r>
  <r>
    <s v="ORD-01475"/>
    <x v="11"/>
    <s v="CUST-0156"/>
    <s v="PROD-013"/>
    <x v="14"/>
    <n v="7"/>
    <n v="3640"/>
    <n v="11.6"/>
    <n v="22524.32"/>
    <s v="Completed"/>
    <s v="Mumbai"/>
    <n v="0"/>
    <b v="1"/>
    <x v="0"/>
    <s v="Retail"/>
    <n v="33"/>
    <x v="2"/>
    <n v="2611"/>
  </r>
  <r>
    <s v="ORD-01476"/>
    <x v="209"/>
    <s v="CUST-0005"/>
    <s v="PROD-052"/>
    <x v="7"/>
    <n v="8"/>
    <n v="5410"/>
    <n v="25.6"/>
    <n v="32200.32"/>
    <s v="Completed"/>
    <s v="Chennai"/>
    <n v="0"/>
    <b v="1"/>
    <x v="1"/>
    <s v="Corporate"/>
    <n v="52"/>
    <x v="3"/>
    <n v="2265"/>
  </r>
  <r>
    <s v="ORD-01477"/>
    <x v="305"/>
    <s v="CUST-0206"/>
    <s v="PROD-058"/>
    <x v="4"/>
    <n v="4"/>
    <n v="2400"/>
    <n v="10.4"/>
    <n v="8601.6"/>
    <s v="Completed"/>
    <s v="Mumbai"/>
    <n v="0"/>
    <b v="1"/>
    <x v="1"/>
    <s v="Retail"/>
    <n v="40"/>
    <x v="0"/>
    <n v="974"/>
  </r>
  <r>
    <s v="ORD-01478"/>
    <x v="144"/>
    <s v="CUST-0240"/>
    <s v="PROD-038"/>
    <x v="8"/>
    <n v="2"/>
    <n v="5490"/>
    <n v="5.4"/>
    <n v="10387.08"/>
    <s v="Completed"/>
    <s v="Chennai"/>
    <n v="0"/>
    <b v="1"/>
    <x v="3"/>
    <s v="Corporate"/>
    <n v="35"/>
    <x v="2"/>
    <n v="2549"/>
  </r>
  <r>
    <s v="ORD-01479"/>
    <x v="340"/>
    <s v="CUST-0109"/>
    <s v="PROD-041"/>
    <x v="29"/>
    <n v="6"/>
    <n v="1540"/>
    <n v="0.6"/>
    <n v="9184.56"/>
    <s v="Completed"/>
    <s v="Pune"/>
    <n v="0"/>
    <b v="0"/>
    <x v="5"/>
    <s v="Retail"/>
    <n v="42"/>
    <x v="1"/>
    <n v="647"/>
  </r>
  <r>
    <s v="ORD-01480"/>
    <x v="30"/>
    <s v="CUST-0201"/>
    <s v="PROD-001"/>
    <x v="19"/>
    <n v="3"/>
    <n v="5330"/>
    <n v="1"/>
    <n v="15830.1"/>
    <s v="Pending"/>
    <s v="Hyderabad"/>
    <n v="0"/>
    <b v="1"/>
    <x v="4"/>
    <s v="Retail"/>
    <n v="31"/>
    <x v="0"/>
    <n v="2405"/>
  </r>
  <r>
    <s v="ORD-01481"/>
    <x v="190"/>
    <s v="CUST-0100"/>
    <s v="PROD-055"/>
    <x v="27"/>
    <n v="6"/>
    <n v="2860"/>
    <n v="13.3"/>
    <n v="14877.72"/>
    <s v="Completed"/>
    <s v="Hyderabad"/>
    <n v="0"/>
    <b v="1"/>
    <x v="1"/>
    <s v="Corporate"/>
    <n v="60"/>
    <x v="1"/>
    <n v="2028"/>
  </r>
  <r>
    <s v="ORD-01482"/>
    <x v="359"/>
    <s v="CUST-0262"/>
    <s v="PROD-046"/>
    <x v="3"/>
    <n v="3"/>
    <n v="4880"/>
    <n v="12.1"/>
    <n v="12868.56"/>
    <s v="Completed"/>
    <s v="Mumbai"/>
    <n v="0"/>
    <b v="1"/>
    <x v="5"/>
    <s v="Retail"/>
    <n v="52"/>
    <x v="0"/>
    <n v="2768"/>
  </r>
  <r>
    <s v="ORD-01483"/>
    <x v="177"/>
    <s v="CUST-0067"/>
    <s v="PROD-017"/>
    <x v="1"/>
    <n v="5"/>
    <n v="2510"/>
    <n v="2.9"/>
    <n v="12186.05"/>
    <s v="Pending"/>
    <s v="Delhi"/>
    <n v="0"/>
    <b v="0"/>
    <x v="0"/>
    <s v="SMB"/>
    <n v="59"/>
    <x v="0"/>
    <n v="1075"/>
  </r>
  <r>
    <s v="ORD-01484"/>
    <x v="283"/>
    <s v="CUST-9844"/>
    <s v="PROD-006"/>
    <x v="16"/>
    <n v="9"/>
    <n v="3970"/>
    <n v="28"/>
    <n v="25725.599999999999"/>
    <s v="Completed"/>
    <s v="Pune"/>
    <n v="0"/>
    <b v="1"/>
    <x v="4"/>
    <e v="#N/A"/>
    <e v="#N/A"/>
    <x v="3"/>
    <n v="2865"/>
  </r>
  <r>
    <s v="ORD-01485"/>
    <x v="106"/>
    <s v="CUST-0122"/>
    <s v="PROD-053"/>
    <x v="28"/>
    <n v="4"/>
    <n v="470"/>
    <n v="19.100000000000001"/>
    <n v="1520.92"/>
    <s v="Pending"/>
    <s v="Mumbai"/>
    <n v="0"/>
    <b v="0"/>
    <x v="1"/>
    <s v="Retail"/>
    <n v="44"/>
    <x v="2"/>
    <n v="302"/>
  </r>
  <r>
    <s v="ORD-01486"/>
    <x v="269"/>
    <s v="CUST-0129"/>
    <s v="PROD-001"/>
    <x v="5"/>
    <n v="7"/>
    <n v="5330"/>
    <n v="17.2"/>
    <n v="30892.68"/>
    <s v="Cancelled"/>
    <s v="Hyderabad"/>
    <n v="0"/>
    <b v="1"/>
    <x v="4"/>
    <s v="Retail"/>
    <n v="29"/>
    <x v="2"/>
    <n v="2405"/>
  </r>
  <r>
    <s v="ORD-01487"/>
    <x v="187"/>
    <s v="CUST-0056"/>
    <s v="PROD-035"/>
    <x v="27"/>
    <n v="4"/>
    <n v="1090"/>
    <n v="4.9000000000000004"/>
    <n v="4146.3599999999997"/>
    <s v="Cancelled"/>
    <s v="Bengaluru"/>
    <n v="0"/>
    <b v="1"/>
    <x v="3"/>
    <s v="SMB"/>
    <n v="46"/>
    <x v="1"/>
    <n v="464"/>
  </r>
  <r>
    <s v="ORD-01488"/>
    <x v="145"/>
    <s v="CUST-0080"/>
    <s v="PROD-054"/>
    <x v="18"/>
    <n v="2"/>
    <n v="1010"/>
    <n v="14"/>
    <n v="1737.2"/>
    <s v="Completed"/>
    <s v="Pune"/>
    <n v="0"/>
    <b v="1"/>
    <x v="1"/>
    <s v="SMB"/>
    <n v="30"/>
    <x v="1"/>
    <n v="516"/>
  </r>
  <r>
    <s v="ORD-01489"/>
    <x v="30"/>
    <s v="CUST-0155"/>
    <s v="PROD-004"/>
    <x v="29"/>
    <n v="9"/>
    <n v="3870"/>
    <n v="8.1999999999999993"/>
    <n v="31973.94"/>
    <s v="Completed"/>
    <s v="Pune"/>
    <n v="0"/>
    <b v="1"/>
    <x v="4"/>
    <s v="Corporate"/>
    <n v="40"/>
    <x v="1"/>
    <n v="1559"/>
  </r>
  <r>
    <s v="ORD-01490"/>
    <x v="304"/>
    <s v="CUST-0278"/>
    <s v="PROD-008"/>
    <x v="22"/>
    <n v="7"/>
    <n v="2660"/>
    <n v="15.9"/>
    <n v="15659.42"/>
    <s v="Completed"/>
    <s v="Hyderabad"/>
    <n v="0"/>
    <b v="0"/>
    <x v="4"/>
    <s v="Retail"/>
    <n v="41"/>
    <x v="1"/>
    <n v="1259"/>
  </r>
  <r>
    <s v="ORD-01491"/>
    <x v="204"/>
    <s v="CUST-0075"/>
    <s v="PROD-007"/>
    <x v="7"/>
    <n v="4"/>
    <n v="1430"/>
    <n v="25.6"/>
    <n v="4255.68"/>
    <s v="Completed"/>
    <s v="Mumbai"/>
    <n v="0"/>
    <b v="1"/>
    <x v="4"/>
    <s v="Corporate"/>
    <n v="55"/>
    <x v="3"/>
    <n v="861"/>
  </r>
  <r>
    <s v="ORD-01492"/>
    <x v="163"/>
    <s v="CUST-0274"/>
    <s v="PROD-046"/>
    <x v="12"/>
    <n v="4"/>
    <n v="4880"/>
    <n v="19.399999999999999"/>
    <n v="15733.12"/>
    <s v="Cancelled"/>
    <s v="Bengaluru"/>
    <n v="0"/>
    <b v="1"/>
    <x v="5"/>
    <s v="Corporate"/>
    <n v="36"/>
    <x v="3"/>
    <n v="2768"/>
  </r>
  <r>
    <s v="ORD-01493"/>
    <x v="286"/>
    <s v="CUST-0197"/>
    <s v="PROD-060"/>
    <x v="19"/>
    <n v="2"/>
    <n v="190"/>
    <n v="9"/>
    <n v="345.8"/>
    <s v="Completed"/>
    <s v="Bengaluru"/>
    <n v="0"/>
    <b v="1"/>
    <x v="1"/>
    <s v="Retail"/>
    <n v="55"/>
    <x v="0"/>
    <n v="147"/>
  </r>
  <r>
    <s v="ORD-01494"/>
    <x v="209"/>
    <s v="CUST-0294"/>
    <s v="PROD-045"/>
    <x v="7"/>
    <n v="1"/>
    <n v="3020"/>
    <n v="3.6"/>
    <n v="2911.28"/>
    <s v="Refunded"/>
    <s v="Delhi"/>
    <n v="0"/>
    <b v="1"/>
    <x v="5"/>
    <s v="Corporate"/>
    <n v="31"/>
    <x v="3"/>
    <n v="1626"/>
  </r>
  <r>
    <s v="ORD-01495"/>
    <x v="131"/>
    <s v="CUST-0281"/>
    <s v="PROD-046"/>
    <x v="7"/>
    <n v="2"/>
    <n v="4880"/>
    <n v="2"/>
    <n v="9564.7999999999993"/>
    <s v="Cancelled"/>
    <s v="Bengaluru"/>
    <n v="0"/>
    <b v="1"/>
    <x v="5"/>
    <s v="Corporate"/>
    <n v="57"/>
    <x v="3"/>
    <n v="2768"/>
  </r>
  <r>
    <s v="ORD-01496"/>
    <x v="158"/>
    <s v="CUST-0130"/>
    <s v="PROD-058"/>
    <x v="28"/>
    <n v="4"/>
    <n v="2400"/>
    <n v="11.5"/>
    <n v="8496"/>
    <s v="Completed"/>
    <s v="Bengaluru"/>
    <n v="0"/>
    <b v="1"/>
    <x v="1"/>
    <s v="Corporate"/>
    <n v="41"/>
    <x v="2"/>
    <n v="974"/>
  </r>
  <r>
    <s v="ORD-01497"/>
    <x v="298"/>
    <s v="CUST-0097"/>
    <s v="PROD-050"/>
    <x v="25"/>
    <n v="2"/>
    <n v="6080"/>
    <n v="0.5"/>
    <n v="12099.2"/>
    <s v="Cancelled"/>
    <s v="Mumbai"/>
    <n v="0"/>
    <b v="1"/>
    <x v="5"/>
    <s v="Retail"/>
    <n v="65"/>
    <x v="0"/>
    <n v="2617"/>
  </r>
  <r>
    <s v="ORD-01498"/>
    <x v="360"/>
    <s v="CUST-0148"/>
    <s v="PROD-023"/>
    <x v="12"/>
    <n v="7"/>
    <n v="2380"/>
    <n v="12.3"/>
    <n v="14610.82"/>
    <s v="Completed"/>
    <s v="Chennai"/>
    <n v="0"/>
    <b v="1"/>
    <x v="2"/>
    <s v="Retail"/>
    <n v="32"/>
    <x v="3"/>
    <n v="1182"/>
  </r>
  <r>
    <s v="ORD-01499"/>
    <x v="89"/>
    <s v="CUST-0102"/>
    <s v="PROD-041"/>
    <x v="19"/>
    <n v="10"/>
    <n v="1540"/>
    <n v="20.6"/>
    <n v="12227.6"/>
    <s v="Completed"/>
    <s v="Chennai"/>
    <n v="0"/>
    <b v="0"/>
    <x v="5"/>
    <s v="SMB"/>
    <n v="62"/>
    <x v="0"/>
    <n v="647"/>
  </r>
  <r>
    <s v="ORD-01500"/>
    <x v="226"/>
    <s v="CUST-0265"/>
    <s v="PROD-004"/>
    <x v="8"/>
    <n v="7"/>
    <n v="3870"/>
    <n v="6.1"/>
    <n v="25437.51"/>
    <s v="Completed"/>
    <s v="Chennai"/>
    <n v="0"/>
    <b v="1"/>
    <x v="4"/>
    <s v="Retail"/>
    <n v="49"/>
    <x v="2"/>
    <n v="1559"/>
  </r>
  <r>
    <s v="ORD-01501"/>
    <x v="266"/>
    <s v="CUST-0073"/>
    <s v="PROD-032"/>
    <x v="13"/>
    <n v="3"/>
    <n v="370"/>
    <n v="13.7"/>
    <n v="957.93"/>
    <s v="Completed"/>
    <s v="Pune"/>
    <n v="0"/>
    <b v="1"/>
    <x v="3"/>
    <s v="Corporate"/>
    <n v="40"/>
    <x v="3"/>
    <n v="288"/>
  </r>
  <r>
    <s v="ORD-01502"/>
    <x v="60"/>
    <s v="CUST-0070"/>
    <s v="PROD-060"/>
    <x v="28"/>
    <n v="8"/>
    <n v="190"/>
    <n v="0.2"/>
    <n v="1516.96"/>
    <s v="Completed"/>
    <s v="Mumbai"/>
    <n v="0"/>
    <b v="1"/>
    <x v="1"/>
    <s v="Retail"/>
    <n v="42"/>
    <x v="2"/>
    <n v="147"/>
  </r>
  <r>
    <s v="ORD-01503"/>
    <x v="350"/>
    <s v="CUST-0202"/>
    <s v="PROD-007"/>
    <x v="23"/>
    <n v="6"/>
    <n v="1430"/>
    <n v="0.1"/>
    <n v="8571.42"/>
    <s v="Completed"/>
    <s v="Chennai"/>
    <n v="0"/>
    <b v="1"/>
    <x v="4"/>
    <s v="Retail"/>
    <n v="39"/>
    <x v="1"/>
    <n v="861"/>
  </r>
  <r>
    <s v="ORD-01504"/>
    <x v="63"/>
    <s v="CUST-0240"/>
    <s v="PROD-053"/>
    <x v="16"/>
    <n v="4"/>
    <n v="470"/>
    <n v="3"/>
    <n v="1823.6"/>
    <s v="Completed"/>
    <s v="Chennai"/>
    <n v="0"/>
    <b v="0"/>
    <x v="1"/>
    <s v="Corporate"/>
    <n v="35"/>
    <x v="3"/>
    <n v="302"/>
  </r>
  <r>
    <s v="ORD-01505"/>
    <x v="225"/>
    <s v="CUST-0163"/>
    <s v="PROD-018"/>
    <x v="10"/>
    <n v="4"/>
    <n v="3560"/>
    <n v="1.1000000000000001"/>
    <n v="14083.36"/>
    <s v="Completed"/>
    <s v="Pune"/>
    <n v="0"/>
    <b v="1"/>
    <x v="0"/>
    <s v="Retail"/>
    <n v="49"/>
    <x v="0"/>
    <n v="2629"/>
  </r>
  <r>
    <s v="ORD-01506"/>
    <x v="126"/>
    <s v="CUST-0238"/>
    <s v="PROD-046"/>
    <x v="27"/>
    <n v="5"/>
    <n v="4880"/>
    <n v="17"/>
    <n v="20252"/>
    <s v="Completed"/>
    <s v="Delhi"/>
    <n v="0"/>
    <b v="1"/>
    <x v="5"/>
    <s v="Retail"/>
    <n v="49"/>
    <x v="1"/>
    <n v="2768"/>
  </r>
  <r>
    <s v="ORD-01507"/>
    <x v="64"/>
    <s v="CUST-0196"/>
    <s v="PROD-003"/>
    <x v="18"/>
    <n v="9"/>
    <n v="3570"/>
    <n v="12"/>
    <n v="28274.400000000001"/>
    <s v="Completed"/>
    <s v="Chennai"/>
    <n v="0"/>
    <b v="1"/>
    <x v="4"/>
    <s v="Retail"/>
    <n v="26"/>
    <x v="1"/>
    <n v="1665"/>
  </r>
  <r>
    <s v="ORD-01508"/>
    <x v="43"/>
    <s v="CUST-0220"/>
    <s v="PROD-051"/>
    <x v="5"/>
    <n v="6"/>
    <n v="3450"/>
    <n v="22.7"/>
    <n v="16001.1"/>
    <s v="Cancelled"/>
    <s v="Chennai"/>
    <n v="0"/>
    <b v="1"/>
    <x v="1"/>
    <s v="Retail"/>
    <n v="34"/>
    <x v="2"/>
    <n v="2467"/>
  </r>
  <r>
    <s v="ORD-01509"/>
    <x v="145"/>
    <s v="CUST-0142"/>
    <s v="PROD-040"/>
    <x v="25"/>
    <n v="10"/>
    <n v="1080"/>
    <n v="27.4"/>
    <n v="7840.8"/>
    <s v="Completed"/>
    <s v="Chennai"/>
    <n v="0"/>
    <b v="1"/>
    <x v="3"/>
    <s v="Corporate"/>
    <n v="55"/>
    <x v="0"/>
    <n v="519"/>
  </r>
  <r>
    <s v="ORD-01510"/>
    <x v="150"/>
    <s v="CUST-0217"/>
    <s v="PROD-041"/>
    <x v="5"/>
    <n v="6"/>
    <n v="1540"/>
    <n v="17.100000000000001"/>
    <n v="7659.96"/>
    <s v="Completed"/>
    <s v="Pune"/>
    <n v="0"/>
    <b v="0"/>
    <x v="5"/>
    <s v="SMB"/>
    <n v="59"/>
    <x v="2"/>
    <n v="647"/>
  </r>
  <r>
    <s v="ORD-01511"/>
    <x v="361"/>
    <s v="CUST-9582"/>
    <s v="PROD-015"/>
    <x v="22"/>
    <n v="6"/>
    <n v="2720"/>
    <n v="28.1"/>
    <n v="11734.08"/>
    <s v="Completed"/>
    <s v="Mumbai"/>
    <n v="0"/>
    <b v="1"/>
    <x v="0"/>
    <e v="#N/A"/>
    <e v="#N/A"/>
    <x v="1"/>
    <n v="1962"/>
  </r>
  <r>
    <s v="ORD-01512"/>
    <x v="28"/>
    <s v="CUST-0267"/>
    <s v="PROD-034"/>
    <x v="1"/>
    <n v="2"/>
    <n v="5080"/>
    <n v="11.1"/>
    <n v="9032.24"/>
    <s v="Completed"/>
    <s v="Hyderabad"/>
    <n v="0"/>
    <b v="1"/>
    <x v="3"/>
    <s v="Retail"/>
    <n v="27"/>
    <x v="0"/>
    <n v="2459"/>
  </r>
  <r>
    <s v="ORD-01513"/>
    <x v="90"/>
    <s v="CUST-9565"/>
    <s v="PROD-016"/>
    <x v="4"/>
    <n v="5"/>
    <n v="620"/>
    <n v="10.9"/>
    <n v="2762.1"/>
    <s v="Pending"/>
    <s v="Chennai"/>
    <n v="0"/>
    <b v="1"/>
    <x v="0"/>
    <e v="#N/A"/>
    <e v="#N/A"/>
    <x v="0"/>
    <n v="396"/>
  </r>
  <r>
    <s v="ORD-01514"/>
    <x v="312"/>
    <s v="CUST-0051"/>
    <s v="PROD-019"/>
    <x v="11"/>
    <n v="3"/>
    <n v="2480"/>
    <n v="5"/>
    <n v="7068"/>
    <s v="Completed"/>
    <s v="Pune"/>
    <n v="0"/>
    <b v="1"/>
    <x v="0"/>
    <s v="SMB"/>
    <n v="54"/>
    <x v="0"/>
    <n v="1173"/>
  </r>
  <r>
    <s v="ORD-01515"/>
    <x v="205"/>
    <s v="CUST-0075"/>
    <s v="PROD-054"/>
    <x v="1"/>
    <n v="9"/>
    <n v="1010"/>
    <n v="21.9"/>
    <n v="7099.29"/>
    <s v="Completed"/>
    <s v="Mumbai"/>
    <n v="0"/>
    <b v="1"/>
    <x v="1"/>
    <s v="Corporate"/>
    <n v="55"/>
    <x v="0"/>
    <n v="516"/>
  </r>
  <r>
    <s v="ORD-01516"/>
    <x v="269"/>
    <s v="CUST-0106"/>
    <s v="PROD-040"/>
    <x v="10"/>
    <n v="2"/>
    <n v="1080"/>
    <n v="8.5"/>
    <n v="1976.4"/>
    <s v="Completed"/>
    <s v="Pune"/>
    <n v="0"/>
    <b v="1"/>
    <x v="3"/>
    <s v="Retail"/>
    <n v="22"/>
    <x v="0"/>
    <n v="519"/>
  </r>
  <r>
    <s v="ORD-01517"/>
    <x v="354"/>
    <s v="CUST-0053"/>
    <s v="PROD-053"/>
    <x v="5"/>
    <n v="5"/>
    <n v="470"/>
    <n v="8"/>
    <n v="2162"/>
    <s v="Completed"/>
    <s v="Delhi"/>
    <n v="0"/>
    <b v="0"/>
    <x v="1"/>
    <s v="Retail"/>
    <n v="53"/>
    <x v="2"/>
    <n v="302"/>
  </r>
  <r>
    <s v="ORD-01518"/>
    <x v="67"/>
    <s v="CUST-0042"/>
    <s v="PROD-006"/>
    <x v="16"/>
    <n v="9"/>
    <n v="3970"/>
    <n v="18.5"/>
    <n v="29119.95"/>
    <s v="Completed"/>
    <s v="Pune"/>
    <n v="0"/>
    <b v="1"/>
    <x v="4"/>
    <s v="Retail"/>
    <n v="25"/>
    <x v="3"/>
    <n v="2865"/>
  </r>
  <r>
    <s v="ORD-01519"/>
    <x v="105"/>
    <s v="CUST-0120"/>
    <s v="PROD-044"/>
    <x v="9"/>
    <n v="9"/>
    <n v="1650"/>
    <n v="19.5"/>
    <n v="11954.25"/>
    <s v="Completed"/>
    <s v="Mumbai"/>
    <n v="0"/>
    <b v="1"/>
    <x v="5"/>
    <s v="Retail"/>
    <n v="29"/>
    <x v="1"/>
    <n v="1222"/>
  </r>
  <r>
    <s v="ORD-01520"/>
    <x v="234"/>
    <s v="CUST-0166"/>
    <s v="PROD-043"/>
    <x v="3"/>
    <n v="9"/>
    <n v="3350"/>
    <n v="4.0999999999999996"/>
    <n v="28913.85"/>
    <s v="Completed"/>
    <s v="Hyderabad"/>
    <n v="0"/>
    <b v="1"/>
    <x v="5"/>
    <s v="Retail"/>
    <n v="31"/>
    <x v="0"/>
    <n v="1728"/>
  </r>
  <r>
    <s v="ORD-01521"/>
    <x v="305"/>
    <s v="CUST-0175"/>
    <s v="PROD-006"/>
    <x v="12"/>
    <n v="7"/>
    <n v="3970"/>
    <n v="15.6"/>
    <n v="23454.76"/>
    <s v="Completed"/>
    <s v="Delhi"/>
    <n v="0"/>
    <b v="1"/>
    <x v="4"/>
    <s v="Corporate"/>
    <n v="55"/>
    <x v="3"/>
    <n v="2865"/>
  </r>
  <r>
    <s v="ORD-01522"/>
    <x v="253"/>
    <s v="CUST-0001"/>
    <s v="PROD-027"/>
    <x v="26"/>
    <n v="7"/>
    <n v="3780"/>
    <n v="18.7"/>
    <n v="21511.98"/>
    <s v="Completed"/>
    <s v="Pune"/>
    <n v="0"/>
    <b v="1"/>
    <x v="2"/>
    <s v="Retail"/>
    <n v="36"/>
    <x v="3"/>
    <n v="2436"/>
  </r>
  <r>
    <s v="ORD-01523"/>
    <x v="327"/>
    <s v="CUST-0238"/>
    <s v="PROD-020"/>
    <x v="22"/>
    <n v="4"/>
    <n v="820"/>
    <n v="18.8"/>
    <n v="2663.36"/>
    <s v="Cancelled"/>
    <s v="Delhi"/>
    <n v="0"/>
    <b v="1"/>
    <x v="0"/>
    <s v="Retail"/>
    <n v="49"/>
    <x v="1"/>
    <n v="391"/>
  </r>
  <r>
    <s v="ORD-01524"/>
    <x v="77"/>
    <s v="CUST-0279"/>
    <s v="PROD-044"/>
    <x v="24"/>
    <n v="1"/>
    <n v="1650"/>
    <n v="18.8"/>
    <n v="1339.8"/>
    <s v="Cancelled"/>
    <s v="Mumbai"/>
    <n v="0"/>
    <b v="1"/>
    <x v="5"/>
    <s v="Retail"/>
    <n v="56"/>
    <x v="3"/>
    <n v="1222"/>
  </r>
  <r>
    <s v="ORD-01525"/>
    <x v="245"/>
    <s v="CUST-0042"/>
    <s v="PROD-027"/>
    <x v="13"/>
    <n v="2"/>
    <n v="3780"/>
    <n v="1"/>
    <n v="7484.4"/>
    <s v="Refunded"/>
    <s v="Pune"/>
    <n v="0"/>
    <b v="1"/>
    <x v="2"/>
    <s v="Retail"/>
    <n v="25"/>
    <x v="3"/>
    <n v="2436"/>
  </r>
  <r>
    <s v="ORD-01526"/>
    <x v="53"/>
    <s v="CUST-0137"/>
    <s v="PROD-029"/>
    <x v="28"/>
    <n v="5"/>
    <n v="2210"/>
    <n v="16.600000000000001"/>
    <n v="9215.7000000000007"/>
    <s v="Completed"/>
    <s v="Mumbai"/>
    <n v="0"/>
    <b v="1"/>
    <x v="2"/>
    <s v="Retail"/>
    <n v="41"/>
    <x v="2"/>
    <n v="1010"/>
  </r>
  <r>
    <s v="ORD-01527"/>
    <x v="173"/>
    <s v="CUST-0160"/>
    <s v="PROD-056"/>
    <x v="9"/>
    <n v="10"/>
    <n v="6940"/>
    <n v="10.6"/>
    <n v="62043.6"/>
    <s v="Completed"/>
    <s v="Hyderabad"/>
    <n v="0"/>
    <b v="1"/>
    <x v="1"/>
    <s v="Retail"/>
    <n v="27"/>
    <x v="1"/>
    <n v="2827"/>
  </r>
  <r>
    <s v="ORD-01528"/>
    <x v="253"/>
    <s v="CUST-0102"/>
    <s v="PROD-042"/>
    <x v="1"/>
    <n v="8"/>
    <n v="2290"/>
    <n v="12.2"/>
    <n v="16084.96"/>
    <s v="Completed"/>
    <s v="Chennai"/>
    <n v="0"/>
    <b v="1"/>
    <x v="5"/>
    <s v="SMB"/>
    <n v="62"/>
    <x v="0"/>
    <n v="1219"/>
  </r>
  <r>
    <s v="ORD-01529"/>
    <x v="201"/>
    <s v="CUST-0133"/>
    <s v="PROD-033"/>
    <x v="5"/>
    <n v="5"/>
    <n v="2030"/>
    <n v="23.8"/>
    <n v="7734.3"/>
    <s v="Cancelled"/>
    <s v="Chennai"/>
    <n v="0"/>
    <b v="1"/>
    <x v="3"/>
    <s v="Retail"/>
    <n v="26"/>
    <x v="2"/>
    <n v="1143"/>
  </r>
  <r>
    <s v="ORD-01530"/>
    <x v="14"/>
    <s v="CUST-0080"/>
    <s v="PROD-006"/>
    <x v="20"/>
    <n v="3"/>
    <n v="3970"/>
    <n v="7.7"/>
    <n v="10992.93"/>
    <s v="Completed"/>
    <s v="Pune"/>
    <n v="0"/>
    <b v="1"/>
    <x v="4"/>
    <s v="SMB"/>
    <n v="30"/>
    <x v="2"/>
    <n v="2865"/>
  </r>
  <r>
    <s v="ORD-01821"/>
    <x v="214"/>
    <s v="CUST-0299"/>
    <s v="PROD-020"/>
    <x v="29"/>
    <n v="1"/>
    <n v="820"/>
    <n v="5.4"/>
    <n v="775.72"/>
    <s v="Completed"/>
    <s v="Mumbai"/>
    <n v="1"/>
    <b v="1"/>
    <x v="0"/>
    <s v="Corporate"/>
    <n v="51"/>
    <x v="1"/>
    <n v="391"/>
  </r>
  <r>
    <s v="ORD-01532"/>
    <x v="22"/>
    <s v="CUST-0078"/>
    <s v="PROD-004"/>
    <x v="5"/>
    <n v="3"/>
    <n v="3870"/>
    <n v="1.9"/>
    <n v="11389.41"/>
    <s v="Completed"/>
    <s v="Delhi"/>
    <n v="0"/>
    <b v="1"/>
    <x v="4"/>
    <s v="Retail"/>
    <n v="31"/>
    <x v="2"/>
    <n v="1559"/>
  </r>
  <r>
    <s v="ORD-01533"/>
    <x v="197"/>
    <s v="CUST-0251"/>
    <s v="PROD-030"/>
    <x v="24"/>
    <n v="6"/>
    <n v="970"/>
    <n v="27.1"/>
    <n v="4242.78"/>
    <s v="Completed"/>
    <s v="Mumbai"/>
    <n v="0"/>
    <b v="1"/>
    <x v="2"/>
    <s v="Retail"/>
    <n v="44"/>
    <x v="3"/>
    <n v="434"/>
  </r>
  <r>
    <s v="ORD-01534"/>
    <x v="237"/>
    <s v="CUST-0191"/>
    <s v="PROD-046"/>
    <x v="5"/>
    <n v="1"/>
    <n v="4880"/>
    <n v="26.8"/>
    <n v="3572.16"/>
    <s v="Completed"/>
    <s v="Hyderabad"/>
    <n v="0"/>
    <b v="1"/>
    <x v="5"/>
    <s v="SMB"/>
    <n v="43"/>
    <x v="2"/>
    <n v="2768"/>
  </r>
  <r>
    <s v="ORD-01535"/>
    <x v="186"/>
    <s v="CUST-0130"/>
    <s v="PROD-022"/>
    <x v="12"/>
    <n v="1"/>
    <n v="2270"/>
    <n v="22.2"/>
    <n v="1766.06"/>
    <s v="Completed"/>
    <s v="Bengaluru"/>
    <n v="0"/>
    <b v="1"/>
    <x v="2"/>
    <s v="Corporate"/>
    <n v="41"/>
    <x v="3"/>
    <n v="1412"/>
  </r>
  <r>
    <s v="ORD-01536"/>
    <x v="351"/>
    <s v="CUST-0056"/>
    <s v="PROD-047"/>
    <x v="17"/>
    <n v="10"/>
    <n v="3450"/>
    <n v="21.9"/>
    <n v="26944.5"/>
    <s v="Completed"/>
    <s v="Bengaluru"/>
    <n v="0"/>
    <b v="1"/>
    <x v="5"/>
    <s v="SMB"/>
    <n v="46"/>
    <x v="2"/>
    <n v="2420"/>
  </r>
  <r>
    <s v="ORD-01537"/>
    <x v="48"/>
    <s v="CUST-0185"/>
    <s v="PROD-022"/>
    <x v="23"/>
    <n v="3"/>
    <n v="2270"/>
    <n v="19.100000000000001"/>
    <n v="5509.29"/>
    <s v="Cancelled"/>
    <s v="Hyderabad"/>
    <n v="0"/>
    <b v="1"/>
    <x v="2"/>
    <s v="SMB"/>
    <n v="43"/>
    <x v="1"/>
    <n v="1412"/>
  </r>
  <r>
    <s v="ORD-01538"/>
    <x v="107"/>
    <s v="CUST-0195"/>
    <s v="PROD-029"/>
    <x v="14"/>
    <n v="10"/>
    <n v="2210"/>
    <n v="22.3"/>
    <n v="17171.7"/>
    <s v="Completed"/>
    <s v="Bengaluru"/>
    <n v="0"/>
    <b v="1"/>
    <x v="2"/>
    <s v="Retail"/>
    <n v="28"/>
    <x v="2"/>
    <n v="1010"/>
  </r>
  <r>
    <s v="ORD-01539"/>
    <x v="57"/>
    <s v="CUST-0067"/>
    <s v="PROD-033"/>
    <x v="23"/>
    <n v="9"/>
    <n v="2030"/>
    <n v="24.8"/>
    <n v="13739.04"/>
    <s v="Completed"/>
    <s v="Delhi"/>
    <n v="0"/>
    <b v="1"/>
    <x v="3"/>
    <s v="SMB"/>
    <n v="59"/>
    <x v="1"/>
    <n v="1143"/>
  </r>
  <r>
    <s v="ORD-01540"/>
    <x v="82"/>
    <s v="CUST-0149"/>
    <s v="PROD-043"/>
    <x v="12"/>
    <n v="5"/>
    <n v="3350"/>
    <n v="18.2"/>
    <n v="13701.5"/>
    <s v="Completed"/>
    <s v="Hyderabad"/>
    <n v="0"/>
    <b v="1"/>
    <x v="5"/>
    <s v="Retail"/>
    <n v="44"/>
    <x v="3"/>
    <n v="1728"/>
  </r>
  <r>
    <s v="ORD-01541"/>
    <x v="243"/>
    <s v="CUST-0268"/>
    <s v="PROD-013"/>
    <x v="4"/>
    <n v="7"/>
    <n v="3640"/>
    <n v="14.4"/>
    <n v="21810.880000000001"/>
    <s v="Completed"/>
    <s v="Chennai"/>
    <n v="0"/>
    <b v="1"/>
    <x v="0"/>
    <s v="Retail"/>
    <n v="35"/>
    <x v="0"/>
    <n v="2611"/>
  </r>
  <r>
    <s v="ORD-01542"/>
    <x v="217"/>
    <s v="CUST-0126"/>
    <s v="PROD-051"/>
    <x v="26"/>
    <n v="9"/>
    <n v="3450"/>
    <n v="20.100000000000001"/>
    <n v="24808.95"/>
    <s v="Completed"/>
    <s v="Mumbai"/>
    <n v="0"/>
    <b v="1"/>
    <x v="1"/>
    <s v="Retail"/>
    <n v="37"/>
    <x v="3"/>
    <n v="2467"/>
  </r>
  <r>
    <s v="ORD-01543"/>
    <x v="68"/>
    <s v="CUST-0017"/>
    <s v="PROD-047"/>
    <x v="11"/>
    <n v="6"/>
    <n v="3450"/>
    <n v="19.899999999999999"/>
    <n v="16580.7"/>
    <s v="Pending"/>
    <s v="Delhi"/>
    <n v="0"/>
    <b v="1"/>
    <x v="5"/>
    <s v="SMB"/>
    <n v="38"/>
    <x v="0"/>
    <n v="2420"/>
  </r>
  <r>
    <s v="ORD-01544"/>
    <x v="37"/>
    <s v="CUST-0250"/>
    <s v="PROD-042"/>
    <x v="24"/>
    <n v="4"/>
    <n v="2290"/>
    <n v="4.8"/>
    <n v="8720.32"/>
    <s v="Pending"/>
    <s v="Delhi"/>
    <n v="0"/>
    <b v="1"/>
    <x v="5"/>
    <s v="Retail"/>
    <n v="31"/>
    <x v="3"/>
    <n v="1219"/>
  </r>
  <r>
    <s v="ORD-01545"/>
    <x v="319"/>
    <s v="CUST-0245"/>
    <s v="PROD-057"/>
    <x v="9"/>
    <n v="9"/>
    <n v="960"/>
    <n v="2.4"/>
    <n v="8432.64"/>
    <s v="Completed"/>
    <s v="Hyderabad"/>
    <n v="0"/>
    <b v="1"/>
    <x v="1"/>
    <s v="Retail"/>
    <n v="65"/>
    <x v="1"/>
    <n v="705"/>
  </r>
  <r>
    <s v="ORD-01546"/>
    <x v="135"/>
    <s v="CUST-0016"/>
    <s v="PROD-039"/>
    <x v="5"/>
    <n v="9"/>
    <n v="4610"/>
    <n v="21.3"/>
    <n v="32652.63"/>
    <s v="Completed"/>
    <s v="Delhi"/>
    <n v="0"/>
    <b v="1"/>
    <x v="3"/>
    <s v="SMB"/>
    <n v="26"/>
    <x v="2"/>
    <n v="1850"/>
  </r>
  <r>
    <s v="ORD-01547"/>
    <x v="282"/>
    <s v="CUST-0063"/>
    <s v="PROD-028"/>
    <x v="11"/>
    <n v="1"/>
    <n v="3660"/>
    <n v="15.6"/>
    <n v="3089.04"/>
    <s v="Completed"/>
    <s v="Mumbai"/>
    <n v="0"/>
    <b v="0"/>
    <x v="2"/>
    <s v="SMB"/>
    <n v="53"/>
    <x v="0"/>
    <n v="2214"/>
  </r>
  <r>
    <s v="ORD-01548"/>
    <x v="168"/>
    <s v="CUST-0200"/>
    <s v="PROD-008"/>
    <x v="27"/>
    <n v="5"/>
    <n v="2660"/>
    <n v="20.399999999999999"/>
    <n v="10586.8"/>
    <s v="Completed"/>
    <s v="Hyderabad"/>
    <n v="0"/>
    <b v="0"/>
    <x v="4"/>
    <s v="Corporate"/>
    <n v="46"/>
    <x v="1"/>
    <n v="1259"/>
  </r>
  <r>
    <s v="ORD-01549"/>
    <x v="24"/>
    <s v="CUST-0017"/>
    <s v="PROD-041"/>
    <x v="17"/>
    <n v="8"/>
    <n v="1540"/>
    <n v="0.5"/>
    <n v="12258.4"/>
    <s v="Completed"/>
    <s v="Delhi"/>
    <n v="0"/>
    <b v="0"/>
    <x v="5"/>
    <s v="SMB"/>
    <n v="38"/>
    <x v="2"/>
    <n v="647"/>
  </r>
  <r>
    <s v="ORD-01550"/>
    <x v="356"/>
    <s v="CUST-0264"/>
    <s v="PROD-006"/>
    <x v="10"/>
    <n v="4"/>
    <n v="3970"/>
    <n v="22.5"/>
    <n v="12307"/>
    <s v="Completed"/>
    <s v="Pune"/>
    <n v="0"/>
    <b v="1"/>
    <x v="4"/>
    <s v="Retail"/>
    <n v="59"/>
    <x v="0"/>
    <n v="2865"/>
  </r>
  <r>
    <s v="ORD-01551"/>
    <x v="213"/>
    <s v="CUST-0102"/>
    <s v="PROD-059"/>
    <x v="0"/>
    <n v="8"/>
    <n v="3780"/>
    <n v="3.8"/>
    <n v="29090.880000000001"/>
    <s v="Completed"/>
    <s v="Chennai"/>
    <n v="0"/>
    <b v="1"/>
    <x v="1"/>
    <s v="SMB"/>
    <n v="62"/>
    <x v="0"/>
    <n v="1860"/>
  </r>
  <r>
    <s v="ORD-01552"/>
    <x v="269"/>
    <s v="CUST-0092"/>
    <s v="PROD-022"/>
    <x v="10"/>
    <n v="4"/>
    <n v="2270"/>
    <n v="3.8"/>
    <n v="8734.9599999999991"/>
    <s v="Cancelled"/>
    <s v="Bengaluru"/>
    <n v="0"/>
    <b v="1"/>
    <x v="2"/>
    <s v="SMB"/>
    <n v="28"/>
    <x v="0"/>
    <n v="1412"/>
  </r>
  <r>
    <s v="ORD-01553"/>
    <x v="300"/>
    <s v="CUST-0139"/>
    <s v="PROD-009"/>
    <x v="18"/>
    <n v="10"/>
    <n v="1220"/>
    <n v="19.5"/>
    <n v="9821"/>
    <s v="Completed"/>
    <s v="Hyderabad"/>
    <n v="0"/>
    <b v="1"/>
    <x v="4"/>
    <s v="SMB"/>
    <n v="65"/>
    <x v="1"/>
    <n v="517"/>
  </r>
  <r>
    <s v="ORD-01554"/>
    <x v="188"/>
    <s v="CUST-0129"/>
    <s v="PROD-043"/>
    <x v="15"/>
    <n v="10"/>
    <n v="3350"/>
    <n v="7.8"/>
    <n v="30887"/>
    <s v="Completed"/>
    <s v="Hyderabad"/>
    <n v="0"/>
    <b v="1"/>
    <x v="5"/>
    <s v="Retail"/>
    <n v="29"/>
    <x v="1"/>
    <n v="1728"/>
  </r>
  <r>
    <s v="ORD-01555"/>
    <x v="243"/>
    <s v="CUST-9841"/>
    <s v="PROD-043"/>
    <x v="14"/>
    <n v="7"/>
    <n v="3350"/>
    <n v="14.5"/>
    <n v="20049.75"/>
    <s v="Completed"/>
    <s v="Bengaluru"/>
    <n v="0"/>
    <b v="1"/>
    <x v="5"/>
    <e v="#N/A"/>
    <e v="#N/A"/>
    <x v="2"/>
    <n v="1728"/>
  </r>
  <r>
    <s v="ORD-01556"/>
    <x v="242"/>
    <s v="CUST-0069"/>
    <s v="PROD-038"/>
    <x v="2"/>
    <n v="6"/>
    <n v="5490"/>
    <n v="8"/>
    <n v="30304.799999999999"/>
    <s v="Completed"/>
    <s v="Chennai"/>
    <n v="0"/>
    <b v="1"/>
    <x v="3"/>
    <s v="Retail"/>
    <n v="51"/>
    <x v="1"/>
    <n v="2549"/>
  </r>
  <r>
    <s v="ORD-01557"/>
    <x v="221"/>
    <s v="CUST-0140"/>
    <s v="PROD-055"/>
    <x v="26"/>
    <n v="3"/>
    <n v="2860"/>
    <n v="19.899999999999999"/>
    <n v="6872.58"/>
    <s v="Completed"/>
    <s v="Hyderabad"/>
    <n v="0"/>
    <b v="1"/>
    <x v="1"/>
    <s v="SMB"/>
    <n v="39"/>
    <x v="3"/>
    <n v="2028"/>
  </r>
  <r>
    <s v="ORD-01558"/>
    <x v="146"/>
    <s v="CUST-0138"/>
    <s v="PROD-010"/>
    <x v="6"/>
    <n v="3"/>
    <n v="2640"/>
    <n v="29.3"/>
    <n v="5599.44"/>
    <s v="Completed"/>
    <s v="Chennai"/>
    <n v="0"/>
    <b v="1"/>
    <x v="4"/>
    <s v="Retail"/>
    <n v="24"/>
    <x v="2"/>
    <n v="1149"/>
  </r>
  <r>
    <s v="ORD-01559"/>
    <x v="360"/>
    <s v="CUST-0277"/>
    <s v="PROD-011"/>
    <x v="20"/>
    <n v="8"/>
    <n v="3450"/>
    <n v="15.2"/>
    <n v="23404.799999999999"/>
    <s v="Cancelled"/>
    <s v="Chennai"/>
    <n v="0"/>
    <b v="1"/>
    <x v="0"/>
    <s v="Corporate"/>
    <n v="34"/>
    <x v="2"/>
    <n v="1748"/>
  </r>
  <r>
    <s v="ORD-01560"/>
    <x v="134"/>
    <s v="CUST-0017"/>
    <s v="PROD-032"/>
    <x v="5"/>
    <n v="6"/>
    <n v="370"/>
    <n v="7"/>
    <n v="2064.6"/>
    <s v="Completed"/>
    <s v="Delhi"/>
    <n v="0"/>
    <b v="1"/>
    <x v="3"/>
    <s v="SMB"/>
    <n v="38"/>
    <x v="2"/>
    <n v="288"/>
  </r>
  <r>
    <s v="ORD-01561"/>
    <x v="96"/>
    <s v="CUST-0170"/>
    <s v="PROD-025"/>
    <x v="20"/>
    <n v="10"/>
    <n v="4060"/>
    <n v="4.7"/>
    <n v="38691.800000000003"/>
    <s v="Cancelled"/>
    <s v="Mumbai"/>
    <n v="0"/>
    <b v="1"/>
    <x v="2"/>
    <s v="SMB"/>
    <n v="22"/>
    <x v="2"/>
    <n v="2911"/>
  </r>
  <r>
    <s v="ORD-01562"/>
    <x v="87"/>
    <s v="CUST-0022"/>
    <s v="PROD-004"/>
    <x v="6"/>
    <n v="1"/>
    <n v="3870"/>
    <n v="18.2"/>
    <n v="3165.66"/>
    <s v="Pending"/>
    <s v="Bengaluru"/>
    <n v="0"/>
    <b v="1"/>
    <x v="4"/>
    <s v="Corporate"/>
    <n v="55"/>
    <x v="2"/>
    <n v="1559"/>
  </r>
  <r>
    <s v="ORD-01563"/>
    <x v="217"/>
    <s v="CUST-0158"/>
    <s v="PROD-001"/>
    <x v="3"/>
    <n v="1"/>
    <n v="5330"/>
    <n v="3.9"/>
    <n v="5122.13"/>
    <s v="Refunded"/>
    <s v="Pune"/>
    <n v="0"/>
    <b v="1"/>
    <x v="4"/>
    <s v="Corporate"/>
    <n v="42"/>
    <x v="0"/>
    <n v="2405"/>
  </r>
  <r>
    <s v="ORD-01564"/>
    <x v="42"/>
    <s v="CUST-0160"/>
    <s v="PROD-032"/>
    <x v="16"/>
    <n v="8"/>
    <n v="370"/>
    <n v="1.3"/>
    <n v="2921.52"/>
    <s v="Completed"/>
    <s v="Hyderabad"/>
    <n v="0"/>
    <b v="1"/>
    <x v="3"/>
    <s v="Retail"/>
    <n v="27"/>
    <x v="3"/>
    <n v="288"/>
  </r>
  <r>
    <s v="ORD-01565"/>
    <x v="81"/>
    <s v="CUST-0009"/>
    <s v="PROD-005"/>
    <x v="16"/>
    <n v="7"/>
    <n v="300"/>
    <n v="7.1"/>
    <n v="1950.9"/>
    <s v="Completed"/>
    <s v="Mumbai"/>
    <n v="0"/>
    <b v="1"/>
    <x v="4"/>
    <s v="Retail"/>
    <n v="61"/>
    <x v="3"/>
    <n v="128"/>
  </r>
  <r>
    <s v="ORD-01566"/>
    <x v="118"/>
    <s v="CUST-0151"/>
    <s v="PROD-043"/>
    <x v="27"/>
    <n v="8"/>
    <n v="3350"/>
    <n v="11.2"/>
    <n v="23798.400000000001"/>
    <s v="Completed"/>
    <s v="Mumbai"/>
    <n v="0"/>
    <b v="1"/>
    <x v="5"/>
    <s v="Retail"/>
    <n v="53"/>
    <x v="1"/>
    <n v="1728"/>
  </r>
  <r>
    <s v="ORD-01567"/>
    <x v="72"/>
    <s v="CUST-0105"/>
    <s v="PROD-056"/>
    <x v="18"/>
    <n v="6"/>
    <n v="6940"/>
    <n v="0.3"/>
    <n v="41515.08"/>
    <s v="Completed"/>
    <s v="Chennai"/>
    <n v="0"/>
    <b v="1"/>
    <x v="1"/>
    <s v="SMB"/>
    <n v="51"/>
    <x v="1"/>
    <n v="2827"/>
  </r>
  <r>
    <s v="ORD-01568"/>
    <x v="64"/>
    <s v="CUST-0292"/>
    <s v="PROD-049"/>
    <x v="4"/>
    <n v="10"/>
    <n v="960"/>
    <n v="9.3000000000000007"/>
    <n v="8707.2000000000007"/>
    <s v="Cancelled"/>
    <s v="Bengaluru"/>
    <n v="0"/>
    <b v="1"/>
    <x v="5"/>
    <s v="Retail"/>
    <n v="32"/>
    <x v="0"/>
    <n v="675"/>
  </r>
  <r>
    <s v="ORD-01569"/>
    <x v="327"/>
    <s v="CUST-0076"/>
    <s v="PROD-021"/>
    <x v="13"/>
    <n v="10"/>
    <n v="2760"/>
    <n v="17.2"/>
    <n v="22852.799999999999"/>
    <s v="Completed"/>
    <s v="Mumbai"/>
    <n v="0"/>
    <b v="1"/>
    <x v="2"/>
    <s v="Retail"/>
    <n v="38"/>
    <x v="3"/>
    <n v="1435"/>
  </r>
  <r>
    <s v="ORD-01570"/>
    <x v="243"/>
    <s v="CUST-0152"/>
    <s v="PROD-024"/>
    <x v="17"/>
    <n v="4"/>
    <n v="2270"/>
    <n v="26.8"/>
    <n v="6646.56"/>
    <s v="Completed"/>
    <s v="Bengaluru"/>
    <n v="0"/>
    <b v="1"/>
    <x v="2"/>
    <s v="SMB"/>
    <n v="64"/>
    <x v="2"/>
    <n v="1203"/>
  </r>
  <r>
    <s v="ORD-01571"/>
    <x v="305"/>
    <s v="CUST-0146"/>
    <s v="PROD-002"/>
    <x v="13"/>
    <n v="2"/>
    <n v="2600"/>
    <n v="27"/>
    <n v="3796"/>
    <s v="Completed"/>
    <s v="Hyderabad"/>
    <n v="0"/>
    <b v="1"/>
    <x v="4"/>
    <s v="Retail"/>
    <n v="22"/>
    <x v="3"/>
    <n v="1052"/>
  </r>
  <r>
    <s v="ORD-01572"/>
    <x v="300"/>
    <s v="CUST-0127"/>
    <s v="PROD-003"/>
    <x v="6"/>
    <n v="4"/>
    <n v="3570"/>
    <n v="12.3"/>
    <n v="12523.56"/>
    <s v="Completed"/>
    <s v="Bengaluru"/>
    <n v="0"/>
    <b v="1"/>
    <x v="4"/>
    <s v="SMB"/>
    <n v="36"/>
    <x v="2"/>
    <n v="1665"/>
  </r>
  <r>
    <s v="ORD-01573"/>
    <x v="309"/>
    <s v="CUST-0173"/>
    <s v="PROD-034"/>
    <x v="29"/>
    <n v="5"/>
    <n v="5080"/>
    <n v="1.3"/>
    <n v="25069.8"/>
    <s v="Completed"/>
    <s v="Mumbai"/>
    <n v="0"/>
    <b v="1"/>
    <x v="3"/>
    <s v="Retail"/>
    <n v="65"/>
    <x v="1"/>
    <n v="2459"/>
  </r>
  <r>
    <s v="ORD-01574"/>
    <x v="1"/>
    <s v="CUST-0206"/>
    <s v="PROD-049"/>
    <x v="29"/>
    <n v="5"/>
    <n v="960"/>
    <n v="25.2"/>
    <n v="3590.4"/>
    <s v="Completed"/>
    <s v="Mumbai"/>
    <n v="0"/>
    <b v="1"/>
    <x v="5"/>
    <s v="Retail"/>
    <n v="40"/>
    <x v="1"/>
    <n v="675"/>
  </r>
  <r>
    <s v="ORD-01575"/>
    <x v="117"/>
    <s v="CUST-0072"/>
    <s v="PROD-053"/>
    <x v="9"/>
    <n v="7"/>
    <n v="470"/>
    <n v="21.6"/>
    <n v="2579.36"/>
    <s v="Completed"/>
    <s v="Mumbai"/>
    <n v="0"/>
    <b v="0"/>
    <x v="1"/>
    <s v="Corporate"/>
    <n v="62"/>
    <x v="1"/>
    <n v="302"/>
  </r>
  <r>
    <s v="ORD-01576"/>
    <x v="327"/>
    <s v="CUST-0004"/>
    <s v="PROD-009"/>
    <x v="28"/>
    <n v="4"/>
    <n v="1220"/>
    <n v="12.6"/>
    <n v="4265.12"/>
    <s v="Completed"/>
    <s v="Delhi"/>
    <n v="0"/>
    <b v="1"/>
    <x v="4"/>
    <s v="Retail"/>
    <n v="53"/>
    <x v="2"/>
    <n v="517"/>
  </r>
  <r>
    <s v="ORD-01577"/>
    <x v="174"/>
    <s v="CUST-0249"/>
    <s v="PROD-054"/>
    <x v="4"/>
    <n v="4"/>
    <n v="1010"/>
    <n v="11.3"/>
    <n v="3583.48"/>
    <s v="Completed"/>
    <s v="Mumbai"/>
    <n v="0"/>
    <b v="1"/>
    <x v="1"/>
    <s v="Retail"/>
    <n v="44"/>
    <x v="0"/>
    <n v="516"/>
  </r>
  <r>
    <s v="ORD-01578"/>
    <x v="253"/>
    <s v="CUST-0139"/>
    <s v="PROD-028"/>
    <x v="1"/>
    <n v="4"/>
    <n v="3660"/>
    <n v="7.2"/>
    <n v="13585.92"/>
    <s v="Completed"/>
    <s v="Hyderabad"/>
    <n v="0"/>
    <b v="0"/>
    <x v="2"/>
    <s v="SMB"/>
    <n v="65"/>
    <x v="0"/>
    <n v="2214"/>
  </r>
  <r>
    <s v="ORD-01579"/>
    <x v="138"/>
    <s v="CUST-0019"/>
    <s v="PROD-038"/>
    <x v="9"/>
    <n v="4"/>
    <n v="5490"/>
    <n v="8"/>
    <n v="20203.2"/>
    <s v="Completed"/>
    <s v="Chennai"/>
    <n v="0"/>
    <b v="1"/>
    <x v="3"/>
    <s v="Retail"/>
    <n v="22"/>
    <x v="1"/>
    <n v="2549"/>
  </r>
  <r>
    <s v="ORD-01580"/>
    <x v="218"/>
    <s v="CUST-0210"/>
    <s v="PROD-022"/>
    <x v="11"/>
    <n v="6"/>
    <n v="2270"/>
    <n v="17.100000000000001"/>
    <n v="11290.98"/>
    <s v="Completed"/>
    <s v="Pune"/>
    <n v="0"/>
    <b v="1"/>
    <x v="2"/>
    <s v="Corporate"/>
    <n v="48"/>
    <x v="0"/>
    <n v="1412"/>
  </r>
  <r>
    <s v="ORD-01581"/>
    <x v="276"/>
    <s v="CUST-0168"/>
    <s v="PROD-022"/>
    <x v="15"/>
    <n v="8"/>
    <n v="2270"/>
    <n v="11.9"/>
    <n v="15998.96"/>
    <s v="Pending"/>
    <s v="Pune"/>
    <n v="0"/>
    <b v="1"/>
    <x v="2"/>
    <s v="Retail"/>
    <n v="25"/>
    <x v="1"/>
    <n v="1412"/>
  </r>
  <r>
    <s v="ORD-01582"/>
    <x v="95"/>
    <s v="CUST-0094"/>
    <s v="PROD-002"/>
    <x v="26"/>
    <n v="6"/>
    <n v="2600"/>
    <n v="5.0999999999999996"/>
    <n v="14804.4"/>
    <s v="Completed"/>
    <s v="Pune"/>
    <n v="0"/>
    <b v="1"/>
    <x v="4"/>
    <s v="SMB"/>
    <n v="60"/>
    <x v="3"/>
    <n v="1052"/>
  </r>
  <r>
    <s v="ORD-01583"/>
    <x v="210"/>
    <s v="CUST-0259"/>
    <s v="PROD-004"/>
    <x v="28"/>
    <n v="9"/>
    <n v="3870"/>
    <n v="1.8"/>
    <n v="34203.06"/>
    <s v="Cancelled"/>
    <s v="Mumbai"/>
    <n v="0"/>
    <b v="1"/>
    <x v="4"/>
    <s v="Retail"/>
    <n v="34"/>
    <x v="2"/>
    <n v="1559"/>
  </r>
  <r>
    <s v="ORD-01584"/>
    <x v="61"/>
    <s v="CUST-0150"/>
    <s v="PROD-006"/>
    <x v="3"/>
    <n v="3"/>
    <n v="3970"/>
    <n v="8.1999999999999993"/>
    <n v="10933.38"/>
    <s v="Completed"/>
    <s v="Pune"/>
    <n v="0"/>
    <b v="1"/>
    <x v="4"/>
    <s v="SMB"/>
    <n v="53"/>
    <x v="0"/>
    <n v="2865"/>
  </r>
  <r>
    <s v="ORD-01585"/>
    <x v="334"/>
    <s v="CUST-0040"/>
    <s v="PROD-049"/>
    <x v="8"/>
    <n v="9"/>
    <n v="960"/>
    <n v="21.7"/>
    <n v="6765.12"/>
    <s v="Cancelled"/>
    <s v="Chennai"/>
    <n v="0"/>
    <b v="1"/>
    <x v="5"/>
    <s v="Retail"/>
    <n v="28"/>
    <x v="2"/>
    <n v="675"/>
  </r>
  <r>
    <s v="ORD-01586"/>
    <x v="215"/>
    <s v="CUST-0290"/>
    <s v="PROD-052"/>
    <x v="5"/>
    <n v="3"/>
    <n v="5410"/>
    <n v="20.3"/>
    <n v="12935.31"/>
    <s v="Completed"/>
    <s v="Delhi"/>
    <n v="0"/>
    <b v="1"/>
    <x v="1"/>
    <s v="Retail"/>
    <n v="63"/>
    <x v="2"/>
    <n v="2265"/>
  </r>
  <r>
    <s v="ORD-01587"/>
    <x v="133"/>
    <s v="CUST-0123"/>
    <s v="PROD-011"/>
    <x v="1"/>
    <n v="3"/>
    <n v="3450"/>
    <n v="11.6"/>
    <n v="9149.4"/>
    <s v="Completed"/>
    <s v="Chennai"/>
    <n v="0"/>
    <b v="1"/>
    <x v="0"/>
    <s v="Corporate"/>
    <n v="44"/>
    <x v="0"/>
    <n v="1748"/>
  </r>
  <r>
    <s v="ORD-01588"/>
    <x v="40"/>
    <s v="CUST-0053"/>
    <s v="PROD-045"/>
    <x v="4"/>
    <n v="2"/>
    <n v="3020"/>
    <n v="20.8"/>
    <n v="4783.68"/>
    <s v="Pending"/>
    <s v="Delhi"/>
    <n v="0"/>
    <b v="1"/>
    <x v="5"/>
    <s v="Retail"/>
    <n v="53"/>
    <x v="0"/>
    <n v="1626"/>
  </r>
  <r>
    <s v="ORD-01589"/>
    <x v="232"/>
    <s v="CUST-0179"/>
    <s v="PROD-060"/>
    <x v="25"/>
    <n v="3"/>
    <n v="190"/>
    <n v="10.7"/>
    <n v="509.01"/>
    <s v="Completed"/>
    <s v="Mumbai"/>
    <n v="0"/>
    <b v="1"/>
    <x v="1"/>
    <s v="SMB"/>
    <n v="54"/>
    <x v="0"/>
    <n v="147"/>
  </r>
  <r>
    <s v="ORD-01590"/>
    <x v="137"/>
    <s v="CUST-0006"/>
    <s v="PROD-031"/>
    <x v="27"/>
    <n v="4"/>
    <n v="3730"/>
    <n v="6.9"/>
    <n v="13890.52"/>
    <s v="Completed"/>
    <s v="Pune"/>
    <n v="0"/>
    <b v="1"/>
    <x v="3"/>
    <s v="SMB"/>
    <n v="44"/>
    <x v="1"/>
    <n v="2135"/>
  </r>
  <r>
    <s v="ORD-01591"/>
    <x v="240"/>
    <s v="CUST-0272"/>
    <s v="PROD-051"/>
    <x v="5"/>
    <n v="9"/>
    <n v="3450"/>
    <n v="22.2"/>
    <n v="24156.9"/>
    <s v="Cancelled"/>
    <s v="Mumbai"/>
    <n v="0"/>
    <b v="1"/>
    <x v="1"/>
    <s v="SMB"/>
    <n v="47"/>
    <x v="2"/>
    <n v="2467"/>
  </r>
  <r>
    <s v="ORD-01592"/>
    <x v="260"/>
    <s v="CUST-0274"/>
    <s v="PROD-006"/>
    <x v="25"/>
    <n v="3"/>
    <n v="3970"/>
    <n v="6.8"/>
    <n v="11100.12"/>
    <s v="Completed"/>
    <s v="Bengaluru"/>
    <n v="0"/>
    <b v="1"/>
    <x v="4"/>
    <s v="Corporate"/>
    <n v="36"/>
    <x v="0"/>
    <n v="2865"/>
  </r>
  <r>
    <s v="ORD-01593"/>
    <x v="32"/>
    <s v="CUST-0262"/>
    <s v="PROD-035"/>
    <x v="24"/>
    <n v="3"/>
    <n v="1090"/>
    <n v="23.7"/>
    <n v="2495.0100000000002"/>
    <s v="Completed"/>
    <s v="Mumbai"/>
    <n v="0"/>
    <b v="1"/>
    <x v="3"/>
    <s v="Retail"/>
    <n v="52"/>
    <x v="3"/>
    <n v="464"/>
  </r>
  <r>
    <s v="ORD-01594"/>
    <x v="212"/>
    <s v="CUST-0087"/>
    <s v="PROD-033"/>
    <x v="12"/>
    <n v="3"/>
    <n v="2030"/>
    <n v="18.8"/>
    <n v="4945.08"/>
    <s v="Completed"/>
    <s v="Pune"/>
    <n v="0"/>
    <b v="1"/>
    <x v="3"/>
    <s v="SMB"/>
    <n v="49"/>
    <x v="3"/>
    <n v="1143"/>
  </r>
  <r>
    <s v="ORD-01595"/>
    <x v="27"/>
    <s v="CUST-0198"/>
    <s v="PROD-026"/>
    <x v="4"/>
    <n v="2"/>
    <n v="4070"/>
    <n v="14.3"/>
    <n v="6975.98"/>
    <s v="Completed"/>
    <s v="Chennai"/>
    <n v="0"/>
    <b v="1"/>
    <x v="2"/>
    <s v="Corporate"/>
    <n v="22"/>
    <x v="0"/>
    <n v="2027"/>
  </r>
  <r>
    <s v="ORD-01596"/>
    <x v="306"/>
    <s v="CUST-0065"/>
    <s v="PROD-014"/>
    <x v="8"/>
    <n v="3"/>
    <n v="3620"/>
    <n v="13.5"/>
    <n v="9393.9"/>
    <s v="Completed"/>
    <s v="Chennai"/>
    <n v="0"/>
    <b v="1"/>
    <x v="0"/>
    <s v="Corporate"/>
    <n v="49"/>
    <x v="2"/>
    <n v="2509"/>
  </r>
  <r>
    <s v="ORD-01597"/>
    <x v="235"/>
    <s v="CUST-0209"/>
    <s v="PROD-054"/>
    <x v="19"/>
    <n v="4"/>
    <n v="1010"/>
    <n v="3.3"/>
    <n v="3906.68"/>
    <s v="Completed"/>
    <s v="Pune"/>
    <n v="0"/>
    <b v="1"/>
    <x v="1"/>
    <s v="Retail"/>
    <n v="31"/>
    <x v="0"/>
    <n v="516"/>
  </r>
  <r>
    <s v="ORD-01598"/>
    <x v="304"/>
    <s v="CUST-0181"/>
    <s v="PROD-030"/>
    <x v="1"/>
    <n v="7"/>
    <n v="970"/>
    <n v="0.1"/>
    <n v="6783.21"/>
    <s v="Completed"/>
    <s v="Delhi"/>
    <n v="0"/>
    <b v="1"/>
    <x v="2"/>
    <s v="SMB"/>
    <n v="38"/>
    <x v="0"/>
    <n v="434"/>
  </r>
  <r>
    <s v="ORD-01599"/>
    <x v="297"/>
    <s v="CUST-0007"/>
    <s v="PROD-053"/>
    <x v="28"/>
    <n v="5"/>
    <n v="470"/>
    <n v="18.3"/>
    <n v="1919.95"/>
    <s v="Refunded"/>
    <s v="Bengaluru"/>
    <n v="0"/>
    <b v="0"/>
    <x v="1"/>
    <s v="Retail"/>
    <n v="47"/>
    <x v="2"/>
    <n v="302"/>
  </r>
  <r>
    <s v="ORD-01600"/>
    <x v="274"/>
    <s v="CUST-0050"/>
    <s v="PROD-011"/>
    <x v="9"/>
    <n v="8"/>
    <n v="3450"/>
    <n v="5.0999999999999996"/>
    <n v="26192.400000000001"/>
    <s v="Refunded"/>
    <s v="Mumbai"/>
    <n v="0"/>
    <b v="1"/>
    <x v="0"/>
    <s v="Retail"/>
    <n v="37"/>
    <x v="1"/>
    <n v="1748"/>
  </r>
  <r>
    <s v="ORD-01601"/>
    <x v="57"/>
    <s v="CUST-0155"/>
    <s v="PROD-010"/>
    <x v="24"/>
    <n v="1"/>
    <n v="2640"/>
    <n v="5.9"/>
    <n v="2484.2399999999998"/>
    <s v="Completed"/>
    <s v="Pune"/>
    <n v="0"/>
    <b v="1"/>
    <x v="4"/>
    <s v="Corporate"/>
    <n v="40"/>
    <x v="3"/>
    <n v="1149"/>
  </r>
  <r>
    <s v="ORD-01602"/>
    <x v="20"/>
    <s v="CUST-0085"/>
    <s v="PROD-003"/>
    <x v="16"/>
    <n v="10"/>
    <n v="3570"/>
    <n v="21.5"/>
    <n v="28024.5"/>
    <s v="Completed"/>
    <s v="Chennai"/>
    <n v="0"/>
    <b v="1"/>
    <x v="4"/>
    <s v="Retail"/>
    <n v="26"/>
    <x v="3"/>
    <n v="1665"/>
  </r>
  <r>
    <s v="ORD-01603"/>
    <x v="248"/>
    <s v="CUST-0285"/>
    <s v="PROD-007"/>
    <x v="29"/>
    <n v="10"/>
    <n v="1430"/>
    <n v="11.4"/>
    <n v="12669.8"/>
    <s v="Cancelled"/>
    <s v="Hyderabad"/>
    <n v="0"/>
    <b v="1"/>
    <x v="4"/>
    <s v="Retail"/>
    <n v="22"/>
    <x v="1"/>
    <n v="861"/>
  </r>
  <r>
    <s v="ORD-01604"/>
    <x v="175"/>
    <s v="CUST-0148"/>
    <s v="PROD-057"/>
    <x v="22"/>
    <n v="7"/>
    <n v="960"/>
    <n v="22.9"/>
    <n v="5181.12"/>
    <s v="Completed"/>
    <s v="Chennai"/>
    <n v="0"/>
    <b v="1"/>
    <x v="1"/>
    <s v="Retail"/>
    <n v="32"/>
    <x v="1"/>
    <n v="705"/>
  </r>
  <r>
    <s v="ORD-01605"/>
    <x v="38"/>
    <s v="CUST-0252"/>
    <s v="PROD-036"/>
    <x v="9"/>
    <n v="8"/>
    <n v="3250"/>
    <n v="1.9"/>
    <n v="25506"/>
    <s v="Completed"/>
    <s v="Bengaluru"/>
    <n v="0"/>
    <b v="1"/>
    <x v="3"/>
    <s v="Retail"/>
    <n v="27"/>
    <x v="1"/>
    <n v="1556"/>
  </r>
  <r>
    <s v="ORD-01606"/>
    <x v="320"/>
    <s v="CUST-0141"/>
    <s v="PROD-051"/>
    <x v="26"/>
    <n v="9"/>
    <n v="3450"/>
    <n v="18"/>
    <n v="25461"/>
    <s v="Completed"/>
    <s v="Hyderabad"/>
    <n v="0"/>
    <b v="1"/>
    <x v="1"/>
    <s v="Corporate"/>
    <n v="22"/>
    <x v="3"/>
    <n v="2467"/>
  </r>
  <r>
    <s v="ORD-01607"/>
    <x v="30"/>
    <s v="CUST-0101"/>
    <s v="PROD-024"/>
    <x v="29"/>
    <n v="5"/>
    <n v="2270"/>
    <n v="11.5"/>
    <n v="10044.75"/>
    <s v="Completed"/>
    <s v="Hyderabad"/>
    <n v="0"/>
    <b v="1"/>
    <x v="2"/>
    <s v="SMB"/>
    <n v="40"/>
    <x v="1"/>
    <n v="1203"/>
  </r>
  <r>
    <s v="ORD-01608"/>
    <x v="121"/>
    <s v="CUST-0223"/>
    <s v="PROD-045"/>
    <x v="7"/>
    <n v="6"/>
    <n v="3020"/>
    <n v="12.6"/>
    <n v="15836.88"/>
    <s v="Completed"/>
    <s v="Bengaluru"/>
    <n v="0"/>
    <b v="1"/>
    <x v="5"/>
    <s v="Retail"/>
    <n v="46"/>
    <x v="3"/>
    <n v="1626"/>
  </r>
  <r>
    <s v="ORD-01609"/>
    <x v="58"/>
    <s v="CUST-0197"/>
    <s v="PROD-010"/>
    <x v="4"/>
    <n v="8"/>
    <n v="2640"/>
    <n v="14.5"/>
    <n v="18057.599999999999"/>
    <s v="Refunded"/>
    <s v="Bengaluru"/>
    <n v="0"/>
    <b v="1"/>
    <x v="4"/>
    <s v="Retail"/>
    <n v="55"/>
    <x v="0"/>
    <n v="1149"/>
  </r>
  <r>
    <s v="ORD-01610"/>
    <x v="230"/>
    <s v="CUST-0260"/>
    <s v="PROD-024"/>
    <x v="28"/>
    <n v="2"/>
    <n v="2270"/>
    <n v="27"/>
    <n v="3314.2"/>
    <s v="Completed"/>
    <s v="Bengaluru"/>
    <n v="0"/>
    <b v="1"/>
    <x v="2"/>
    <s v="Retail"/>
    <n v="42"/>
    <x v="2"/>
    <n v="1203"/>
  </r>
  <r>
    <s v="ORD-01611"/>
    <x v="184"/>
    <s v="CUST-0180"/>
    <s v="PROD-021"/>
    <x v="28"/>
    <n v="8"/>
    <n v="2760"/>
    <n v="18"/>
    <n v="18105.599999999999"/>
    <s v="Cancelled"/>
    <s v="Chennai"/>
    <n v="0"/>
    <b v="1"/>
    <x v="2"/>
    <s v="Retail"/>
    <n v="36"/>
    <x v="2"/>
    <n v="1435"/>
  </r>
  <r>
    <s v="ORD-01612"/>
    <x v="62"/>
    <s v="CUST-0166"/>
    <s v="PROD-014"/>
    <x v="12"/>
    <n v="8"/>
    <n v="3620"/>
    <n v="7.1"/>
    <n v="26903.84"/>
    <s v="Completed"/>
    <s v="Hyderabad"/>
    <n v="0"/>
    <b v="1"/>
    <x v="0"/>
    <s v="Retail"/>
    <n v="31"/>
    <x v="3"/>
    <n v="2509"/>
  </r>
  <r>
    <s v="ORD-01613"/>
    <x v="302"/>
    <s v="CUST-0062"/>
    <s v="PROD-042"/>
    <x v="13"/>
    <n v="8"/>
    <n v="2290"/>
    <n v="16.399999999999999"/>
    <n v="15315.52"/>
    <s v="Completed"/>
    <s v="Pune"/>
    <n v="0"/>
    <b v="1"/>
    <x v="5"/>
    <s v="Retail"/>
    <n v="54"/>
    <x v="3"/>
    <n v="1219"/>
  </r>
  <r>
    <s v="ORD-01614"/>
    <x v="32"/>
    <s v="CUST-0130"/>
    <s v="PROD-044"/>
    <x v="7"/>
    <n v="3"/>
    <n v="1650"/>
    <n v="1.8"/>
    <n v="4860.8999999999996"/>
    <s v="Cancelled"/>
    <s v="Bengaluru"/>
    <n v="0"/>
    <b v="1"/>
    <x v="5"/>
    <s v="Corporate"/>
    <n v="41"/>
    <x v="3"/>
    <n v="1222"/>
  </r>
  <r>
    <s v="ORD-01615"/>
    <x v="362"/>
    <s v="CUST-0162"/>
    <s v="PROD-001"/>
    <x v="26"/>
    <n v="3"/>
    <n v="5330"/>
    <n v="22.2"/>
    <n v="12440.22"/>
    <s v="Completed"/>
    <s v="Mumbai"/>
    <n v="0"/>
    <b v="1"/>
    <x v="4"/>
    <s v="Corporate"/>
    <n v="35"/>
    <x v="3"/>
    <n v="2405"/>
  </r>
  <r>
    <s v="ORD-01616"/>
    <x v="166"/>
    <s v="CUST-0153"/>
    <s v="PROD-040"/>
    <x v="24"/>
    <n v="7"/>
    <n v="1080"/>
    <n v="17.899999999999999"/>
    <n v="6206.76"/>
    <s v="Completed"/>
    <s v="Mumbai"/>
    <n v="0"/>
    <b v="1"/>
    <x v="3"/>
    <s v="Retail"/>
    <n v="35"/>
    <x v="3"/>
    <n v="519"/>
  </r>
  <r>
    <s v="ORD-01617"/>
    <x v="151"/>
    <s v="CUST-0071"/>
    <s v="PROD-009"/>
    <x v="24"/>
    <n v="10"/>
    <n v="1220"/>
    <n v="5.7"/>
    <n v="11504.6"/>
    <s v="Completed"/>
    <s v="Delhi"/>
    <n v="0"/>
    <b v="1"/>
    <x v="4"/>
    <s v="Corporate"/>
    <n v="46"/>
    <x v="3"/>
    <n v="517"/>
  </r>
  <r>
    <s v="ORD-01618"/>
    <x v="83"/>
    <s v="CUST-0200"/>
    <s v="PROD-037"/>
    <x v="14"/>
    <n v="10"/>
    <n v="660"/>
    <n v="7.5"/>
    <n v="6105"/>
    <s v="Completed"/>
    <s v="Hyderabad"/>
    <n v="0"/>
    <b v="1"/>
    <x v="3"/>
    <s v="Corporate"/>
    <n v="46"/>
    <x v="2"/>
    <n v="329"/>
  </r>
  <r>
    <s v="ORD-01619"/>
    <x v="88"/>
    <s v="CUST-0266"/>
    <s v="PROD-040"/>
    <x v="16"/>
    <n v="6"/>
    <n v="1080"/>
    <n v="28.9"/>
    <n v="4607.28"/>
    <s v="Completed"/>
    <s v="Pune"/>
    <n v="0"/>
    <b v="1"/>
    <x v="3"/>
    <s v="Retail"/>
    <n v="65"/>
    <x v="3"/>
    <n v="519"/>
  </r>
  <r>
    <s v="ORD-01620"/>
    <x v="241"/>
    <s v="CUST-0171"/>
    <s v="PROD-022"/>
    <x v="16"/>
    <n v="7"/>
    <n v="2270"/>
    <n v="1.4"/>
    <n v="15667.54"/>
    <s v="Completed"/>
    <s v="Chennai"/>
    <n v="0"/>
    <b v="1"/>
    <x v="2"/>
    <s v="Corporate"/>
    <n v="30"/>
    <x v="3"/>
    <n v="1412"/>
  </r>
  <r>
    <s v="ORD-01621"/>
    <x v="206"/>
    <s v="CUST-0221"/>
    <s v="PROD-032"/>
    <x v="8"/>
    <n v="3"/>
    <n v="370"/>
    <n v="9.6"/>
    <n v="1003.44"/>
    <s v="Refunded"/>
    <s v="Delhi"/>
    <n v="0"/>
    <b v="1"/>
    <x v="3"/>
    <s v="SMB"/>
    <n v="29"/>
    <x v="2"/>
    <n v="288"/>
  </r>
  <r>
    <s v="ORD-01622"/>
    <x v="13"/>
    <s v="CUST-0038"/>
    <s v="PROD-030"/>
    <x v="18"/>
    <n v="9"/>
    <n v="970"/>
    <n v="29.7"/>
    <n v="6137.19"/>
    <s v="Completed"/>
    <s v="Mumbai"/>
    <n v="0"/>
    <b v="1"/>
    <x v="2"/>
    <s v="Retail"/>
    <n v="57"/>
    <x v="1"/>
    <n v="434"/>
  </r>
  <r>
    <s v="ORD-00613"/>
    <x v="171"/>
    <s v="CUST-0174"/>
    <s v="PROD-016"/>
    <x v="11"/>
    <n v="1"/>
    <n v="620"/>
    <n v="10.4"/>
    <n v="555.52"/>
    <s v="Cancelled"/>
    <s v="Pune"/>
    <n v="0"/>
    <b v="1"/>
    <x v="0"/>
    <s v="Retail"/>
    <n v="54"/>
    <x v="0"/>
    <n v="396"/>
  </r>
  <r>
    <s v="ORD-01624"/>
    <x v="80"/>
    <s v="CUST-0054"/>
    <s v="PROD-028"/>
    <x v="20"/>
    <n v="5"/>
    <n v="3660"/>
    <n v="8"/>
    <n v="16836"/>
    <s v="Completed"/>
    <s v="Mumbai"/>
    <n v="0"/>
    <b v="0"/>
    <x v="2"/>
    <s v="Corporate"/>
    <n v="62"/>
    <x v="2"/>
    <n v="2214"/>
  </r>
  <r>
    <s v="ORD-01625"/>
    <x v="108"/>
    <s v="CUST-0071"/>
    <s v="PROD-029"/>
    <x v="6"/>
    <n v="7"/>
    <n v="2210"/>
    <n v="13.7"/>
    <n v="13350.61"/>
    <s v="Refunded"/>
    <s v="Delhi"/>
    <n v="0"/>
    <b v="1"/>
    <x v="2"/>
    <s v="Corporate"/>
    <n v="46"/>
    <x v="2"/>
    <n v="1010"/>
  </r>
  <r>
    <s v="ORD-01626"/>
    <x v="252"/>
    <s v="CUST-0004"/>
    <s v="PROD-059"/>
    <x v="8"/>
    <n v="1"/>
    <n v="3780"/>
    <n v="11.5"/>
    <n v="3345.3"/>
    <s v="Completed"/>
    <s v="Delhi"/>
    <n v="0"/>
    <b v="1"/>
    <x v="1"/>
    <s v="Retail"/>
    <n v="53"/>
    <x v="2"/>
    <n v="1860"/>
  </r>
  <r>
    <s v="ORD-01627"/>
    <x v="131"/>
    <s v="CUST-0033"/>
    <s v="PROD-002"/>
    <x v="1"/>
    <n v="10"/>
    <n v="2600"/>
    <n v="29.4"/>
    <n v="18356"/>
    <s v="Completed"/>
    <s v="Delhi"/>
    <n v="0"/>
    <b v="1"/>
    <x v="4"/>
    <s v="Retail"/>
    <n v="35"/>
    <x v="0"/>
    <n v="1052"/>
  </r>
  <r>
    <s v="ORD-01628"/>
    <x v="13"/>
    <s v="CUST-0079"/>
    <s v="PROD-027"/>
    <x v="21"/>
    <n v="3"/>
    <n v="3780"/>
    <n v="14.4"/>
    <n v="9707.0400000000009"/>
    <s v="Completed"/>
    <s v="Mumbai"/>
    <n v="0"/>
    <b v="1"/>
    <x v="2"/>
    <s v="Corporate"/>
    <n v="60"/>
    <x v="3"/>
    <n v="2436"/>
  </r>
  <r>
    <s v="ORD-01629"/>
    <x v="292"/>
    <s v="CUST-0176"/>
    <s v="PROD-010"/>
    <x v="11"/>
    <n v="10"/>
    <n v="2640"/>
    <n v="26.8"/>
    <n v="19324.8"/>
    <s v="Pending"/>
    <s v="Bengaluru"/>
    <n v="0"/>
    <b v="1"/>
    <x v="4"/>
    <s v="SMB"/>
    <n v="34"/>
    <x v="0"/>
    <n v="1149"/>
  </r>
  <r>
    <s v="ORD-01630"/>
    <x v="324"/>
    <s v="CUST-0254"/>
    <s v="PROD-035"/>
    <x v="22"/>
    <n v="3"/>
    <n v="1090"/>
    <n v="9.1"/>
    <n v="2972.43"/>
    <s v="Completed"/>
    <s v="Bengaluru"/>
    <n v="0"/>
    <b v="1"/>
    <x v="3"/>
    <s v="Retail"/>
    <n v="35"/>
    <x v="1"/>
    <n v="464"/>
  </r>
  <r>
    <s v="ORD-01631"/>
    <x v="308"/>
    <s v="CUST-0212"/>
    <s v="PROD-011"/>
    <x v="6"/>
    <n v="3"/>
    <n v="3450"/>
    <n v="23"/>
    <n v="7969.5"/>
    <s v="Pending"/>
    <s v="Chennai"/>
    <n v="0"/>
    <b v="1"/>
    <x v="0"/>
    <s v="SMB"/>
    <n v="46"/>
    <x v="2"/>
    <n v="1748"/>
  </r>
  <r>
    <s v="ORD-01632"/>
    <x v="13"/>
    <s v="CUST-0109"/>
    <s v="PROD-049"/>
    <x v="15"/>
    <n v="1"/>
    <n v="960"/>
    <n v="1.1000000000000001"/>
    <n v="949.44"/>
    <s v="Completed"/>
    <s v="Pune"/>
    <n v="0"/>
    <b v="1"/>
    <x v="5"/>
    <s v="Retail"/>
    <n v="42"/>
    <x v="1"/>
    <n v="675"/>
  </r>
  <r>
    <s v="ORD-01633"/>
    <x v="251"/>
    <s v="CUST-0087"/>
    <s v="PROD-028"/>
    <x v="14"/>
    <n v="9"/>
    <n v="3660"/>
    <n v="9"/>
    <n v="29975.4"/>
    <s v="Completed"/>
    <s v="Pune"/>
    <n v="0"/>
    <b v="0"/>
    <x v="2"/>
    <s v="SMB"/>
    <n v="49"/>
    <x v="2"/>
    <n v="2214"/>
  </r>
  <r>
    <s v="ORD-01634"/>
    <x v="103"/>
    <s v="CUST-0167"/>
    <s v="PROD-031"/>
    <x v="4"/>
    <n v="3"/>
    <n v="3730"/>
    <n v="15.8"/>
    <n v="9421.98"/>
    <s v="Completed"/>
    <s v="Delhi"/>
    <n v="0"/>
    <b v="1"/>
    <x v="3"/>
    <s v="Retail"/>
    <n v="43"/>
    <x v="0"/>
    <n v="2135"/>
  </r>
  <r>
    <s v="ORD-01635"/>
    <x v="324"/>
    <s v="CUST-0079"/>
    <s v="PROD-026"/>
    <x v="10"/>
    <n v="6"/>
    <n v="4070"/>
    <n v="6.2"/>
    <n v="22905.96"/>
    <s v="Completed"/>
    <s v="Mumbai"/>
    <n v="0"/>
    <b v="1"/>
    <x v="2"/>
    <s v="Corporate"/>
    <n v="60"/>
    <x v="0"/>
    <n v="2027"/>
  </r>
  <r>
    <s v="ORD-01636"/>
    <x v="90"/>
    <s v="CUST-0115"/>
    <s v="PROD-008"/>
    <x v="24"/>
    <n v="1"/>
    <n v="2660"/>
    <n v="14.6"/>
    <n v="2271.64"/>
    <s v="Completed"/>
    <s v="Mumbai"/>
    <n v="0"/>
    <b v="0"/>
    <x v="4"/>
    <s v="SMB"/>
    <n v="65"/>
    <x v="3"/>
    <n v="1259"/>
  </r>
  <r>
    <s v="ORD-01637"/>
    <x v="239"/>
    <s v="CUST-0184"/>
    <s v="PROD-033"/>
    <x v="11"/>
    <n v="3"/>
    <n v="2030"/>
    <n v="13.3"/>
    <n v="5280.03"/>
    <s v="Cancelled"/>
    <s v="Pune"/>
    <n v="0"/>
    <b v="1"/>
    <x v="3"/>
    <s v="Retail"/>
    <n v="63"/>
    <x v="0"/>
    <n v="1143"/>
  </r>
  <r>
    <s v="ORD-01638"/>
    <x v="274"/>
    <s v="CUST-0084"/>
    <s v="PROD-028"/>
    <x v="19"/>
    <n v="4"/>
    <n v="3660"/>
    <n v="2.2000000000000002"/>
    <n v="14317.92"/>
    <s v="Completed"/>
    <s v="Chennai"/>
    <n v="0"/>
    <b v="0"/>
    <x v="2"/>
    <s v="Retail"/>
    <n v="28"/>
    <x v="0"/>
    <n v="2214"/>
  </r>
  <r>
    <s v="ORD-01639"/>
    <x v="234"/>
    <s v="CUST-0186"/>
    <s v="PROD-008"/>
    <x v="3"/>
    <n v="2"/>
    <n v="2660"/>
    <n v="7.2"/>
    <n v="4936.96"/>
    <s v="Cancelled"/>
    <s v="Bengaluru"/>
    <n v="0"/>
    <b v="0"/>
    <x v="4"/>
    <s v="Retail"/>
    <n v="42"/>
    <x v="0"/>
    <n v="1259"/>
  </r>
  <r>
    <s v="ORD-01640"/>
    <x v="207"/>
    <s v="CUST-0077"/>
    <s v="PROD-046"/>
    <x v="22"/>
    <n v="2"/>
    <n v="4880"/>
    <n v="23.8"/>
    <n v="7437.12"/>
    <s v="Completed"/>
    <s v="Hyderabad"/>
    <n v="0"/>
    <b v="1"/>
    <x v="5"/>
    <s v="SMB"/>
    <n v="48"/>
    <x v="1"/>
    <n v="2768"/>
  </r>
  <r>
    <s v="ORD-01641"/>
    <x v="91"/>
    <s v="CUST-0093"/>
    <s v="PROD-011"/>
    <x v="23"/>
    <n v="1"/>
    <n v="3450"/>
    <n v="1.7"/>
    <n v="3391.35"/>
    <s v="Completed"/>
    <s v="Pune"/>
    <n v="0"/>
    <b v="1"/>
    <x v="0"/>
    <s v="Retail"/>
    <n v="36"/>
    <x v="1"/>
    <n v="1748"/>
  </r>
  <r>
    <s v="ORD-01642"/>
    <x v="269"/>
    <s v="CUST-0018"/>
    <s v="PROD-045"/>
    <x v="12"/>
    <n v="4"/>
    <n v="3020"/>
    <n v="17.8"/>
    <n v="9929.76"/>
    <s v="Completed"/>
    <s v="Pune"/>
    <n v="0"/>
    <b v="1"/>
    <x v="5"/>
    <s v="SMB"/>
    <n v="54"/>
    <x v="3"/>
    <n v="1626"/>
  </r>
  <r>
    <s v="ORD-01643"/>
    <x v="15"/>
    <s v="CUST-0034"/>
    <s v="PROD-056"/>
    <x v="13"/>
    <n v="6"/>
    <n v="6940"/>
    <n v="8.9"/>
    <n v="37934.04"/>
    <s v="Completed"/>
    <s v="Delhi"/>
    <n v="0"/>
    <b v="1"/>
    <x v="1"/>
    <s v="Retail"/>
    <n v="47"/>
    <x v="3"/>
    <n v="2827"/>
  </r>
  <r>
    <s v="ORD-01644"/>
    <x v="271"/>
    <s v="CUST-0111"/>
    <s v="PROD-021"/>
    <x v="12"/>
    <n v="10"/>
    <n v="2760"/>
    <n v="8.9"/>
    <n v="25143.599999999999"/>
    <s v="Completed"/>
    <s v="Chennai"/>
    <n v="0"/>
    <b v="1"/>
    <x v="2"/>
    <s v="SMB"/>
    <n v="64"/>
    <x v="3"/>
    <n v="1435"/>
  </r>
  <r>
    <s v="ORD-01645"/>
    <x v="202"/>
    <s v="CUST-0210"/>
    <s v="PROD-049"/>
    <x v="16"/>
    <n v="8"/>
    <n v="960"/>
    <n v="20.9"/>
    <n v="6074.88"/>
    <s v="Completed"/>
    <s v="Pune"/>
    <n v="0"/>
    <b v="1"/>
    <x v="5"/>
    <s v="Corporate"/>
    <n v="48"/>
    <x v="3"/>
    <n v="675"/>
  </r>
  <r>
    <s v="ORD-01646"/>
    <x v="71"/>
    <s v="CUST-0037"/>
    <s v="PROD-049"/>
    <x v="27"/>
    <n v="4"/>
    <n v="960"/>
    <n v="29.1"/>
    <n v="2722.56"/>
    <s v="Completed"/>
    <s v="Bengaluru"/>
    <n v="0"/>
    <b v="1"/>
    <x v="5"/>
    <s v="Retail"/>
    <n v="52"/>
    <x v="1"/>
    <n v="675"/>
  </r>
  <r>
    <s v="ORD-01647"/>
    <x v="306"/>
    <s v="CUST-0192"/>
    <s v="PROD-030"/>
    <x v="13"/>
    <n v="1"/>
    <n v="970"/>
    <n v="8.4"/>
    <n v="888.52"/>
    <s v="Cancelled"/>
    <s v="Bengaluru"/>
    <n v="0"/>
    <b v="1"/>
    <x v="2"/>
    <s v="Retail"/>
    <n v="55"/>
    <x v="3"/>
    <n v="434"/>
  </r>
  <r>
    <s v="ORD-01648"/>
    <x v="169"/>
    <s v="CUST-0038"/>
    <s v="PROD-050"/>
    <x v="12"/>
    <n v="5"/>
    <n v="6080"/>
    <n v="17.600000000000001"/>
    <n v="25049.599999999999"/>
    <s v="Completed"/>
    <s v="Mumbai"/>
    <n v="0"/>
    <b v="1"/>
    <x v="5"/>
    <s v="Retail"/>
    <n v="57"/>
    <x v="3"/>
    <n v="2617"/>
  </r>
  <r>
    <s v="ORD-01649"/>
    <x v="283"/>
    <s v="CUST-0034"/>
    <s v="PROD-028"/>
    <x v="22"/>
    <n v="4"/>
    <n v="3660"/>
    <n v="21.8"/>
    <n v="11448.48"/>
    <s v="Pending"/>
    <s v="Delhi"/>
    <n v="0"/>
    <b v="0"/>
    <x v="2"/>
    <s v="Retail"/>
    <n v="47"/>
    <x v="1"/>
    <n v="2214"/>
  </r>
  <r>
    <s v="ORD-01650"/>
    <x v="32"/>
    <s v="CUST-0248"/>
    <s v="PROD-031"/>
    <x v="4"/>
    <n v="6"/>
    <n v="3730"/>
    <n v="13.3"/>
    <n v="19403.46"/>
    <s v="Cancelled"/>
    <s v="Chennai"/>
    <n v="0"/>
    <b v="1"/>
    <x v="3"/>
    <s v="SMB"/>
    <n v="57"/>
    <x v="0"/>
    <n v="2135"/>
  </r>
  <r>
    <s v="ORD-01651"/>
    <x v="327"/>
    <s v="CUST-0194"/>
    <s v="PROD-004"/>
    <x v="20"/>
    <n v="8"/>
    <n v="3870"/>
    <n v="21.2"/>
    <n v="24396.48"/>
    <s v="Pending"/>
    <s v="Delhi"/>
    <n v="0"/>
    <b v="1"/>
    <x v="4"/>
    <s v="SMB"/>
    <n v="55"/>
    <x v="2"/>
    <n v="1559"/>
  </r>
  <r>
    <s v="ORD-01652"/>
    <x v="69"/>
    <s v="CUST-0114"/>
    <s v="PROD-021"/>
    <x v="29"/>
    <n v="4"/>
    <n v="2760"/>
    <n v="14"/>
    <n v="9494.4"/>
    <s v="Completed"/>
    <s v="Bengaluru"/>
    <n v="0"/>
    <b v="1"/>
    <x v="2"/>
    <s v="Corporate"/>
    <n v="42"/>
    <x v="1"/>
    <n v="1435"/>
  </r>
  <r>
    <s v="ORD-01653"/>
    <x v="100"/>
    <s v="CUST-0118"/>
    <s v="PROD-023"/>
    <x v="16"/>
    <n v="5"/>
    <n v="2380"/>
    <n v="16.399999999999999"/>
    <n v="9948.4"/>
    <s v="Completed"/>
    <s v="Hyderabad"/>
    <n v="0"/>
    <b v="1"/>
    <x v="2"/>
    <s v="Retail"/>
    <n v="26"/>
    <x v="3"/>
    <n v="1182"/>
  </r>
  <r>
    <s v="ORD-01654"/>
    <x v="246"/>
    <s v="CUST-9719"/>
    <s v="PROD-050"/>
    <x v="15"/>
    <n v="2"/>
    <n v="6080"/>
    <n v="20.100000000000001"/>
    <n v="9715.84"/>
    <s v="Cancelled"/>
    <s v="Mumbai"/>
    <n v="0"/>
    <b v="1"/>
    <x v="5"/>
    <e v="#N/A"/>
    <e v="#N/A"/>
    <x v="1"/>
    <n v="2617"/>
  </r>
  <r>
    <s v="ORD-01655"/>
    <x v="296"/>
    <s v="CUST-0232"/>
    <s v="PROD-016"/>
    <x v="29"/>
    <n v="2"/>
    <n v="620"/>
    <n v="4.3"/>
    <n v="1186.68"/>
    <s v="Completed"/>
    <s v="Hyderabad"/>
    <n v="0"/>
    <b v="1"/>
    <x v="0"/>
    <s v="Retail"/>
    <n v="38"/>
    <x v="1"/>
    <n v="396"/>
  </r>
  <r>
    <s v="ORD-01656"/>
    <x v="16"/>
    <s v="CUST-0240"/>
    <s v="PROD-004"/>
    <x v="27"/>
    <n v="7"/>
    <n v="3870"/>
    <n v="5.9"/>
    <n v="25491.69"/>
    <s v="Completed"/>
    <s v="Chennai"/>
    <n v="0"/>
    <b v="1"/>
    <x v="4"/>
    <s v="Corporate"/>
    <n v="35"/>
    <x v="1"/>
    <n v="1559"/>
  </r>
  <r>
    <s v="ORD-01657"/>
    <x v="249"/>
    <s v="CUST-0227"/>
    <s v="PROD-003"/>
    <x v="16"/>
    <n v="8"/>
    <n v="3570"/>
    <n v="24.6"/>
    <n v="21534.240000000002"/>
    <s v="Completed"/>
    <s v="Bengaluru"/>
    <n v="0"/>
    <b v="1"/>
    <x v="4"/>
    <s v="SMB"/>
    <n v="44"/>
    <x v="3"/>
    <n v="1665"/>
  </r>
  <r>
    <s v="ORD-01658"/>
    <x v="168"/>
    <s v="CUST-0234"/>
    <s v="PROD-026"/>
    <x v="9"/>
    <n v="1"/>
    <n v="4070"/>
    <n v="29.1"/>
    <n v="2885.63"/>
    <s v="Pending"/>
    <s v="Bengaluru"/>
    <n v="0"/>
    <b v="1"/>
    <x v="2"/>
    <s v="Retail"/>
    <n v="34"/>
    <x v="1"/>
    <n v="2027"/>
  </r>
  <r>
    <s v="ORD-01659"/>
    <x v="296"/>
    <s v="CUST-0041"/>
    <s v="PROD-020"/>
    <x v="21"/>
    <n v="1"/>
    <n v="820"/>
    <n v="17.899999999999999"/>
    <n v="673.22"/>
    <s v="Completed"/>
    <s v="Bengaluru"/>
    <n v="0"/>
    <b v="1"/>
    <x v="0"/>
    <s v="SMB"/>
    <n v="26"/>
    <x v="3"/>
    <n v="391"/>
  </r>
  <r>
    <s v="ORD-01660"/>
    <x v="175"/>
    <s v="CUST-0129"/>
    <s v="PROD-045"/>
    <x v="20"/>
    <n v="5"/>
    <n v="3020"/>
    <n v="26.2"/>
    <n v="11143.8"/>
    <s v="Completed"/>
    <s v="Hyderabad"/>
    <n v="0"/>
    <b v="1"/>
    <x v="5"/>
    <s v="Retail"/>
    <n v="29"/>
    <x v="2"/>
    <n v="1626"/>
  </r>
  <r>
    <s v="ORD-01661"/>
    <x v="91"/>
    <s v="CUST-0141"/>
    <s v="PROD-018"/>
    <x v="24"/>
    <n v="10"/>
    <n v="3560"/>
    <n v="15.4"/>
    <n v="30117.599999999999"/>
    <s v="Refunded"/>
    <s v="Hyderabad"/>
    <n v="0"/>
    <b v="1"/>
    <x v="0"/>
    <s v="Corporate"/>
    <n v="22"/>
    <x v="3"/>
    <n v="2629"/>
  </r>
  <r>
    <s v="ORD-01662"/>
    <x v="299"/>
    <s v="CUST-0282"/>
    <s v="PROD-043"/>
    <x v="19"/>
    <n v="3"/>
    <n v="3350"/>
    <n v="8.1"/>
    <n v="9235.9500000000007"/>
    <s v="Completed"/>
    <s v="Hyderabad"/>
    <n v="0"/>
    <b v="1"/>
    <x v="5"/>
    <s v="Corporate"/>
    <n v="29"/>
    <x v="0"/>
    <n v="1728"/>
  </r>
  <r>
    <s v="ORD-01663"/>
    <x v="176"/>
    <s v="CUST-0269"/>
    <s v="PROD-042"/>
    <x v="5"/>
    <n v="10"/>
    <n v="2290"/>
    <n v="7"/>
    <n v="21297"/>
    <s v="Completed"/>
    <s v="Pune"/>
    <n v="0"/>
    <b v="1"/>
    <x v="5"/>
    <s v="Retail"/>
    <n v="48"/>
    <x v="2"/>
    <n v="1219"/>
  </r>
  <r>
    <s v="ORD-01664"/>
    <x v="64"/>
    <s v="CUST-0239"/>
    <s v="PROD-028"/>
    <x v="11"/>
    <n v="6"/>
    <n v="3660"/>
    <n v="29.9"/>
    <n v="15393.96"/>
    <s v="Completed"/>
    <s v="Mumbai"/>
    <n v="0"/>
    <b v="0"/>
    <x v="2"/>
    <s v="Retail"/>
    <n v="61"/>
    <x v="0"/>
    <n v="2214"/>
  </r>
  <r>
    <s v="ORD-01665"/>
    <x v="87"/>
    <s v="CUST-0075"/>
    <s v="PROD-010"/>
    <x v="22"/>
    <n v="8"/>
    <n v="2640"/>
    <n v="4.2"/>
    <n v="20232.96"/>
    <s v="Refunded"/>
    <s v="Mumbai"/>
    <n v="0"/>
    <b v="1"/>
    <x v="4"/>
    <s v="Corporate"/>
    <n v="55"/>
    <x v="1"/>
    <n v="1149"/>
  </r>
  <r>
    <s v="ORD-01666"/>
    <x v="194"/>
    <s v="CUST-0184"/>
    <s v="PROD-032"/>
    <x v="3"/>
    <n v="5"/>
    <n v="370"/>
    <n v="6"/>
    <n v="1739"/>
    <s v="Completed"/>
    <s v="Pune"/>
    <n v="0"/>
    <b v="1"/>
    <x v="3"/>
    <s v="Retail"/>
    <n v="63"/>
    <x v="0"/>
    <n v="288"/>
  </r>
  <r>
    <s v="ORD-01667"/>
    <x v="312"/>
    <s v="CUST-0144"/>
    <s v="PROD-024"/>
    <x v="0"/>
    <n v="9"/>
    <n v="2270"/>
    <n v="4.7"/>
    <n v="19469.79"/>
    <s v="Completed"/>
    <s v="Chennai"/>
    <n v="0"/>
    <b v="1"/>
    <x v="2"/>
    <s v="Retail"/>
    <n v="49"/>
    <x v="0"/>
    <n v="1203"/>
  </r>
  <r>
    <s v="ORD-01668"/>
    <x v="85"/>
    <s v="CUST-0039"/>
    <s v="PROD-037"/>
    <x v="23"/>
    <n v="5"/>
    <n v="660"/>
    <n v="21"/>
    <n v="2607"/>
    <s v="Completed"/>
    <s v="Bengaluru"/>
    <n v="0"/>
    <b v="1"/>
    <x v="3"/>
    <s v="Retail"/>
    <n v="37"/>
    <x v="1"/>
    <n v="329"/>
  </r>
  <r>
    <s v="ORD-01669"/>
    <x v="192"/>
    <s v="CUST-9765"/>
    <s v="PROD-057"/>
    <x v="11"/>
    <n v="2"/>
    <n v="960"/>
    <n v="7.3"/>
    <n v="1779.84"/>
    <s v="Completed"/>
    <s v="Bengaluru"/>
    <n v="0"/>
    <b v="1"/>
    <x v="1"/>
    <e v="#N/A"/>
    <e v="#N/A"/>
    <x v="0"/>
    <n v="705"/>
  </r>
  <r>
    <s v="ORD-01670"/>
    <x v="89"/>
    <s v="CUST-0159"/>
    <s v="PROD-048"/>
    <x v="18"/>
    <n v="3"/>
    <n v="5100"/>
    <n v="21"/>
    <n v="12087"/>
    <s v="Completed"/>
    <s v="Hyderabad"/>
    <n v="0"/>
    <b v="1"/>
    <x v="5"/>
    <s v="Retail"/>
    <n v="32"/>
    <x v="1"/>
    <n v="2237"/>
  </r>
  <r>
    <s v="ORD-01671"/>
    <x v="286"/>
    <s v="CUST-0168"/>
    <s v="PROD-012"/>
    <x v="10"/>
    <n v="3"/>
    <n v="3160"/>
    <n v="13.5"/>
    <n v="8200.2000000000007"/>
    <s v="Completed"/>
    <s v="Pune"/>
    <n v="0"/>
    <b v="1"/>
    <x v="0"/>
    <s v="Retail"/>
    <n v="25"/>
    <x v="0"/>
    <n v="1886"/>
  </r>
  <r>
    <s v="ORD-01672"/>
    <x v="111"/>
    <s v="CUST-9552"/>
    <s v="PROD-041"/>
    <x v="1"/>
    <n v="9"/>
    <n v="1540"/>
    <n v="18.2"/>
    <n v="11337.48"/>
    <s v="Cancelled"/>
    <s v="Bengaluru"/>
    <n v="0"/>
    <b v="0"/>
    <x v="5"/>
    <e v="#N/A"/>
    <e v="#N/A"/>
    <x v="0"/>
    <n v="647"/>
  </r>
  <r>
    <s v="ORD-01673"/>
    <x v="313"/>
    <s v="CUST-0056"/>
    <s v="PROD-047"/>
    <x v="6"/>
    <n v="4"/>
    <n v="3450"/>
    <n v="26.4"/>
    <n v="10156.799999999999"/>
    <s v="Pending"/>
    <s v="Bengaluru"/>
    <n v="0"/>
    <b v="1"/>
    <x v="5"/>
    <s v="SMB"/>
    <n v="46"/>
    <x v="2"/>
    <n v="2420"/>
  </r>
  <r>
    <s v="ORD-01674"/>
    <x v="311"/>
    <s v="CUST-0239"/>
    <s v="PROD-023"/>
    <x v="17"/>
    <n v="4"/>
    <n v="2380"/>
    <n v="6.9"/>
    <n v="8863.1200000000008"/>
    <s v="Completed"/>
    <s v="Mumbai"/>
    <n v="0"/>
    <b v="1"/>
    <x v="2"/>
    <s v="Retail"/>
    <n v="61"/>
    <x v="2"/>
    <n v="1182"/>
  </r>
  <r>
    <s v="ORD-01675"/>
    <x v="140"/>
    <s v="CUST-0168"/>
    <s v="PROD-031"/>
    <x v="11"/>
    <n v="2"/>
    <n v="3730"/>
    <n v="22.9"/>
    <n v="5751.66"/>
    <s v="Completed"/>
    <s v="Pune"/>
    <n v="0"/>
    <b v="1"/>
    <x v="3"/>
    <s v="Retail"/>
    <n v="25"/>
    <x v="0"/>
    <n v="2135"/>
  </r>
  <r>
    <s v="ORD-01676"/>
    <x v="0"/>
    <s v="CUST-0012"/>
    <s v="PROD-036"/>
    <x v="25"/>
    <n v="7"/>
    <n v="3250"/>
    <n v="6"/>
    <n v="21385"/>
    <s v="Completed"/>
    <s v="Pune"/>
    <n v="0"/>
    <b v="1"/>
    <x v="3"/>
    <s v="Retail"/>
    <n v="43"/>
    <x v="0"/>
    <n v="1556"/>
  </r>
  <r>
    <s v="ORD-01677"/>
    <x v="281"/>
    <s v="CUST-0057"/>
    <s v="PROD-053"/>
    <x v="16"/>
    <n v="9"/>
    <n v="470"/>
    <n v="11.6"/>
    <n v="3739.32"/>
    <s v="Completed"/>
    <s v="Pune"/>
    <n v="0"/>
    <b v="0"/>
    <x v="1"/>
    <s v="Retail"/>
    <n v="35"/>
    <x v="3"/>
    <n v="302"/>
  </r>
  <r>
    <s v="ORD-01678"/>
    <x v="308"/>
    <s v="CUST-0030"/>
    <s v="PROD-042"/>
    <x v="17"/>
    <n v="5"/>
    <n v="2290"/>
    <n v="27.6"/>
    <n v="8289.7999999999993"/>
    <s v="Completed"/>
    <s v="Bengaluru"/>
    <n v="0"/>
    <b v="1"/>
    <x v="5"/>
    <s v="Corporate"/>
    <n v="43"/>
    <x v="2"/>
    <n v="1219"/>
  </r>
  <r>
    <s v="ORD-01679"/>
    <x v="32"/>
    <s v="CUST-0166"/>
    <s v="PROD-007"/>
    <x v="20"/>
    <n v="6"/>
    <n v="1430"/>
    <n v="18.399999999999999"/>
    <n v="7001.28"/>
    <s v="Pending"/>
    <s v="Hyderabad"/>
    <n v="0"/>
    <b v="1"/>
    <x v="4"/>
    <s v="Retail"/>
    <n v="31"/>
    <x v="2"/>
    <n v="861"/>
  </r>
  <r>
    <s v="ORD-01680"/>
    <x v="260"/>
    <s v="CUST-0188"/>
    <s v="PROD-055"/>
    <x v="25"/>
    <n v="7"/>
    <n v="2860"/>
    <n v="19.5"/>
    <n v="16116.1"/>
    <s v="Completed"/>
    <s v="Bengaluru"/>
    <n v="0"/>
    <b v="1"/>
    <x v="1"/>
    <s v="Retail"/>
    <n v="54"/>
    <x v="0"/>
    <n v="2028"/>
  </r>
  <r>
    <s v="ORD-01681"/>
    <x v="96"/>
    <s v="CUST-0097"/>
    <s v="PROD-047"/>
    <x v="16"/>
    <n v="8"/>
    <n v="3450"/>
    <n v="25.5"/>
    <n v="20562"/>
    <s v="Pending"/>
    <s v="Mumbai"/>
    <n v="0"/>
    <b v="1"/>
    <x v="5"/>
    <s v="Retail"/>
    <n v="65"/>
    <x v="3"/>
    <n v="2420"/>
  </r>
  <r>
    <s v="ORD-01682"/>
    <x v="344"/>
    <s v="CUST-0026"/>
    <s v="PROD-052"/>
    <x v="7"/>
    <n v="7"/>
    <n v="5410"/>
    <n v="15.2"/>
    <n v="32113.759999999998"/>
    <s v="Cancelled"/>
    <s v="Pune"/>
    <n v="0"/>
    <b v="1"/>
    <x v="1"/>
    <s v="Retail"/>
    <n v="62"/>
    <x v="3"/>
    <n v="2265"/>
  </r>
  <r>
    <s v="ORD-01683"/>
    <x v="276"/>
    <s v="CUST-0026"/>
    <s v="PROD-040"/>
    <x v="5"/>
    <n v="3"/>
    <n v="1080"/>
    <n v="26"/>
    <n v="2397.6"/>
    <s v="Completed"/>
    <s v="Pune"/>
    <n v="0"/>
    <b v="1"/>
    <x v="3"/>
    <s v="Retail"/>
    <n v="62"/>
    <x v="2"/>
    <n v="519"/>
  </r>
  <r>
    <s v="ORD-01684"/>
    <x v="20"/>
    <s v="CUST-0020"/>
    <s v="PROD-055"/>
    <x v="7"/>
    <n v="8"/>
    <n v="2860"/>
    <n v="14.8"/>
    <n v="19493.759999999998"/>
    <s v="Completed"/>
    <s v="Hyderabad"/>
    <n v="0"/>
    <b v="1"/>
    <x v="1"/>
    <s v="Retail"/>
    <n v="46"/>
    <x v="3"/>
    <n v="2028"/>
  </r>
  <r>
    <s v="ORD-01685"/>
    <x v="10"/>
    <s v="CUST-9740"/>
    <s v="PROD-045"/>
    <x v="22"/>
    <n v="4"/>
    <n v="3020"/>
    <n v="8.1"/>
    <n v="11101.52"/>
    <s v="Completed"/>
    <s v="Hyderabad"/>
    <n v="0"/>
    <b v="1"/>
    <x v="5"/>
    <e v="#N/A"/>
    <e v="#N/A"/>
    <x v="1"/>
    <n v="1626"/>
  </r>
  <r>
    <s v="ORD-01686"/>
    <x v="51"/>
    <s v="CUST-0095"/>
    <s v="PROD-057"/>
    <x v="5"/>
    <n v="4"/>
    <n v="960"/>
    <n v="6.4"/>
    <n v="3594.24"/>
    <s v="Cancelled"/>
    <s v="Mumbai"/>
    <n v="0"/>
    <b v="1"/>
    <x v="1"/>
    <s v="SMB"/>
    <n v="54"/>
    <x v="2"/>
    <n v="705"/>
  </r>
  <r>
    <s v="ORD-01687"/>
    <x v="102"/>
    <s v="CUST-0079"/>
    <s v="PROD-004"/>
    <x v="20"/>
    <n v="4"/>
    <n v="3870"/>
    <n v="15.9"/>
    <n v="13018.68"/>
    <s v="Completed"/>
    <s v="Mumbai"/>
    <n v="0"/>
    <b v="1"/>
    <x v="4"/>
    <s v="Corporate"/>
    <n v="60"/>
    <x v="2"/>
    <n v="1559"/>
  </r>
  <r>
    <s v="ORD-01688"/>
    <x v="239"/>
    <s v="CUST-0060"/>
    <s v="PROD-012"/>
    <x v="16"/>
    <n v="5"/>
    <n v="3160"/>
    <n v="29.8"/>
    <n v="11091.6"/>
    <s v="Completed"/>
    <s v="Pune"/>
    <n v="0"/>
    <b v="1"/>
    <x v="0"/>
    <s v="Retail"/>
    <n v="39"/>
    <x v="3"/>
    <n v="1886"/>
  </r>
  <r>
    <s v="ORD-01689"/>
    <x v="210"/>
    <s v="CUST-0080"/>
    <s v="PROD-047"/>
    <x v="28"/>
    <n v="5"/>
    <n v="3450"/>
    <n v="29.4"/>
    <n v="12178.5"/>
    <s v="Completed"/>
    <s v="Pune"/>
    <n v="0"/>
    <b v="1"/>
    <x v="5"/>
    <s v="SMB"/>
    <n v="30"/>
    <x v="2"/>
    <n v="2420"/>
  </r>
  <r>
    <s v="ORD-01690"/>
    <x v="275"/>
    <s v="CUST-0136"/>
    <s v="PROD-049"/>
    <x v="26"/>
    <n v="10"/>
    <n v="960"/>
    <n v="27"/>
    <n v="7008"/>
    <s v="Cancelled"/>
    <s v="Chennai"/>
    <n v="0"/>
    <b v="1"/>
    <x v="5"/>
    <s v="SMB"/>
    <n v="26"/>
    <x v="3"/>
    <n v="675"/>
  </r>
  <r>
    <s v="ORD-01691"/>
    <x v="335"/>
    <s v="CUST-0074"/>
    <s v="PROD-056"/>
    <x v="26"/>
    <n v="10"/>
    <n v="6940"/>
    <n v="20.100000000000001"/>
    <n v="55450.6"/>
    <s v="Completed"/>
    <s v="Bengaluru"/>
    <n v="0"/>
    <b v="1"/>
    <x v="1"/>
    <s v="Retail"/>
    <n v="27"/>
    <x v="3"/>
    <n v="2827"/>
  </r>
  <r>
    <s v="ORD-01692"/>
    <x v="295"/>
    <s v="CUST-0090"/>
    <s v="PROD-058"/>
    <x v="18"/>
    <n v="9"/>
    <n v="2400"/>
    <n v="7.8"/>
    <n v="19915.2"/>
    <s v="Completed"/>
    <s v="Bengaluru"/>
    <n v="0"/>
    <b v="1"/>
    <x v="1"/>
    <s v="Corporate"/>
    <n v="26"/>
    <x v="1"/>
    <n v="974"/>
  </r>
  <r>
    <s v="ORD-01693"/>
    <x v="245"/>
    <s v="CUST-0300"/>
    <s v="PROD-052"/>
    <x v="21"/>
    <n v="1"/>
    <n v="5410"/>
    <n v="22.8"/>
    <n v="4176.5200000000004"/>
    <s v="Completed"/>
    <s v="Mumbai"/>
    <n v="0"/>
    <b v="1"/>
    <x v="1"/>
    <s v="Retail"/>
    <n v="38"/>
    <x v="3"/>
    <n v="2265"/>
  </r>
  <r>
    <s v="ORD-01694"/>
    <x v="98"/>
    <s v="CUST-0188"/>
    <s v="PROD-009"/>
    <x v="10"/>
    <n v="7"/>
    <n v="1220"/>
    <n v="18.8"/>
    <n v="6934.48"/>
    <s v="Pending"/>
    <s v="Bengaluru"/>
    <n v="0"/>
    <b v="1"/>
    <x v="4"/>
    <s v="Retail"/>
    <n v="54"/>
    <x v="0"/>
    <n v="517"/>
  </r>
  <r>
    <s v="ORD-01695"/>
    <x v="127"/>
    <s v="CUST-0250"/>
    <s v="PROD-035"/>
    <x v="7"/>
    <n v="1"/>
    <n v="1090"/>
    <n v="23.5"/>
    <n v="833.85"/>
    <s v="Completed"/>
    <s v="Delhi"/>
    <n v="0"/>
    <b v="1"/>
    <x v="3"/>
    <s v="Retail"/>
    <n v="31"/>
    <x v="3"/>
    <n v="464"/>
  </r>
  <r>
    <s v="ORD-01696"/>
    <x v="101"/>
    <s v="CUST-0195"/>
    <s v="PROD-021"/>
    <x v="12"/>
    <n v="2"/>
    <n v="2760"/>
    <n v="2.2999999999999998"/>
    <n v="5393.04"/>
    <s v="Completed"/>
    <s v="Bengaluru"/>
    <n v="0"/>
    <b v="1"/>
    <x v="2"/>
    <s v="Retail"/>
    <n v="28"/>
    <x v="3"/>
    <n v="1435"/>
  </r>
  <r>
    <s v="ORD-01697"/>
    <x v="17"/>
    <s v="CUST-0185"/>
    <s v="PROD-003"/>
    <x v="17"/>
    <n v="3"/>
    <n v="3570"/>
    <n v="18.399999999999999"/>
    <n v="8739.36"/>
    <s v="Refunded"/>
    <s v="Hyderabad"/>
    <n v="0"/>
    <b v="1"/>
    <x v="4"/>
    <s v="SMB"/>
    <n v="43"/>
    <x v="2"/>
    <n v="1665"/>
  </r>
  <r>
    <s v="ORD-01698"/>
    <x v="349"/>
    <s v="CUST-0256"/>
    <s v="PROD-009"/>
    <x v="10"/>
    <n v="7"/>
    <n v="1220"/>
    <n v="25.8"/>
    <n v="6336.68"/>
    <s v="Refunded"/>
    <s v="Hyderabad"/>
    <n v="0"/>
    <b v="1"/>
    <x v="4"/>
    <s v="Retail"/>
    <n v="28"/>
    <x v="0"/>
    <n v="517"/>
  </r>
  <r>
    <s v="ORD-01699"/>
    <x v="350"/>
    <s v="CUST-0060"/>
    <s v="PROD-051"/>
    <x v="20"/>
    <n v="6"/>
    <n v="3450"/>
    <n v="13.1"/>
    <n v="17988.3"/>
    <s v="Completed"/>
    <s v="Pune"/>
    <n v="0"/>
    <b v="1"/>
    <x v="1"/>
    <s v="Retail"/>
    <n v="39"/>
    <x v="2"/>
    <n v="2467"/>
  </r>
  <r>
    <s v="ORD-01700"/>
    <x v="347"/>
    <s v="CUST-0275"/>
    <s v="PROD-029"/>
    <x v="10"/>
    <n v="10"/>
    <n v="2210"/>
    <n v="16.600000000000001"/>
    <n v="18431.400000000001"/>
    <s v="Completed"/>
    <s v="Mumbai"/>
    <n v="0"/>
    <b v="1"/>
    <x v="2"/>
    <s v="Retail"/>
    <n v="36"/>
    <x v="0"/>
    <n v="1010"/>
  </r>
  <r>
    <s v="ORD-01701"/>
    <x v="146"/>
    <s v="CUST-0114"/>
    <s v="PROD-019"/>
    <x v="28"/>
    <n v="10"/>
    <n v="2480"/>
    <n v="17.5"/>
    <n v="20460"/>
    <s v="Completed"/>
    <s v="Bengaluru"/>
    <n v="0"/>
    <b v="1"/>
    <x v="0"/>
    <s v="Corporate"/>
    <n v="42"/>
    <x v="2"/>
    <n v="1173"/>
  </r>
  <r>
    <s v="ORD-01702"/>
    <x v="286"/>
    <s v="CUST-0060"/>
    <s v="PROD-036"/>
    <x v="7"/>
    <n v="9"/>
    <n v="3250"/>
    <n v="25.9"/>
    <n v="21674.25"/>
    <s v="Completed"/>
    <s v="Pune"/>
    <n v="0"/>
    <b v="1"/>
    <x v="3"/>
    <s v="Retail"/>
    <n v="39"/>
    <x v="3"/>
    <n v="1556"/>
  </r>
  <r>
    <s v="ORD-01703"/>
    <x v="267"/>
    <s v="CUST-0039"/>
    <s v="PROD-058"/>
    <x v="4"/>
    <n v="3"/>
    <n v="2400"/>
    <n v="17.5"/>
    <n v="5940"/>
    <s v="Completed"/>
    <s v="Bengaluru"/>
    <n v="0"/>
    <b v="1"/>
    <x v="1"/>
    <s v="Retail"/>
    <n v="37"/>
    <x v="0"/>
    <n v="974"/>
  </r>
  <r>
    <s v="ORD-01704"/>
    <x v="332"/>
    <s v="CUST-0033"/>
    <s v="PROD-052"/>
    <x v="3"/>
    <n v="8"/>
    <n v="5410"/>
    <n v="8.3000000000000007"/>
    <n v="39687.760000000002"/>
    <s v="Completed"/>
    <s v="Delhi"/>
    <n v="0"/>
    <b v="1"/>
    <x v="1"/>
    <s v="Retail"/>
    <n v="35"/>
    <x v="0"/>
    <n v="2265"/>
  </r>
  <r>
    <s v="ORD-01705"/>
    <x v="81"/>
    <s v="CUST-0037"/>
    <s v="PROD-002"/>
    <x v="26"/>
    <n v="1"/>
    <n v="2600"/>
    <n v="5.9"/>
    <n v="2446.6"/>
    <s v="Completed"/>
    <s v="Bengaluru"/>
    <n v="0"/>
    <b v="1"/>
    <x v="4"/>
    <s v="Retail"/>
    <n v="52"/>
    <x v="3"/>
    <n v="1052"/>
  </r>
  <r>
    <s v="ORD-01706"/>
    <x v="348"/>
    <s v="CUST-0081"/>
    <s v="PROD-025"/>
    <x v="11"/>
    <n v="10"/>
    <n v="4060"/>
    <n v="2.2999999999999998"/>
    <n v="39666.199999999997"/>
    <s v="Completed"/>
    <s v="Mumbai"/>
    <n v="0"/>
    <b v="1"/>
    <x v="2"/>
    <s v="Retail"/>
    <n v="25"/>
    <x v="0"/>
    <n v="2911"/>
  </r>
  <r>
    <s v="ORD-01707"/>
    <x v="279"/>
    <s v="CUST-0279"/>
    <s v="PROD-001"/>
    <x v="16"/>
    <n v="9"/>
    <n v="5330"/>
    <n v="23.5"/>
    <n v="36697.050000000003"/>
    <s v="Completed"/>
    <s v="Mumbai"/>
    <n v="0"/>
    <b v="1"/>
    <x v="4"/>
    <s v="Retail"/>
    <n v="56"/>
    <x v="3"/>
    <n v="2405"/>
  </r>
  <r>
    <s v="ORD-01708"/>
    <x v="77"/>
    <s v="CUST-0129"/>
    <s v="PROD-043"/>
    <x v="5"/>
    <n v="7"/>
    <n v="3350"/>
    <n v="13.4"/>
    <n v="20307.7"/>
    <s v="Pending"/>
    <s v="Hyderabad"/>
    <n v="0"/>
    <b v="1"/>
    <x v="5"/>
    <s v="Retail"/>
    <n v="29"/>
    <x v="2"/>
    <n v="1728"/>
  </r>
  <r>
    <s v="ORD-01709"/>
    <x v="252"/>
    <s v="CUST-0010"/>
    <s v="PROD-017"/>
    <x v="2"/>
    <n v="4"/>
    <n v="2510"/>
    <n v="26.6"/>
    <n v="7369.36"/>
    <s v="Completed"/>
    <s v="Mumbai"/>
    <n v="0"/>
    <b v="0"/>
    <x v="0"/>
    <s v="SMB"/>
    <n v="61"/>
    <x v="1"/>
    <n v="1075"/>
  </r>
  <r>
    <s v="ORD-01710"/>
    <x v="145"/>
    <s v="CUST-0006"/>
    <s v="PROD-045"/>
    <x v="13"/>
    <n v="1"/>
    <n v="3020"/>
    <n v="15.2"/>
    <n v="2560.96"/>
    <s v="Cancelled"/>
    <s v="Pune"/>
    <n v="0"/>
    <b v="1"/>
    <x v="5"/>
    <s v="SMB"/>
    <n v="44"/>
    <x v="3"/>
    <n v="1626"/>
  </r>
  <r>
    <s v="ORD-01711"/>
    <x v="149"/>
    <s v="CUST-0206"/>
    <s v="PROD-020"/>
    <x v="20"/>
    <n v="1"/>
    <n v="820"/>
    <n v="6.3"/>
    <n v="768.34"/>
    <s v="Completed"/>
    <s v="Mumbai"/>
    <n v="0"/>
    <b v="1"/>
    <x v="0"/>
    <s v="Retail"/>
    <n v="40"/>
    <x v="2"/>
    <n v="391"/>
  </r>
  <r>
    <s v="ORD-01712"/>
    <x v="56"/>
    <s v="CUST-0034"/>
    <s v="PROD-012"/>
    <x v="28"/>
    <n v="4"/>
    <n v="3160"/>
    <n v="3.6"/>
    <n v="12184.96"/>
    <s v="Pending"/>
    <s v="Delhi"/>
    <n v="1"/>
    <b v="1"/>
    <x v="0"/>
    <s v="Retail"/>
    <n v="47"/>
    <x v="2"/>
    <n v="1886"/>
  </r>
  <r>
    <s v="ORD-01713"/>
    <x v="43"/>
    <s v="CUST-0121"/>
    <s v="PROD-028"/>
    <x v="27"/>
    <n v="1"/>
    <n v="3660"/>
    <n v="28.2"/>
    <n v="2627.88"/>
    <s v="Pending"/>
    <s v="Delhi"/>
    <n v="0"/>
    <b v="0"/>
    <x v="2"/>
    <s v="SMB"/>
    <n v="55"/>
    <x v="1"/>
    <n v="2214"/>
  </r>
  <r>
    <s v="ORD-01714"/>
    <x v="18"/>
    <s v="CUST-0098"/>
    <s v="PROD-020"/>
    <x v="17"/>
    <n v="2"/>
    <n v="820"/>
    <n v="7"/>
    <n v="1525.2"/>
    <s v="Completed"/>
    <s v="Delhi"/>
    <n v="0"/>
    <b v="1"/>
    <x v="0"/>
    <s v="Retail"/>
    <n v="52"/>
    <x v="2"/>
    <n v="391"/>
  </r>
  <r>
    <s v="ORD-01715"/>
    <x v="225"/>
    <s v="CUST-0031"/>
    <s v="PROD-023"/>
    <x v="24"/>
    <n v="5"/>
    <n v="2380"/>
    <n v="23"/>
    <n v="9163"/>
    <s v="Completed"/>
    <s v="Hyderabad"/>
    <n v="0"/>
    <b v="1"/>
    <x v="2"/>
    <s v="Retail"/>
    <n v="53"/>
    <x v="3"/>
    <n v="1182"/>
  </r>
  <r>
    <s v="ORD-01716"/>
    <x v="109"/>
    <s v="CUST-0185"/>
    <s v="PROD-004"/>
    <x v="22"/>
    <n v="1"/>
    <n v="3870"/>
    <n v="27.3"/>
    <n v="2813.49"/>
    <s v="Completed"/>
    <s v="Hyderabad"/>
    <n v="0"/>
    <b v="1"/>
    <x v="4"/>
    <s v="SMB"/>
    <n v="43"/>
    <x v="1"/>
    <n v="1559"/>
  </r>
  <r>
    <s v="ORD-01717"/>
    <x v="114"/>
    <s v="CUST-0011"/>
    <s v="PROD-005"/>
    <x v="0"/>
    <n v="10"/>
    <n v="300"/>
    <n v="14.1"/>
    <n v="2577"/>
    <s v="Cancelled"/>
    <s v="Chennai"/>
    <n v="0"/>
    <b v="1"/>
    <x v="4"/>
    <s v="Corporate"/>
    <n v="41"/>
    <x v="0"/>
    <n v="128"/>
  </r>
  <r>
    <s v="ORD-01718"/>
    <x v="262"/>
    <s v="CUST-0223"/>
    <s v="PROD-048"/>
    <x v="28"/>
    <n v="10"/>
    <n v="5100"/>
    <n v="12.7"/>
    <n v="44523"/>
    <s v="Completed"/>
    <s v="Bengaluru"/>
    <n v="0"/>
    <b v="1"/>
    <x v="5"/>
    <s v="Retail"/>
    <n v="46"/>
    <x v="2"/>
    <n v="2237"/>
  </r>
  <r>
    <s v="ORD-01719"/>
    <x v="55"/>
    <s v="CUST-0126"/>
    <s v="PROD-021"/>
    <x v="22"/>
    <n v="1"/>
    <n v="2760"/>
    <n v="17.8"/>
    <n v="2268.7199999999998"/>
    <s v="Refunded"/>
    <s v="Mumbai"/>
    <n v="0"/>
    <b v="1"/>
    <x v="2"/>
    <s v="Retail"/>
    <n v="37"/>
    <x v="1"/>
    <n v="1435"/>
  </r>
  <r>
    <s v="ORD-01720"/>
    <x v="143"/>
    <s v="CUST-0284"/>
    <s v="PROD-001"/>
    <x v="25"/>
    <n v="8"/>
    <n v="5330"/>
    <n v="16.399999999999999"/>
    <n v="35647.040000000001"/>
    <s v="Completed"/>
    <s v="Hyderabad"/>
    <n v="0"/>
    <b v="1"/>
    <x v="4"/>
    <s v="SMB"/>
    <n v="65"/>
    <x v="0"/>
    <n v="2405"/>
  </r>
  <r>
    <s v="ORD-01721"/>
    <x v="136"/>
    <s v="CUST-0011"/>
    <s v="PROD-054"/>
    <x v="29"/>
    <n v="1"/>
    <n v="1010"/>
    <n v="20.399999999999999"/>
    <n v="803.96"/>
    <s v="Cancelled"/>
    <s v="Chennai"/>
    <n v="0"/>
    <b v="1"/>
    <x v="1"/>
    <s v="Corporate"/>
    <n v="41"/>
    <x v="1"/>
    <n v="516"/>
  </r>
  <r>
    <s v="ORD-01722"/>
    <x v="351"/>
    <s v="CUST-0275"/>
    <s v="PROD-008"/>
    <x v="7"/>
    <n v="10"/>
    <n v="2660"/>
    <n v="29.3"/>
    <n v="18806.2"/>
    <s v="Completed"/>
    <s v="Mumbai"/>
    <n v="0"/>
    <b v="0"/>
    <x v="4"/>
    <s v="Retail"/>
    <n v="36"/>
    <x v="3"/>
    <n v="1259"/>
  </r>
  <r>
    <s v="ORD-01723"/>
    <x v="47"/>
    <s v="CUST-0259"/>
    <s v="PROD-006"/>
    <x v="23"/>
    <n v="9"/>
    <n v="3970"/>
    <n v="10.4"/>
    <n v="32014.080000000002"/>
    <s v="Pending"/>
    <s v="Mumbai"/>
    <n v="0"/>
    <b v="1"/>
    <x v="4"/>
    <s v="Retail"/>
    <n v="34"/>
    <x v="1"/>
    <n v="2865"/>
  </r>
  <r>
    <s v="ORD-01724"/>
    <x v="22"/>
    <s v="CUST-0089"/>
    <s v="PROD-014"/>
    <x v="4"/>
    <n v="3"/>
    <n v="3620"/>
    <n v="22"/>
    <n v="8470.7999999999993"/>
    <s v="Completed"/>
    <s v="Mumbai"/>
    <n v="0"/>
    <b v="1"/>
    <x v="0"/>
    <s v="SMB"/>
    <n v="43"/>
    <x v="0"/>
    <n v="2509"/>
  </r>
  <r>
    <s v="ORD-01725"/>
    <x v="266"/>
    <s v="CUST-0232"/>
    <s v="PROD-022"/>
    <x v="26"/>
    <n v="6"/>
    <n v="2270"/>
    <n v="11.1"/>
    <n v="12108.18"/>
    <s v="Cancelled"/>
    <s v="Hyderabad"/>
    <n v="0"/>
    <b v="1"/>
    <x v="2"/>
    <s v="Retail"/>
    <n v="38"/>
    <x v="3"/>
    <n v="1412"/>
  </r>
  <r>
    <s v="ORD-01726"/>
    <x v="363"/>
    <s v="CUST-0220"/>
    <s v="PROD-022"/>
    <x v="2"/>
    <n v="4"/>
    <n v="2270"/>
    <n v="27.2"/>
    <n v="6610.24"/>
    <s v="Pending"/>
    <s v="Chennai"/>
    <n v="0"/>
    <b v="1"/>
    <x v="2"/>
    <s v="Retail"/>
    <n v="34"/>
    <x v="1"/>
    <n v="1412"/>
  </r>
  <r>
    <s v="ORD-01727"/>
    <x v="31"/>
    <s v="CUST-0137"/>
    <s v="PROD-039"/>
    <x v="27"/>
    <n v="8"/>
    <n v="4610"/>
    <n v="24.5"/>
    <n v="27844.400000000001"/>
    <s v="Completed"/>
    <s v="Mumbai"/>
    <n v="0"/>
    <b v="1"/>
    <x v="3"/>
    <s v="Retail"/>
    <n v="41"/>
    <x v="1"/>
    <n v="1850"/>
  </r>
  <r>
    <s v="ORD-01728"/>
    <x v="250"/>
    <s v="CUST-0132"/>
    <s v="PROD-060"/>
    <x v="16"/>
    <n v="6"/>
    <n v="190"/>
    <n v="8.6999999999999993"/>
    <n v="1040.82"/>
    <s v="Cancelled"/>
    <s v="Delhi"/>
    <n v="0"/>
    <b v="1"/>
    <x v="1"/>
    <s v="Retail"/>
    <n v="41"/>
    <x v="3"/>
    <n v="147"/>
  </r>
  <r>
    <s v="ORD-01729"/>
    <x v="7"/>
    <s v="CUST-0226"/>
    <s v="PROD-033"/>
    <x v="17"/>
    <n v="5"/>
    <n v="2030"/>
    <n v="0.9"/>
    <n v="10058.65"/>
    <s v="Cancelled"/>
    <s v="Chennai"/>
    <n v="0"/>
    <b v="1"/>
    <x v="3"/>
    <s v="Corporate"/>
    <n v="52"/>
    <x v="2"/>
    <n v="1143"/>
  </r>
  <r>
    <s v="ORD-01730"/>
    <x v="105"/>
    <s v="CUST-0080"/>
    <s v="PROD-026"/>
    <x v="16"/>
    <n v="1"/>
    <n v="4070"/>
    <n v="9.3000000000000007"/>
    <n v="3691.49"/>
    <s v="Refunded"/>
    <s v="Pune"/>
    <n v="0"/>
    <b v="1"/>
    <x v="2"/>
    <s v="SMB"/>
    <n v="30"/>
    <x v="3"/>
    <n v="2027"/>
  </r>
  <r>
    <s v="ORD-01731"/>
    <x v="151"/>
    <s v="CUST-0068"/>
    <s v="PROD-042"/>
    <x v="19"/>
    <n v="3"/>
    <n v="2290"/>
    <n v="12.1"/>
    <n v="6038.73"/>
    <s v="Completed"/>
    <s v="Delhi"/>
    <n v="0"/>
    <b v="1"/>
    <x v="5"/>
    <s v="SMB"/>
    <n v="48"/>
    <x v="0"/>
    <n v="1219"/>
  </r>
  <r>
    <s v="ORD-01732"/>
    <x v="282"/>
    <s v="CUST-0146"/>
    <s v="PROD-031"/>
    <x v="16"/>
    <n v="7"/>
    <n v="3730"/>
    <n v="4.5"/>
    <n v="24935.05"/>
    <s v="Completed"/>
    <s v="Hyderabad"/>
    <n v="0"/>
    <b v="1"/>
    <x v="3"/>
    <s v="Retail"/>
    <n v="22"/>
    <x v="3"/>
    <n v="2135"/>
  </r>
  <r>
    <s v="ORD-01733"/>
    <x v="141"/>
    <s v="CUST-0106"/>
    <s v="PROD-016"/>
    <x v="1"/>
    <n v="5"/>
    <n v="620"/>
    <n v="7.5"/>
    <n v="2867.5"/>
    <s v="Completed"/>
    <s v="Pune"/>
    <n v="0"/>
    <b v="1"/>
    <x v="0"/>
    <s v="Retail"/>
    <n v="22"/>
    <x v="0"/>
    <n v="396"/>
  </r>
  <r>
    <s v="ORD-01734"/>
    <x v="6"/>
    <s v="CUST-0096"/>
    <s v="PROD-010"/>
    <x v="9"/>
    <n v="8"/>
    <n v="2640"/>
    <n v="16.399999999999999"/>
    <n v="17656.32"/>
    <s v="Completed"/>
    <s v="Delhi"/>
    <n v="0"/>
    <b v="1"/>
    <x v="4"/>
    <s v="Corporate"/>
    <n v="27"/>
    <x v="1"/>
    <n v="1149"/>
  </r>
  <r>
    <s v="ORD-01735"/>
    <x v="148"/>
    <s v="CUST-0248"/>
    <s v="PROD-028"/>
    <x v="10"/>
    <n v="6"/>
    <n v="3660"/>
    <n v="6.2"/>
    <n v="20598.48"/>
    <s v="Completed"/>
    <s v="Chennai"/>
    <n v="0"/>
    <b v="0"/>
    <x v="2"/>
    <s v="SMB"/>
    <n v="57"/>
    <x v="0"/>
    <n v="2214"/>
  </r>
  <r>
    <s v="ORD-01736"/>
    <x v="11"/>
    <s v="CUST-0297"/>
    <s v="PROD-020"/>
    <x v="16"/>
    <n v="2"/>
    <n v="820"/>
    <n v="25.4"/>
    <n v="1223.44"/>
    <s v="Completed"/>
    <s v="Hyderabad"/>
    <n v="0"/>
    <b v="1"/>
    <x v="0"/>
    <s v="Retail"/>
    <n v="50"/>
    <x v="3"/>
    <n v="391"/>
  </r>
  <r>
    <s v="ORD-01737"/>
    <x v="102"/>
    <s v="CUST-0120"/>
    <s v="PROD-019"/>
    <x v="13"/>
    <n v="3"/>
    <n v="2480"/>
    <n v="28.7"/>
    <n v="5304.72"/>
    <s v="Pending"/>
    <s v="Mumbai"/>
    <n v="0"/>
    <b v="1"/>
    <x v="0"/>
    <s v="Retail"/>
    <n v="29"/>
    <x v="3"/>
    <n v="1173"/>
  </r>
  <r>
    <s v="ORD-01738"/>
    <x v="166"/>
    <s v="CUST-0148"/>
    <s v="PROD-050"/>
    <x v="8"/>
    <n v="10"/>
    <n v="6080"/>
    <n v="18.899999999999999"/>
    <n v="49308.800000000003"/>
    <s v="Completed"/>
    <s v="Chennai"/>
    <n v="0"/>
    <b v="1"/>
    <x v="5"/>
    <s v="Retail"/>
    <n v="32"/>
    <x v="2"/>
    <n v="2617"/>
  </r>
  <r>
    <s v="ORD-01739"/>
    <x v="260"/>
    <s v="CUST-0008"/>
    <s v="PROD-060"/>
    <x v="24"/>
    <n v="1"/>
    <n v="190"/>
    <n v="5.7"/>
    <n v="179.17"/>
    <s v="Completed"/>
    <s v="Pune"/>
    <n v="0"/>
    <b v="1"/>
    <x v="1"/>
    <s v="SMB"/>
    <n v="39"/>
    <x v="3"/>
    <n v="147"/>
  </r>
  <r>
    <s v="ORD-01740"/>
    <x v="113"/>
    <s v="CUST-0013"/>
    <s v="PROD-059"/>
    <x v="17"/>
    <n v="2"/>
    <n v="3780"/>
    <n v="11.8"/>
    <n v="6667.92"/>
    <s v="Completed"/>
    <s v="Delhi"/>
    <n v="0"/>
    <b v="1"/>
    <x v="1"/>
    <s v="Retail"/>
    <n v="41"/>
    <x v="2"/>
    <n v="1860"/>
  </r>
  <r>
    <s v="ORD-01741"/>
    <x v="341"/>
    <s v="CUST-0234"/>
    <s v="PROD-036"/>
    <x v="19"/>
    <n v="5"/>
    <n v="3250"/>
    <n v="19.899999999999999"/>
    <n v="13016.25"/>
    <s v="Completed"/>
    <s v="Bengaluru"/>
    <n v="0"/>
    <b v="1"/>
    <x v="3"/>
    <s v="Retail"/>
    <n v="34"/>
    <x v="0"/>
    <n v="1556"/>
  </r>
  <r>
    <s v="ORD-01742"/>
    <x v="13"/>
    <s v="CUST-0207"/>
    <s v="PROD-033"/>
    <x v="4"/>
    <n v="7"/>
    <n v="2030"/>
    <n v="4.0999999999999996"/>
    <n v="13627.39"/>
    <s v="Completed"/>
    <s v="Hyderabad"/>
    <n v="0"/>
    <b v="1"/>
    <x v="3"/>
    <s v="SMB"/>
    <n v="34"/>
    <x v="0"/>
    <n v="1143"/>
  </r>
  <r>
    <s v="ORD-01743"/>
    <x v="330"/>
    <s v="CUST-0245"/>
    <s v="PROD-046"/>
    <x v="27"/>
    <n v="5"/>
    <n v="4880"/>
    <n v="22.9"/>
    <n v="18812.400000000001"/>
    <s v="Completed"/>
    <s v="Hyderabad"/>
    <n v="0"/>
    <b v="1"/>
    <x v="5"/>
    <s v="Retail"/>
    <n v="65"/>
    <x v="1"/>
    <n v="2768"/>
  </r>
  <r>
    <s v="ORD-01744"/>
    <x v="92"/>
    <s v="CUST-0044"/>
    <s v="PROD-043"/>
    <x v="16"/>
    <n v="3"/>
    <n v="3350"/>
    <n v="15.2"/>
    <n v="8522.4"/>
    <s v="Pending"/>
    <s v="Hyderabad"/>
    <n v="0"/>
    <b v="1"/>
    <x v="5"/>
    <s v="SMB"/>
    <n v="29"/>
    <x v="3"/>
    <n v="1728"/>
  </r>
  <r>
    <s v="ORD-01745"/>
    <x v="54"/>
    <s v="CUST-0264"/>
    <s v="PROD-055"/>
    <x v="20"/>
    <n v="10"/>
    <n v="2860"/>
    <n v="15"/>
    <n v="24310"/>
    <s v="Completed"/>
    <s v="Pune"/>
    <n v="0"/>
    <b v="1"/>
    <x v="1"/>
    <s v="Retail"/>
    <n v="59"/>
    <x v="2"/>
    <n v="2028"/>
  </r>
  <r>
    <s v="ORD-01746"/>
    <x v="328"/>
    <s v="CUST-0193"/>
    <s v="PROD-047"/>
    <x v="26"/>
    <n v="5"/>
    <n v="3450"/>
    <n v="2.2999999999999998"/>
    <n v="16853.25"/>
    <s v="Completed"/>
    <s v="Bengaluru"/>
    <n v="0"/>
    <b v="1"/>
    <x v="5"/>
    <s v="Retail"/>
    <n v="42"/>
    <x v="3"/>
    <n v="2420"/>
  </r>
  <r>
    <s v="ORD-01747"/>
    <x v="245"/>
    <s v="CUST-0006"/>
    <s v="PROD-024"/>
    <x v="15"/>
    <n v="3"/>
    <n v="2270"/>
    <n v="2.8"/>
    <n v="6619.32"/>
    <s v="Pending"/>
    <s v="Pune"/>
    <n v="0"/>
    <b v="1"/>
    <x v="2"/>
    <s v="SMB"/>
    <n v="44"/>
    <x v="1"/>
    <n v="1203"/>
  </r>
  <r>
    <s v="ORD-01748"/>
    <x v="20"/>
    <s v="CUST-0221"/>
    <s v="PROD-028"/>
    <x v="0"/>
    <n v="8"/>
    <n v="3660"/>
    <n v="16.8"/>
    <n v="24360.959999999999"/>
    <s v="Completed"/>
    <s v="Delhi"/>
    <n v="0"/>
    <b v="0"/>
    <x v="2"/>
    <s v="SMB"/>
    <n v="29"/>
    <x v="0"/>
    <n v="2214"/>
  </r>
  <r>
    <s v="ORD-01749"/>
    <x v="277"/>
    <s v="CUST-0151"/>
    <s v="PROD-045"/>
    <x v="4"/>
    <n v="7"/>
    <n v="3020"/>
    <n v="17.8"/>
    <n v="17377.080000000002"/>
    <s v="Completed"/>
    <s v="Mumbai"/>
    <n v="0"/>
    <b v="1"/>
    <x v="5"/>
    <s v="Retail"/>
    <n v="53"/>
    <x v="0"/>
    <n v="1626"/>
  </r>
  <r>
    <s v="ORD-01750"/>
    <x v="78"/>
    <s v="CUST-0188"/>
    <s v="PROD-040"/>
    <x v="2"/>
    <n v="7"/>
    <n v="1080"/>
    <n v="12.9"/>
    <n v="6584.76"/>
    <s v="Completed"/>
    <s v="Bengaluru"/>
    <n v="0"/>
    <b v="1"/>
    <x v="3"/>
    <s v="Retail"/>
    <n v="54"/>
    <x v="1"/>
    <n v="519"/>
  </r>
  <r>
    <s v="ORD-01751"/>
    <x v="315"/>
    <s v="CUST-0010"/>
    <s v="PROD-022"/>
    <x v="27"/>
    <n v="2"/>
    <n v="2270"/>
    <n v="8.6"/>
    <n v="4149.5600000000004"/>
    <s v="Cancelled"/>
    <s v="Mumbai"/>
    <n v="0"/>
    <b v="1"/>
    <x v="2"/>
    <s v="SMB"/>
    <n v="61"/>
    <x v="1"/>
    <n v="1412"/>
  </r>
  <r>
    <s v="ORD-01752"/>
    <x v="338"/>
    <s v="CUST-0018"/>
    <s v="PROD-016"/>
    <x v="27"/>
    <n v="10"/>
    <n v="620"/>
    <n v="26.1"/>
    <n v="4581.8"/>
    <s v="Completed"/>
    <s v="Pune"/>
    <n v="0"/>
    <b v="1"/>
    <x v="0"/>
    <s v="SMB"/>
    <n v="54"/>
    <x v="1"/>
    <n v="396"/>
  </r>
  <r>
    <s v="ORD-01753"/>
    <x v="230"/>
    <s v="CUST-0262"/>
    <s v="PROD-025"/>
    <x v="15"/>
    <n v="2"/>
    <n v="4060"/>
    <n v="3.8"/>
    <n v="7811.44"/>
    <s v="Completed"/>
    <s v="Mumbai"/>
    <n v="0"/>
    <b v="1"/>
    <x v="2"/>
    <s v="Retail"/>
    <n v="52"/>
    <x v="1"/>
    <n v="2911"/>
  </r>
  <r>
    <s v="ORD-01754"/>
    <x v="56"/>
    <s v="CUST-0282"/>
    <s v="PROD-027"/>
    <x v="27"/>
    <n v="1"/>
    <n v="3780"/>
    <n v="27.9"/>
    <n v="2725.38"/>
    <s v="Completed"/>
    <s v="Hyderabad"/>
    <n v="0"/>
    <b v="1"/>
    <x v="2"/>
    <s v="Corporate"/>
    <n v="29"/>
    <x v="1"/>
    <n v="2436"/>
  </r>
  <r>
    <s v="ORD-01755"/>
    <x v="7"/>
    <s v="CUST-0194"/>
    <s v="PROD-023"/>
    <x v="24"/>
    <n v="8"/>
    <n v="2380"/>
    <n v="3.8"/>
    <n v="18316.48"/>
    <s v="Completed"/>
    <s v="Delhi"/>
    <n v="0"/>
    <b v="1"/>
    <x v="2"/>
    <s v="SMB"/>
    <n v="55"/>
    <x v="3"/>
    <n v="1182"/>
  </r>
  <r>
    <s v="ORD-01756"/>
    <x v="239"/>
    <s v="CUST-0161"/>
    <s v="PROD-026"/>
    <x v="6"/>
    <n v="7"/>
    <n v="4070"/>
    <n v="0.3"/>
    <n v="28404.53"/>
    <s v="Completed"/>
    <s v="Chennai"/>
    <n v="0"/>
    <b v="1"/>
    <x v="2"/>
    <s v="Retail"/>
    <n v="38"/>
    <x v="2"/>
    <n v="2027"/>
  </r>
  <r>
    <s v="ORD-01757"/>
    <x v="61"/>
    <s v="CUST-0120"/>
    <s v="PROD-010"/>
    <x v="16"/>
    <n v="6"/>
    <n v="2640"/>
    <n v="3.4"/>
    <n v="15301.44"/>
    <s v="Completed"/>
    <s v="Mumbai"/>
    <n v="0"/>
    <b v="1"/>
    <x v="4"/>
    <s v="Retail"/>
    <n v="29"/>
    <x v="3"/>
    <n v="1149"/>
  </r>
  <r>
    <s v="ORD-01758"/>
    <x v="312"/>
    <s v="CUST-0250"/>
    <s v="PROD-059"/>
    <x v="14"/>
    <n v="10"/>
    <n v="3780"/>
    <n v="13.3"/>
    <n v="32772.6"/>
    <s v="Completed"/>
    <s v="Delhi"/>
    <n v="0"/>
    <b v="1"/>
    <x v="1"/>
    <s v="Retail"/>
    <n v="31"/>
    <x v="2"/>
    <n v="1860"/>
  </r>
  <r>
    <s v="ORD-01759"/>
    <x v="272"/>
    <s v="CUST-0054"/>
    <s v="PROD-043"/>
    <x v="18"/>
    <n v="9"/>
    <n v="3350"/>
    <n v="12.8"/>
    <n v="26290.799999999999"/>
    <s v="Completed"/>
    <s v="Mumbai"/>
    <n v="0"/>
    <b v="1"/>
    <x v="5"/>
    <s v="Corporate"/>
    <n v="62"/>
    <x v="1"/>
    <n v="1728"/>
  </r>
  <r>
    <s v="ORD-01760"/>
    <x v="61"/>
    <s v="CUST-0247"/>
    <s v="PROD-012"/>
    <x v="6"/>
    <n v="7"/>
    <n v="3160"/>
    <n v="15.3"/>
    <n v="18735.64"/>
    <s v="Completed"/>
    <s v="Pune"/>
    <n v="0"/>
    <b v="1"/>
    <x v="0"/>
    <s v="SMB"/>
    <n v="35"/>
    <x v="2"/>
    <n v="1886"/>
  </r>
  <r>
    <s v="ORD-01761"/>
    <x v="49"/>
    <s v="CUST-0127"/>
    <s v="PROD-055"/>
    <x v="10"/>
    <n v="6"/>
    <n v="2860"/>
    <n v="17.5"/>
    <n v="14157"/>
    <s v="Completed"/>
    <s v="Bengaluru"/>
    <n v="0"/>
    <b v="1"/>
    <x v="1"/>
    <s v="SMB"/>
    <n v="36"/>
    <x v="0"/>
    <n v="2028"/>
  </r>
  <r>
    <s v="ORD-01762"/>
    <x v="123"/>
    <s v="CUST-0030"/>
    <s v="PROD-005"/>
    <x v="9"/>
    <n v="9"/>
    <n v="300"/>
    <n v="25.2"/>
    <n v="2019.6"/>
    <s v="Completed"/>
    <s v="Bengaluru"/>
    <n v="0"/>
    <b v="1"/>
    <x v="4"/>
    <s v="Corporate"/>
    <n v="43"/>
    <x v="1"/>
    <n v="128"/>
  </r>
  <r>
    <s v="ORD-01763"/>
    <x v="197"/>
    <s v="CUST-0205"/>
    <s v="PROD-060"/>
    <x v="16"/>
    <n v="5"/>
    <n v="190"/>
    <n v="1.8"/>
    <n v="932.9"/>
    <s v="Completed"/>
    <s v="Pune"/>
    <n v="0"/>
    <b v="1"/>
    <x v="1"/>
    <s v="Corporate"/>
    <n v="29"/>
    <x v="3"/>
    <n v="147"/>
  </r>
  <r>
    <s v="ORD-01764"/>
    <x v="80"/>
    <s v="CUST-0172"/>
    <s v="PROD-054"/>
    <x v="13"/>
    <n v="7"/>
    <n v="1010"/>
    <n v="11.2"/>
    <n v="6278.16"/>
    <s v="Completed"/>
    <s v="Pune"/>
    <n v="0"/>
    <b v="1"/>
    <x v="1"/>
    <s v="Retail"/>
    <n v="65"/>
    <x v="3"/>
    <n v="516"/>
  </r>
  <r>
    <s v="ORD-01765"/>
    <x v="50"/>
    <s v="CUST-0283"/>
    <s v="PROD-051"/>
    <x v="19"/>
    <n v="8"/>
    <n v="3450"/>
    <n v="8.4"/>
    <n v="25281.599999999999"/>
    <s v="Completed"/>
    <s v="Delhi"/>
    <n v="0"/>
    <b v="1"/>
    <x v="1"/>
    <s v="SMB"/>
    <n v="50"/>
    <x v="0"/>
    <n v="2467"/>
  </r>
  <r>
    <s v="ORD-01766"/>
    <x v="100"/>
    <s v="CUST-0005"/>
    <s v="PROD-005"/>
    <x v="19"/>
    <n v="3"/>
    <n v="300"/>
    <n v="7.5"/>
    <n v="832.5"/>
    <s v="Refunded"/>
    <s v="Chennai"/>
    <n v="0"/>
    <b v="1"/>
    <x v="4"/>
    <s v="Corporate"/>
    <n v="52"/>
    <x v="0"/>
    <n v="128"/>
  </r>
  <r>
    <s v="ORD-01767"/>
    <x v="43"/>
    <s v="CUST-0095"/>
    <s v="PROD-031"/>
    <x v="26"/>
    <n v="4"/>
    <n v="3730"/>
    <n v="24.8"/>
    <n v="11219.84"/>
    <s v="Completed"/>
    <s v="Mumbai"/>
    <n v="0"/>
    <b v="1"/>
    <x v="3"/>
    <s v="SMB"/>
    <n v="54"/>
    <x v="3"/>
    <n v="2135"/>
  </r>
  <r>
    <s v="ORD-01768"/>
    <x v="32"/>
    <s v="CUST-0142"/>
    <s v="PROD-058"/>
    <x v="16"/>
    <n v="5"/>
    <n v="2400"/>
    <n v="9.1999999999999993"/>
    <n v="10896"/>
    <s v="Completed"/>
    <s v="Chennai"/>
    <n v="0"/>
    <b v="1"/>
    <x v="1"/>
    <s v="Corporate"/>
    <n v="55"/>
    <x v="3"/>
    <n v="974"/>
  </r>
  <r>
    <s v="ORD-01769"/>
    <x v="303"/>
    <s v="CUST-0028"/>
    <s v="PROD-021"/>
    <x v="19"/>
    <n v="3"/>
    <n v="2760"/>
    <n v="2.4"/>
    <n v="8081.28"/>
    <s v="Completed"/>
    <s v="Bengaluru"/>
    <n v="0"/>
    <b v="1"/>
    <x v="2"/>
    <s v="Retail"/>
    <n v="59"/>
    <x v="0"/>
    <n v="1435"/>
  </r>
  <r>
    <s v="ORD-01770"/>
    <x v="289"/>
    <s v="CUST-0118"/>
    <s v="PROD-053"/>
    <x v="18"/>
    <n v="8"/>
    <n v="470"/>
    <n v="24.8"/>
    <n v="2827.52"/>
    <s v="Pending"/>
    <s v="Hyderabad"/>
    <n v="0"/>
    <b v="0"/>
    <x v="1"/>
    <s v="Retail"/>
    <n v="26"/>
    <x v="1"/>
    <n v="302"/>
  </r>
  <r>
    <s v="ORD-01771"/>
    <x v="142"/>
    <s v="CUST-0231"/>
    <s v="PROD-053"/>
    <x v="28"/>
    <n v="3"/>
    <n v="470"/>
    <n v="18.600000000000001"/>
    <n v="1147.74"/>
    <s v="Completed"/>
    <s v="Chennai"/>
    <n v="0"/>
    <b v="0"/>
    <x v="1"/>
    <s v="Retail"/>
    <n v="61"/>
    <x v="2"/>
    <n v="302"/>
  </r>
  <r>
    <s v="ORD-01772"/>
    <x v="228"/>
    <s v="CUST-0264"/>
    <s v="PROD-032"/>
    <x v="8"/>
    <n v="2"/>
    <n v="370"/>
    <n v="24"/>
    <n v="562.4"/>
    <s v="Completed"/>
    <s v="Pune"/>
    <n v="0"/>
    <b v="1"/>
    <x v="3"/>
    <s v="Retail"/>
    <n v="59"/>
    <x v="2"/>
    <n v="288"/>
  </r>
  <r>
    <s v="ORD-01773"/>
    <x v="90"/>
    <s v="CUST-0120"/>
    <s v="PROD-029"/>
    <x v="19"/>
    <n v="6"/>
    <n v="2210"/>
    <n v="28.3"/>
    <n v="9507.42"/>
    <s v="Cancelled"/>
    <s v="Mumbai"/>
    <n v="0"/>
    <b v="1"/>
    <x v="2"/>
    <s v="Retail"/>
    <n v="29"/>
    <x v="0"/>
    <n v="1010"/>
  </r>
  <r>
    <s v="ORD-01774"/>
    <x v="0"/>
    <s v="CUST-0185"/>
    <s v="PROD-056"/>
    <x v="25"/>
    <n v="3"/>
    <n v="6940"/>
    <n v="27.2"/>
    <n v="15156.96"/>
    <s v="Refunded"/>
    <s v="Hyderabad"/>
    <n v="0"/>
    <b v="1"/>
    <x v="1"/>
    <s v="SMB"/>
    <n v="43"/>
    <x v="0"/>
    <n v="2827"/>
  </r>
  <r>
    <s v="ORD-01775"/>
    <x v="318"/>
    <s v="CUST-0174"/>
    <s v="PROD-033"/>
    <x v="26"/>
    <n v="10"/>
    <n v="2030"/>
    <n v="25.6"/>
    <n v="15103.2"/>
    <s v="Completed"/>
    <s v="Pune"/>
    <n v="0"/>
    <b v="1"/>
    <x v="3"/>
    <s v="Retail"/>
    <n v="54"/>
    <x v="3"/>
    <n v="1143"/>
  </r>
  <r>
    <s v="ORD-01776"/>
    <x v="80"/>
    <s v="CUST-0174"/>
    <s v="PROD-054"/>
    <x v="21"/>
    <n v="9"/>
    <n v="1010"/>
    <n v="9.3000000000000007"/>
    <n v="8244.6299999999992"/>
    <s v="Completed"/>
    <s v="Pune"/>
    <n v="0"/>
    <b v="1"/>
    <x v="1"/>
    <s v="Retail"/>
    <n v="54"/>
    <x v="3"/>
    <n v="516"/>
  </r>
  <r>
    <s v="ORD-01777"/>
    <x v="297"/>
    <s v="CUST-0084"/>
    <s v="PROD-017"/>
    <x v="25"/>
    <n v="5"/>
    <n v="2510"/>
    <n v="22.2"/>
    <n v="9763.9"/>
    <s v="Completed"/>
    <s v="Chennai"/>
    <n v="0"/>
    <b v="0"/>
    <x v="0"/>
    <s v="Retail"/>
    <n v="28"/>
    <x v="0"/>
    <n v="1075"/>
  </r>
  <r>
    <s v="ORD-01778"/>
    <x v="236"/>
    <s v="CUST-0270"/>
    <s v="PROD-032"/>
    <x v="25"/>
    <n v="10"/>
    <n v="370"/>
    <n v="29"/>
    <n v="2627"/>
    <s v="Completed"/>
    <s v="Bengaluru"/>
    <n v="0"/>
    <b v="1"/>
    <x v="3"/>
    <s v="Retail"/>
    <n v="29"/>
    <x v="0"/>
    <n v="288"/>
  </r>
  <r>
    <s v="ORD-01779"/>
    <x v="210"/>
    <s v="CUST-0178"/>
    <s v="PROD-019"/>
    <x v="13"/>
    <n v="3"/>
    <n v="2480"/>
    <n v="9.6"/>
    <n v="6725.76"/>
    <s v="Completed"/>
    <s v="Hyderabad"/>
    <n v="0"/>
    <b v="1"/>
    <x v="0"/>
    <s v="Retail"/>
    <n v="25"/>
    <x v="3"/>
    <n v="1173"/>
  </r>
  <r>
    <s v="ORD-01780"/>
    <x v="128"/>
    <s v="CUST-0019"/>
    <s v="PROD-010"/>
    <x v="21"/>
    <n v="3"/>
    <n v="2640"/>
    <n v="10.199999999999999"/>
    <n v="7112.16"/>
    <s v="Cancelled"/>
    <s v="Chennai"/>
    <n v="0"/>
    <b v="1"/>
    <x v="4"/>
    <s v="Retail"/>
    <n v="22"/>
    <x v="3"/>
    <n v="1149"/>
  </r>
  <r>
    <s v="ORD-01781"/>
    <x v="172"/>
    <s v="CUST-0276"/>
    <s v="PROD-035"/>
    <x v="16"/>
    <n v="1"/>
    <n v="1090"/>
    <n v="21.6"/>
    <n v="854.56"/>
    <s v="Cancelled"/>
    <s v="Chennai"/>
    <n v="0"/>
    <b v="1"/>
    <x v="3"/>
    <s v="Retail"/>
    <n v="26"/>
    <x v="3"/>
    <n v="464"/>
  </r>
  <r>
    <s v="ORD-01782"/>
    <x v="38"/>
    <s v="CUST-0076"/>
    <s v="PROD-043"/>
    <x v="25"/>
    <n v="10"/>
    <n v="3350"/>
    <n v="12.1"/>
    <n v="29446.5"/>
    <s v="Completed"/>
    <s v="Mumbai"/>
    <n v="0"/>
    <b v="1"/>
    <x v="5"/>
    <s v="Retail"/>
    <n v="38"/>
    <x v="0"/>
    <n v="1728"/>
  </r>
  <r>
    <s v="ORD-01783"/>
    <x v="254"/>
    <s v="CUST-0085"/>
    <s v="PROD-050"/>
    <x v="15"/>
    <n v="4"/>
    <n v="6080"/>
    <n v="26.7"/>
    <n v="17826.560000000001"/>
    <s v="Cancelled"/>
    <s v="Chennai"/>
    <n v="0"/>
    <b v="1"/>
    <x v="5"/>
    <s v="Retail"/>
    <n v="26"/>
    <x v="1"/>
    <n v="2617"/>
  </r>
  <r>
    <s v="ORD-01784"/>
    <x v="332"/>
    <s v="CUST-0245"/>
    <s v="PROD-049"/>
    <x v="25"/>
    <n v="3"/>
    <n v="960"/>
    <n v="13.2"/>
    <n v="2499.84"/>
    <s v="Completed"/>
    <s v="Hyderabad"/>
    <n v="0"/>
    <b v="1"/>
    <x v="5"/>
    <s v="Retail"/>
    <n v="65"/>
    <x v="0"/>
    <n v="675"/>
  </r>
  <r>
    <s v="ORD-01785"/>
    <x v="294"/>
    <s v="CUST-0135"/>
    <s v="PROD-028"/>
    <x v="0"/>
    <n v="9"/>
    <n v="3660"/>
    <n v="9.3000000000000007"/>
    <n v="29876.58"/>
    <s v="Cancelled"/>
    <s v="Pune"/>
    <n v="0"/>
    <b v="0"/>
    <x v="2"/>
    <s v="SMB"/>
    <n v="24"/>
    <x v="0"/>
    <n v="2214"/>
  </r>
  <r>
    <s v="ORD-01786"/>
    <x v="321"/>
    <s v="CUST-0224"/>
    <s v="PROD-047"/>
    <x v="7"/>
    <n v="6"/>
    <n v="3450"/>
    <n v="8.1999999999999993"/>
    <n v="19002.599999999999"/>
    <s v="Completed"/>
    <s v="Chennai"/>
    <n v="0"/>
    <b v="1"/>
    <x v="5"/>
    <s v="Corporate"/>
    <n v="24"/>
    <x v="3"/>
    <n v="2420"/>
  </r>
  <r>
    <s v="ORD-01787"/>
    <x v="292"/>
    <s v="CUST-0036"/>
    <s v="PROD-039"/>
    <x v="16"/>
    <n v="7"/>
    <n v="4610"/>
    <n v="10.4"/>
    <n v="28913.919999999998"/>
    <s v="Completed"/>
    <s v="Mumbai"/>
    <n v="0"/>
    <b v="1"/>
    <x v="3"/>
    <s v="Retail"/>
    <n v="35"/>
    <x v="3"/>
    <n v="1850"/>
  </r>
  <r>
    <s v="ORD-01788"/>
    <x v="201"/>
    <s v="CUST-0197"/>
    <s v="PROD-057"/>
    <x v="18"/>
    <n v="2"/>
    <n v="960"/>
    <n v="16.5"/>
    <n v="1603.2"/>
    <s v="Completed"/>
    <s v="Bengaluru"/>
    <n v="0"/>
    <b v="1"/>
    <x v="1"/>
    <s v="Retail"/>
    <n v="55"/>
    <x v="1"/>
    <n v="705"/>
  </r>
  <r>
    <s v="ORD-01789"/>
    <x v="223"/>
    <s v="CUST-0111"/>
    <s v="PROD-032"/>
    <x v="12"/>
    <n v="7"/>
    <n v="370"/>
    <n v="1.4"/>
    <n v="2553.7399999999998"/>
    <s v="Refunded"/>
    <s v="Chennai"/>
    <n v="0"/>
    <b v="1"/>
    <x v="3"/>
    <s v="SMB"/>
    <n v="64"/>
    <x v="3"/>
    <n v="288"/>
  </r>
  <r>
    <s v="ORD-01790"/>
    <x v="275"/>
    <s v="CUST-0198"/>
    <s v="PROD-024"/>
    <x v="10"/>
    <n v="3"/>
    <n v="2270"/>
    <n v="12.6"/>
    <n v="5951.94"/>
    <s v="Completed"/>
    <s v="Chennai"/>
    <n v="0"/>
    <b v="1"/>
    <x v="2"/>
    <s v="Corporate"/>
    <n v="22"/>
    <x v="0"/>
    <n v="1203"/>
  </r>
  <r>
    <s v="ORD-00268"/>
    <x v="114"/>
    <s v="CUST-0049"/>
    <s v="PROD-036"/>
    <x v="2"/>
    <n v="1"/>
    <n v="3250"/>
    <n v="17.8"/>
    <n v="2671.5"/>
    <s v="Completed"/>
    <s v="Mumbai"/>
    <n v="0"/>
    <b v="1"/>
    <x v="3"/>
    <s v="Corporate"/>
    <n v="42"/>
    <x v="1"/>
    <n v="1556"/>
  </r>
  <r>
    <s v="ORD-01792"/>
    <x v="280"/>
    <s v="CUST-0029"/>
    <s v="PROD-016"/>
    <x v="26"/>
    <n v="5"/>
    <n v="620"/>
    <n v="19.399999999999999"/>
    <n v="2498.6"/>
    <s v="Pending"/>
    <s v="Chennai"/>
    <n v="0"/>
    <b v="1"/>
    <x v="0"/>
    <s v="Corporate"/>
    <n v="54"/>
    <x v="3"/>
    <n v="396"/>
  </r>
  <r>
    <s v="ORD-01793"/>
    <x v="77"/>
    <s v="CUST-0018"/>
    <s v="PROD-008"/>
    <x v="1"/>
    <n v="6"/>
    <n v="2660"/>
    <n v="14.9"/>
    <n v="13581.96"/>
    <s v="Completed"/>
    <s v="Pune"/>
    <n v="0"/>
    <b v="0"/>
    <x v="4"/>
    <s v="SMB"/>
    <n v="54"/>
    <x v="0"/>
    <n v="1259"/>
  </r>
  <r>
    <s v="ORD-01794"/>
    <x v="357"/>
    <s v="CUST-0007"/>
    <s v="PROD-014"/>
    <x v="19"/>
    <n v="5"/>
    <n v="3620"/>
    <n v="21"/>
    <n v="14299"/>
    <s v="Cancelled"/>
    <s v="Bengaluru"/>
    <n v="0"/>
    <b v="1"/>
    <x v="0"/>
    <s v="Retail"/>
    <n v="47"/>
    <x v="0"/>
    <n v="2509"/>
  </r>
  <r>
    <s v="ORD-01795"/>
    <x v="228"/>
    <s v="CUST-0014"/>
    <s v="PROD-013"/>
    <x v="13"/>
    <n v="1"/>
    <n v="3640"/>
    <n v="15.8"/>
    <n v="3064.88"/>
    <s v="Completed"/>
    <s v="Bengaluru"/>
    <n v="0"/>
    <b v="1"/>
    <x v="0"/>
    <s v="Retail"/>
    <n v="48"/>
    <x v="3"/>
    <n v="2611"/>
  </r>
  <r>
    <s v="ORD-01796"/>
    <x v="328"/>
    <s v="CUST-0215"/>
    <s v="PROD-009"/>
    <x v="0"/>
    <n v="1"/>
    <n v="1220"/>
    <n v="0.6"/>
    <n v="1212.68"/>
    <s v="Refunded"/>
    <s v="Hyderabad"/>
    <n v="0"/>
    <b v="1"/>
    <x v="4"/>
    <s v="Retail"/>
    <n v="52"/>
    <x v="0"/>
    <n v="517"/>
  </r>
  <r>
    <s v="ORD-01797"/>
    <x v="154"/>
    <s v="CUST-0056"/>
    <s v="PROD-019"/>
    <x v="25"/>
    <n v="10"/>
    <n v="2480"/>
    <n v="0.6"/>
    <n v="24651.200000000001"/>
    <s v="Completed"/>
    <s v="Bengaluru"/>
    <n v="0"/>
    <b v="1"/>
    <x v="0"/>
    <s v="SMB"/>
    <n v="46"/>
    <x v="0"/>
    <n v="1173"/>
  </r>
  <r>
    <s v="ORD-01798"/>
    <x v="287"/>
    <s v="CUST-0231"/>
    <s v="PROD-044"/>
    <x v="28"/>
    <n v="9"/>
    <n v="1650"/>
    <n v="26.8"/>
    <n v="10870.2"/>
    <s v="Completed"/>
    <s v="Chennai"/>
    <n v="0"/>
    <b v="1"/>
    <x v="5"/>
    <s v="Retail"/>
    <n v="61"/>
    <x v="2"/>
    <n v="1222"/>
  </r>
  <r>
    <s v="ORD-01799"/>
    <x v="9"/>
    <s v="CUST-0138"/>
    <s v="PROD-045"/>
    <x v="4"/>
    <n v="10"/>
    <n v="3020"/>
    <n v="2.6"/>
    <n v="29414.799999999999"/>
    <s v="Completed"/>
    <s v="Chennai"/>
    <n v="0"/>
    <b v="1"/>
    <x v="5"/>
    <s v="Retail"/>
    <n v="24"/>
    <x v="0"/>
    <n v="1626"/>
  </r>
  <r>
    <s v="ORD-01800"/>
    <x v="227"/>
    <s v="CUST-0007"/>
    <s v="PROD-011"/>
    <x v="2"/>
    <n v="5"/>
    <n v="3450"/>
    <n v="25.3"/>
    <n v="12885.75"/>
    <s v="Completed"/>
    <s v="Bengaluru"/>
    <n v="0"/>
    <b v="1"/>
    <x v="0"/>
    <s v="Retail"/>
    <n v="47"/>
    <x v="1"/>
    <n v="1748"/>
  </r>
  <r>
    <s v="ORD-01801"/>
    <x v="136"/>
    <s v="CUST-0118"/>
    <s v="PROD-009"/>
    <x v="7"/>
    <n v="7"/>
    <n v="1220"/>
    <n v="13.1"/>
    <n v="7421.26"/>
    <s v="Completed"/>
    <s v="Hyderabad"/>
    <n v="0"/>
    <b v="1"/>
    <x v="4"/>
    <s v="Retail"/>
    <n v="26"/>
    <x v="3"/>
    <n v="517"/>
  </r>
  <r>
    <s v="ORD-01802"/>
    <x v="344"/>
    <s v="CUST-0064"/>
    <s v="PROD-027"/>
    <x v="1"/>
    <n v="10"/>
    <n v="3780"/>
    <n v="23.7"/>
    <n v="28841.4"/>
    <s v="Completed"/>
    <s v="Hyderabad"/>
    <n v="0"/>
    <b v="1"/>
    <x v="2"/>
    <s v="SMB"/>
    <n v="40"/>
    <x v="0"/>
    <n v="2436"/>
  </r>
  <r>
    <s v="ORD-01803"/>
    <x v="171"/>
    <s v="CUST-0298"/>
    <s v="PROD-008"/>
    <x v="25"/>
    <n v="8"/>
    <n v="2660"/>
    <n v="16.100000000000001"/>
    <n v="17853.919999999998"/>
    <s v="Completed"/>
    <s v="Delhi"/>
    <n v="0"/>
    <b v="0"/>
    <x v="4"/>
    <s v="Retail"/>
    <n v="44"/>
    <x v="0"/>
    <n v="1259"/>
  </r>
  <r>
    <s v="ORD-01804"/>
    <x v="200"/>
    <s v="CUST-0020"/>
    <s v="PROD-035"/>
    <x v="4"/>
    <n v="6"/>
    <n v="1090"/>
    <n v="20"/>
    <n v="5232"/>
    <s v="Pending"/>
    <s v="Hyderabad"/>
    <n v="0"/>
    <b v="1"/>
    <x v="3"/>
    <s v="Retail"/>
    <n v="46"/>
    <x v="0"/>
    <n v="464"/>
  </r>
  <r>
    <s v="ORD-01805"/>
    <x v="258"/>
    <s v="CUST-9725"/>
    <s v="PROD-037"/>
    <x v="29"/>
    <n v="2"/>
    <n v="660"/>
    <n v="18.7"/>
    <n v="1073.1600000000001"/>
    <s v="Completed"/>
    <s v="Mumbai"/>
    <n v="0"/>
    <b v="1"/>
    <x v="3"/>
    <e v="#N/A"/>
    <e v="#N/A"/>
    <x v="1"/>
    <n v="329"/>
  </r>
  <r>
    <s v="ORD-01806"/>
    <x v="10"/>
    <s v="CUST-0063"/>
    <s v="PROD-035"/>
    <x v="15"/>
    <n v="7"/>
    <n v="1090"/>
    <n v="19.399999999999999"/>
    <n v="6149.78"/>
    <s v="Pending"/>
    <s v="Mumbai"/>
    <n v="0"/>
    <b v="1"/>
    <x v="3"/>
    <s v="SMB"/>
    <n v="53"/>
    <x v="1"/>
    <n v="464"/>
  </r>
  <r>
    <s v="ORD-01807"/>
    <x v="335"/>
    <s v="CUST-0193"/>
    <s v="PROD-029"/>
    <x v="15"/>
    <n v="3"/>
    <n v="2210"/>
    <n v="11"/>
    <n v="5900.7"/>
    <s v="Completed"/>
    <s v="Bengaluru"/>
    <n v="0"/>
    <b v="1"/>
    <x v="2"/>
    <s v="Retail"/>
    <n v="42"/>
    <x v="1"/>
    <n v="1010"/>
  </r>
  <r>
    <s v="ORD-01808"/>
    <x v="103"/>
    <s v="CUST-0142"/>
    <s v="PROD-006"/>
    <x v="20"/>
    <n v="2"/>
    <n v="3970"/>
    <n v="24.9"/>
    <n v="5962.94"/>
    <s v="Completed"/>
    <s v="Chennai"/>
    <n v="0"/>
    <b v="1"/>
    <x v="4"/>
    <s v="Corporate"/>
    <n v="55"/>
    <x v="2"/>
    <n v="2865"/>
  </r>
  <r>
    <s v="ORD-01809"/>
    <x v="210"/>
    <s v="CUST-0264"/>
    <s v="PROD-039"/>
    <x v="13"/>
    <n v="7"/>
    <n v="4610"/>
    <n v="6.3"/>
    <n v="30236.99"/>
    <s v="Completed"/>
    <s v="Pune"/>
    <n v="0"/>
    <b v="1"/>
    <x v="3"/>
    <s v="Retail"/>
    <n v="59"/>
    <x v="3"/>
    <n v="1850"/>
  </r>
  <r>
    <s v="ORD-01810"/>
    <x v="210"/>
    <s v="CUST-0121"/>
    <s v="PROD-049"/>
    <x v="17"/>
    <n v="10"/>
    <n v="960"/>
    <n v="14.6"/>
    <n v="8198.4"/>
    <s v="Completed"/>
    <s v="Delhi"/>
    <n v="0"/>
    <b v="1"/>
    <x v="5"/>
    <s v="SMB"/>
    <n v="55"/>
    <x v="2"/>
    <n v="675"/>
  </r>
  <r>
    <s v="ORD-01811"/>
    <x v="77"/>
    <s v="CUST-0152"/>
    <s v="PROD-045"/>
    <x v="29"/>
    <n v="8"/>
    <n v="3020"/>
    <n v="14.5"/>
    <n v="20656.8"/>
    <s v="Completed"/>
    <s v="Bengaluru"/>
    <n v="0"/>
    <b v="1"/>
    <x v="5"/>
    <s v="SMB"/>
    <n v="64"/>
    <x v="1"/>
    <n v="1626"/>
  </r>
  <r>
    <s v="ORD-01812"/>
    <x v="98"/>
    <s v="CUST-0008"/>
    <s v="PROD-019"/>
    <x v="17"/>
    <n v="7"/>
    <n v="2480"/>
    <n v="17.3"/>
    <n v="14356.72"/>
    <s v="Completed"/>
    <s v="Pune"/>
    <n v="0"/>
    <b v="1"/>
    <x v="0"/>
    <s v="SMB"/>
    <n v="39"/>
    <x v="2"/>
    <n v="1173"/>
  </r>
  <r>
    <s v="ORD-01813"/>
    <x v="259"/>
    <s v="CUST-0285"/>
    <s v="PROD-004"/>
    <x v="22"/>
    <n v="10"/>
    <n v="3870"/>
    <n v="22.4"/>
    <n v="30031.200000000001"/>
    <s v="Pending"/>
    <s v="Hyderabad"/>
    <n v="0"/>
    <b v="1"/>
    <x v="4"/>
    <s v="Retail"/>
    <n v="22"/>
    <x v="1"/>
    <n v="1559"/>
  </r>
  <r>
    <s v="ORD-01814"/>
    <x v="317"/>
    <s v="CUST-0072"/>
    <s v="PROD-037"/>
    <x v="24"/>
    <n v="6"/>
    <n v="660"/>
    <n v="27.3"/>
    <n v="2878.92"/>
    <s v="Completed"/>
    <s v="Mumbai"/>
    <n v="0"/>
    <b v="1"/>
    <x v="3"/>
    <s v="Corporate"/>
    <n v="62"/>
    <x v="3"/>
    <n v="329"/>
  </r>
  <r>
    <s v="ORD-01815"/>
    <x v="188"/>
    <s v="CUST-9630"/>
    <s v="PROD-004"/>
    <x v="17"/>
    <n v="3"/>
    <n v="3870"/>
    <n v="7.6"/>
    <n v="10727.64"/>
    <s v="Cancelled"/>
    <s v="Chennai"/>
    <n v="0"/>
    <b v="1"/>
    <x v="4"/>
    <e v="#N/A"/>
    <e v="#N/A"/>
    <x v="2"/>
    <n v="1559"/>
  </r>
  <r>
    <s v="ORD-01816"/>
    <x v="176"/>
    <s v="CUST-0243"/>
    <s v="PROD-019"/>
    <x v="3"/>
    <n v="10"/>
    <n v="2480"/>
    <n v="21.5"/>
    <n v="19468"/>
    <s v="Pending"/>
    <s v="Pune"/>
    <n v="0"/>
    <b v="1"/>
    <x v="0"/>
    <s v="SMB"/>
    <n v="44"/>
    <x v="0"/>
    <n v="1173"/>
  </r>
  <r>
    <s v="ORD-01817"/>
    <x v="175"/>
    <s v="CUST-0231"/>
    <s v="PROD-010"/>
    <x v="19"/>
    <n v="8"/>
    <n v="2640"/>
    <n v="22.3"/>
    <n v="16410.240000000002"/>
    <s v="Completed"/>
    <s v="Chennai"/>
    <n v="0"/>
    <b v="1"/>
    <x v="4"/>
    <s v="Retail"/>
    <n v="61"/>
    <x v="0"/>
    <n v="1149"/>
  </r>
  <r>
    <s v="ORD-01818"/>
    <x v="115"/>
    <s v="CUST-0229"/>
    <s v="PROD-030"/>
    <x v="19"/>
    <n v="8"/>
    <n v="970"/>
    <n v="13.1"/>
    <n v="6743.44"/>
    <s v="Completed"/>
    <s v="Hyderabad"/>
    <n v="0"/>
    <b v="1"/>
    <x v="2"/>
    <s v="SMB"/>
    <n v="25"/>
    <x v="0"/>
    <n v="434"/>
  </r>
  <r>
    <s v="ORD-01819"/>
    <x v="104"/>
    <s v="CUST-0218"/>
    <s v="PROD-057"/>
    <x v="19"/>
    <n v="6"/>
    <n v="960"/>
    <n v="3.2"/>
    <n v="5575.68"/>
    <s v="Completed"/>
    <s v="Mumbai"/>
    <n v="0"/>
    <b v="1"/>
    <x v="1"/>
    <s v="Retail"/>
    <n v="39"/>
    <x v="0"/>
    <n v="705"/>
  </r>
  <r>
    <s v="ORD-01820"/>
    <x v="277"/>
    <s v="CUST-0015"/>
    <s v="PROD-033"/>
    <x v="4"/>
    <n v="9"/>
    <n v="2030"/>
    <n v="12.6"/>
    <n v="15967.98"/>
    <s v="Cancelled"/>
    <s v="Chennai"/>
    <n v="0"/>
    <b v="1"/>
    <x v="3"/>
    <s v="Retail"/>
    <n v="31"/>
    <x v="0"/>
    <n v="1143"/>
  </r>
  <r>
    <s v="ORD-01821"/>
    <x v="244"/>
    <s v="CUST-0291"/>
    <s v="PROD-042"/>
    <x v="6"/>
    <n v="10"/>
    <n v="2290"/>
    <n v="22.2"/>
    <n v="17816.2"/>
    <s v="Completed"/>
    <s v="Pune"/>
    <n v="0"/>
    <b v="1"/>
    <x v="5"/>
    <s v="SMB"/>
    <n v="29"/>
    <x v="2"/>
    <n v="1219"/>
  </r>
  <r>
    <s v="ORD-01822"/>
    <x v="41"/>
    <s v="CUST-0276"/>
    <s v="PROD-020"/>
    <x v="28"/>
    <n v="7"/>
    <n v="820"/>
    <n v="6.4"/>
    <n v="5372.64"/>
    <s v="Refunded"/>
    <s v="Chennai"/>
    <n v="0"/>
    <b v="1"/>
    <x v="0"/>
    <s v="Retail"/>
    <n v="26"/>
    <x v="2"/>
    <n v="391"/>
  </r>
  <r>
    <s v="ORD-01823"/>
    <x v="105"/>
    <s v="CUST-0139"/>
    <s v="PROD-040"/>
    <x v="14"/>
    <n v="5"/>
    <n v="1080"/>
    <n v="6"/>
    <n v="5076"/>
    <s v="Completed"/>
    <s v="Hyderabad"/>
    <n v="0"/>
    <b v="1"/>
    <x v="3"/>
    <s v="SMB"/>
    <n v="65"/>
    <x v="2"/>
    <n v="519"/>
  </r>
  <r>
    <s v="ORD-01824"/>
    <x v="202"/>
    <s v="CUST-0087"/>
    <s v="PROD-060"/>
    <x v="8"/>
    <n v="4"/>
    <n v="190"/>
    <n v="6.3"/>
    <n v="712.12"/>
    <s v="Refunded"/>
    <s v="Pune"/>
    <n v="0"/>
    <b v="1"/>
    <x v="1"/>
    <s v="SMB"/>
    <n v="49"/>
    <x v="2"/>
    <n v="147"/>
  </r>
  <r>
    <s v="ORD-01825"/>
    <x v="158"/>
    <s v="CUST-0203"/>
    <s v="PROD-017"/>
    <x v="20"/>
    <n v="6"/>
    <n v="2510"/>
    <n v="11.5"/>
    <n v="13328.1"/>
    <s v="Completed"/>
    <s v="Chennai"/>
    <n v="0"/>
    <b v="0"/>
    <x v="0"/>
    <s v="SMB"/>
    <n v="55"/>
    <x v="2"/>
    <n v="1075"/>
  </r>
  <r>
    <s v="ORD-01826"/>
    <x v="193"/>
    <s v="CUST-0180"/>
    <s v="PROD-018"/>
    <x v="15"/>
    <n v="2"/>
    <n v="3560"/>
    <n v="10.5"/>
    <n v="6372.4"/>
    <s v="Completed"/>
    <s v="Chennai"/>
    <n v="0"/>
    <b v="1"/>
    <x v="0"/>
    <s v="Retail"/>
    <n v="36"/>
    <x v="1"/>
    <n v="2629"/>
  </r>
  <r>
    <s v="ORD-01827"/>
    <x v="361"/>
    <s v="CUST-0130"/>
    <s v="PROD-020"/>
    <x v="22"/>
    <n v="3"/>
    <n v="820"/>
    <n v="13"/>
    <n v="2140.1999999999998"/>
    <s v="Cancelled"/>
    <s v="Bengaluru"/>
    <n v="0"/>
    <b v="1"/>
    <x v="0"/>
    <s v="Corporate"/>
    <n v="41"/>
    <x v="1"/>
    <n v="391"/>
  </r>
  <r>
    <s v="ORD-01828"/>
    <x v="66"/>
    <s v="CUST-0049"/>
    <s v="PROD-013"/>
    <x v="11"/>
    <n v="6"/>
    <n v="3640"/>
    <n v="14"/>
    <n v="18782.400000000001"/>
    <s v="Completed"/>
    <s v="Mumbai"/>
    <n v="0"/>
    <b v="1"/>
    <x v="0"/>
    <s v="Corporate"/>
    <n v="42"/>
    <x v="0"/>
    <n v="2611"/>
  </r>
  <r>
    <s v="ORD-01829"/>
    <x v="43"/>
    <s v="CUST-0182"/>
    <s v="PROD-028"/>
    <x v="7"/>
    <n v="5"/>
    <n v="3660"/>
    <n v="28.7"/>
    <n v="13047.9"/>
    <s v="Completed"/>
    <s v="Mumbai"/>
    <n v="0"/>
    <b v="0"/>
    <x v="2"/>
    <s v="Retail"/>
    <n v="54"/>
    <x v="3"/>
    <n v="2214"/>
  </r>
  <r>
    <s v="ORD-01830"/>
    <x v="126"/>
    <s v="CUST-0291"/>
    <s v="PROD-055"/>
    <x v="14"/>
    <n v="2"/>
    <n v="2860"/>
    <n v="21.1"/>
    <n v="4513.08"/>
    <s v="Completed"/>
    <s v="Pune"/>
    <n v="0"/>
    <b v="1"/>
    <x v="1"/>
    <s v="SMB"/>
    <n v="29"/>
    <x v="2"/>
    <n v="2028"/>
  </r>
  <r>
    <s v="ORD-01831"/>
    <x v="214"/>
    <s v="CUST-0167"/>
    <s v="PROD-015"/>
    <x v="7"/>
    <n v="1"/>
    <n v="2720"/>
    <n v="22.1"/>
    <n v="2118.88"/>
    <s v="Completed"/>
    <s v="Delhi"/>
    <n v="0"/>
    <b v="1"/>
    <x v="0"/>
    <s v="Retail"/>
    <n v="43"/>
    <x v="3"/>
    <n v="1962"/>
  </r>
  <r>
    <s v="ORD-01832"/>
    <x v="142"/>
    <s v="CUST-0223"/>
    <s v="PROD-055"/>
    <x v="10"/>
    <n v="6"/>
    <n v="2860"/>
    <n v="10.5"/>
    <n v="15358.2"/>
    <s v="Cancelled"/>
    <s v="Bengaluru"/>
    <n v="0"/>
    <b v="1"/>
    <x v="1"/>
    <s v="Retail"/>
    <n v="46"/>
    <x v="0"/>
    <n v="2028"/>
  </r>
  <r>
    <s v="ORD-01833"/>
    <x v="359"/>
    <s v="CUST-0050"/>
    <s v="PROD-017"/>
    <x v="16"/>
    <n v="1"/>
    <n v="2510"/>
    <n v="12"/>
    <n v="2208.8000000000002"/>
    <s v="Completed"/>
    <s v="Mumbai"/>
    <n v="0"/>
    <b v="0"/>
    <x v="0"/>
    <s v="Retail"/>
    <n v="37"/>
    <x v="3"/>
    <n v="1075"/>
  </r>
  <r>
    <s v="ORD-01834"/>
    <x v="106"/>
    <s v="CUST-0242"/>
    <s v="PROD-017"/>
    <x v="16"/>
    <n v="4"/>
    <n v="2510"/>
    <n v="23.2"/>
    <n v="7710.72"/>
    <s v="Completed"/>
    <s v="Chennai"/>
    <n v="0"/>
    <b v="0"/>
    <x v="0"/>
    <s v="SMB"/>
    <n v="59"/>
    <x v="3"/>
    <n v="1075"/>
  </r>
  <r>
    <s v="ORD-01835"/>
    <x v="122"/>
    <s v="CUST-0144"/>
    <s v="PROD-049"/>
    <x v="1"/>
    <n v="8"/>
    <n v="960"/>
    <n v="20.3"/>
    <n v="6120.96"/>
    <s v="Pending"/>
    <s v="Chennai"/>
    <n v="0"/>
    <b v="1"/>
    <x v="5"/>
    <s v="Retail"/>
    <n v="49"/>
    <x v="0"/>
    <n v="675"/>
  </r>
  <r>
    <s v="ORD-01836"/>
    <x v="5"/>
    <s v="CUST-0140"/>
    <s v="PROD-038"/>
    <x v="9"/>
    <n v="3"/>
    <n v="5490"/>
    <n v="25.2"/>
    <n v="12319.56"/>
    <s v="Completed"/>
    <s v="Hyderabad"/>
    <n v="0"/>
    <b v="1"/>
    <x v="3"/>
    <s v="SMB"/>
    <n v="39"/>
    <x v="1"/>
    <n v="2549"/>
  </r>
  <r>
    <s v="ORD-01837"/>
    <x v="262"/>
    <s v="CUST-0174"/>
    <s v="PROD-017"/>
    <x v="3"/>
    <n v="2"/>
    <n v="2510"/>
    <n v="28.2"/>
    <n v="3604.36"/>
    <s v="Completed"/>
    <s v="Pune"/>
    <n v="0"/>
    <b v="0"/>
    <x v="0"/>
    <s v="Retail"/>
    <n v="54"/>
    <x v="0"/>
    <n v="1075"/>
  </r>
  <r>
    <s v="ORD-01838"/>
    <x v="194"/>
    <s v="CUST-0290"/>
    <s v="PROD-020"/>
    <x v="23"/>
    <n v="1"/>
    <n v="820"/>
    <n v="4.7"/>
    <n v="781.46"/>
    <s v="Completed"/>
    <s v="Delhi"/>
    <n v="0"/>
    <b v="1"/>
    <x v="0"/>
    <s v="Retail"/>
    <n v="63"/>
    <x v="1"/>
    <n v="391"/>
  </r>
  <r>
    <s v="ORD-01839"/>
    <x v="99"/>
    <s v="CUST-0170"/>
    <s v="PROD-005"/>
    <x v="26"/>
    <n v="6"/>
    <n v="300"/>
    <n v="13.3"/>
    <n v="1560.6"/>
    <s v="Completed"/>
    <s v="Mumbai"/>
    <n v="0"/>
    <b v="1"/>
    <x v="4"/>
    <s v="SMB"/>
    <n v="22"/>
    <x v="3"/>
    <n v="128"/>
  </r>
  <r>
    <s v="ORD-01840"/>
    <x v="155"/>
    <s v="CUST-0180"/>
    <s v="PROD-043"/>
    <x v="29"/>
    <n v="4"/>
    <n v="3350"/>
    <n v="5.8"/>
    <n v="12622.8"/>
    <s v="Pending"/>
    <s v="Chennai"/>
    <n v="0"/>
    <b v="1"/>
    <x v="5"/>
    <s v="Retail"/>
    <n v="36"/>
    <x v="1"/>
    <n v="1728"/>
  </r>
  <r>
    <s v="ORD-01841"/>
    <x v="150"/>
    <s v="CUST-0286"/>
    <s v="PROD-036"/>
    <x v="5"/>
    <n v="3"/>
    <n v="3250"/>
    <n v="19.600000000000001"/>
    <n v="7839"/>
    <s v="Pending"/>
    <s v="Delhi"/>
    <n v="0"/>
    <b v="1"/>
    <x v="3"/>
    <s v="Retail"/>
    <n v="62"/>
    <x v="2"/>
    <n v="1556"/>
  </r>
  <r>
    <s v="ORD-01842"/>
    <x v="112"/>
    <s v="CUST-0056"/>
    <s v="PROD-044"/>
    <x v="28"/>
    <n v="10"/>
    <n v="1650"/>
    <n v="22.5"/>
    <n v="12787.5"/>
    <s v="Cancelled"/>
    <s v="Bengaluru"/>
    <n v="0"/>
    <b v="1"/>
    <x v="5"/>
    <s v="SMB"/>
    <n v="46"/>
    <x v="2"/>
    <n v="1222"/>
  </r>
  <r>
    <s v="ORD-01843"/>
    <x v="47"/>
    <s v="CUST-0292"/>
    <s v="PROD-009"/>
    <x v="17"/>
    <n v="2"/>
    <n v="1220"/>
    <n v="10.5"/>
    <n v="2183.8000000000002"/>
    <s v="Completed"/>
    <s v="Bengaluru"/>
    <n v="0"/>
    <b v="1"/>
    <x v="4"/>
    <s v="Retail"/>
    <n v="32"/>
    <x v="2"/>
    <n v="517"/>
  </r>
  <r>
    <s v="ORD-01844"/>
    <x v="126"/>
    <s v="CUST-0020"/>
    <s v="PROD-049"/>
    <x v="17"/>
    <n v="7"/>
    <n v="960"/>
    <n v="5.4"/>
    <n v="6357.12"/>
    <s v="Refunded"/>
    <s v="Hyderabad"/>
    <n v="0"/>
    <b v="1"/>
    <x v="5"/>
    <s v="Retail"/>
    <n v="46"/>
    <x v="2"/>
    <n v="675"/>
  </r>
  <r>
    <s v="ORD-01845"/>
    <x v="44"/>
    <s v="CUST-0089"/>
    <s v="PROD-046"/>
    <x v="2"/>
    <n v="3"/>
    <n v="4880"/>
    <n v="17.100000000000001"/>
    <n v="12136.56"/>
    <s v="Completed"/>
    <s v="Mumbai"/>
    <n v="0"/>
    <b v="1"/>
    <x v="5"/>
    <s v="SMB"/>
    <n v="43"/>
    <x v="1"/>
    <n v="2768"/>
  </r>
  <r>
    <s v="ORD-01846"/>
    <x v="69"/>
    <s v="CUST-0242"/>
    <s v="PROD-024"/>
    <x v="8"/>
    <n v="5"/>
    <n v="2270"/>
    <n v="12.4"/>
    <n v="9942.6"/>
    <s v="Completed"/>
    <s v="Chennai"/>
    <n v="0"/>
    <b v="1"/>
    <x v="2"/>
    <s v="SMB"/>
    <n v="59"/>
    <x v="2"/>
    <n v="1203"/>
  </r>
  <r>
    <s v="ORD-01847"/>
    <x v="3"/>
    <s v="CUST-0249"/>
    <s v="PROD-035"/>
    <x v="8"/>
    <n v="1"/>
    <n v="1090"/>
    <n v="17.3"/>
    <n v="901.43"/>
    <s v="Completed"/>
    <s v="Mumbai"/>
    <n v="0"/>
    <b v="1"/>
    <x v="3"/>
    <s v="Retail"/>
    <n v="44"/>
    <x v="2"/>
    <n v="464"/>
  </r>
  <r>
    <s v="ORD-01848"/>
    <x v="275"/>
    <s v="CUST-0032"/>
    <s v="PROD-034"/>
    <x v="20"/>
    <n v="8"/>
    <n v="5080"/>
    <n v="0.9"/>
    <n v="40274.239999999998"/>
    <s v="Completed"/>
    <s v="Hyderabad"/>
    <n v="0"/>
    <b v="1"/>
    <x v="3"/>
    <s v="Retail"/>
    <n v="28"/>
    <x v="2"/>
    <n v="2459"/>
  </r>
  <r>
    <s v="ORD-01849"/>
    <x v="28"/>
    <s v="CUST-0217"/>
    <s v="PROD-039"/>
    <x v="21"/>
    <n v="7"/>
    <n v="4610"/>
    <n v="0.9"/>
    <n v="31979.57"/>
    <s v="Completed"/>
    <s v="Pune"/>
    <n v="0"/>
    <b v="1"/>
    <x v="3"/>
    <s v="SMB"/>
    <n v="59"/>
    <x v="3"/>
    <n v="1850"/>
  </r>
  <r>
    <s v="ORD-01850"/>
    <x v="159"/>
    <s v="CUST-0284"/>
    <s v="PROD-045"/>
    <x v="8"/>
    <n v="1"/>
    <n v="3020"/>
    <n v="10.3"/>
    <n v="2708.94"/>
    <s v="Completed"/>
    <s v="Hyderabad"/>
    <n v="0"/>
    <b v="1"/>
    <x v="5"/>
    <s v="SMB"/>
    <n v="65"/>
    <x v="2"/>
    <n v="1626"/>
  </r>
  <r>
    <s v="ORD-01851"/>
    <x v="99"/>
    <s v="CUST-0167"/>
    <s v="PROD-022"/>
    <x v="8"/>
    <n v="6"/>
    <n v="2270"/>
    <n v="23.1"/>
    <n v="10473.780000000001"/>
    <s v="Completed"/>
    <s v="Delhi"/>
    <n v="0"/>
    <b v="1"/>
    <x v="2"/>
    <s v="Retail"/>
    <n v="43"/>
    <x v="2"/>
    <n v="1412"/>
  </r>
  <r>
    <s v="ORD-01852"/>
    <x v="150"/>
    <s v="CUST-0008"/>
    <s v="PROD-026"/>
    <x v="9"/>
    <n v="6"/>
    <n v="4070"/>
    <n v="28.9"/>
    <n v="17362.62"/>
    <s v="Completed"/>
    <s v="Pune"/>
    <n v="0"/>
    <b v="1"/>
    <x v="2"/>
    <s v="SMB"/>
    <n v="39"/>
    <x v="1"/>
    <n v="2027"/>
  </r>
  <r>
    <s v="ORD-01853"/>
    <x v="181"/>
    <s v="CUST-0277"/>
    <s v="PROD-009"/>
    <x v="21"/>
    <n v="5"/>
    <n v="1220"/>
    <n v="18.7"/>
    <n v="4959.3"/>
    <s v="Completed"/>
    <s v="Chennai"/>
    <n v="0"/>
    <b v="1"/>
    <x v="4"/>
    <s v="Corporate"/>
    <n v="34"/>
    <x v="3"/>
    <n v="517"/>
  </r>
  <r>
    <s v="ORD-01854"/>
    <x v="249"/>
    <s v="CUST-0025"/>
    <s v="PROD-019"/>
    <x v="6"/>
    <n v="8"/>
    <n v="2480"/>
    <n v="3.2"/>
    <n v="19205.12"/>
    <s v="Cancelled"/>
    <s v="Bengaluru"/>
    <n v="0"/>
    <b v="1"/>
    <x v="0"/>
    <s v="Retail"/>
    <n v="23"/>
    <x v="2"/>
    <n v="1173"/>
  </r>
  <r>
    <s v="ORD-01855"/>
    <x v="211"/>
    <s v="CUST-0228"/>
    <s v="PROD-055"/>
    <x v="0"/>
    <n v="7"/>
    <n v="2860"/>
    <n v="8.4"/>
    <n v="18338.32"/>
    <s v="Completed"/>
    <s v="Pune"/>
    <n v="0"/>
    <b v="1"/>
    <x v="1"/>
    <s v="Corporate"/>
    <n v="37"/>
    <x v="0"/>
    <n v="2028"/>
  </r>
  <r>
    <s v="ORD-01856"/>
    <x v="13"/>
    <s v="CUST-0078"/>
    <s v="PROD-027"/>
    <x v="6"/>
    <n v="1"/>
    <n v="3780"/>
    <n v="16.3"/>
    <n v="3163.86"/>
    <s v="Cancelled"/>
    <s v="Delhi"/>
    <n v="0"/>
    <b v="1"/>
    <x v="2"/>
    <s v="Retail"/>
    <n v="31"/>
    <x v="2"/>
    <n v="2436"/>
  </r>
  <r>
    <s v="ORD-01857"/>
    <x v="172"/>
    <s v="CUST-0205"/>
    <s v="PROD-055"/>
    <x v="5"/>
    <n v="6"/>
    <n v="2860"/>
    <n v="10.7"/>
    <n v="15323.88"/>
    <s v="Completed"/>
    <s v="Pune"/>
    <n v="0"/>
    <b v="1"/>
    <x v="1"/>
    <s v="Corporate"/>
    <n v="29"/>
    <x v="2"/>
    <n v="2028"/>
  </r>
  <r>
    <s v="ORD-01858"/>
    <x v="325"/>
    <s v="CUST-0044"/>
    <s v="PROD-058"/>
    <x v="28"/>
    <n v="3"/>
    <n v="2400"/>
    <n v="20.7"/>
    <n v="5709.6"/>
    <s v="Completed"/>
    <s v="Hyderabad"/>
    <n v="0"/>
    <b v="1"/>
    <x v="1"/>
    <s v="SMB"/>
    <n v="29"/>
    <x v="2"/>
    <n v="974"/>
  </r>
  <r>
    <s v="ORD-01859"/>
    <x v="259"/>
    <s v="CUST-0188"/>
    <s v="PROD-023"/>
    <x v="5"/>
    <n v="8"/>
    <n v="2380"/>
    <n v="22.3"/>
    <n v="14794.08"/>
    <s v="Refunded"/>
    <s v="Bengaluru"/>
    <n v="0"/>
    <b v="1"/>
    <x v="2"/>
    <s v="Retail"/>
    <n v="54"/>
    <x v="2"/>
    <n v="1182"/>
  </r>
  <r>
    <s v="ORD-01860"/>
    <x v="80"/>
    <s v="CUST-0165"/>
    <s v="PROD-048"/>
    <x v="3"/>
    <n v="7"/>
    <n v="5100"/>
    <n v="22.9"/>
    <n v="27524.7"/>
    <s v="Cancelled"/>
    <s v="Pune"/>
    <n v="0"/>
    <b v="1"/>
    <x v="5"/>
    <s v="Retail"/>
    <n v="29"/>
    <x v="0"/>
    <n v="2237"/>
  </r>
  <r>
    <s v="ORD-01861"/>
    <x v="113"/>
    <s v="CUST-0059"/>
    <s v="PROD-005"/>
    <x v="15"/>
    <n v="7"/>
    <n v="300"/>
    <n v="15.3"/>
    <n v="1778.7"/>
    <s v="Completed"/>
    <s v="Pune"/>
    <n v="0"/>
    <b v="1"/>
    <x v="4"/>
    <s v="Corporate"/>
    <n v="29"/>
    <x v="1"/>
    <n v="128"/>
  </r>
  <r>
    <s v="ORD-01862"/>
    <x v="49"/>
    <s v="CUST-0280"/>
    <s v="PROD-051"/>
    <x v="9"/>
    <n v="5"/>
    <n v="3450"/>
    <n v="16.8"/>
    <n v="14352"/>
    <s v="Completed"/>
    <s v="Delhi"/>
    <n v="0"/>
    <b v="1"/>
    <x v="1"/>
    <s v="SMB"/>
    <n v="27"/>
    <x v="1"/>
    <n v="2467"/>
  </r>
  <r>
    <s v="ORD-01863"/>
    <x v="287"/>
    <s v="CUST-0153"/>
    <s v="PROD-055"/>
    <x v="2"/>
    <n v="4"/>
    <n v="2860"/>
    <n v="14.3"/>
    <n v="9804.08"/>
    <s v="Completed"/>
    <s v="Mumbai"/>
    <n v="0"/>
    <b v="1"/>
    <x v="1"/>
    <s v="Retail"/>
    <n v="35"/>
    <x v="1"/>
    <n v="2028"/>
  </r>
  <r>
    <s v="ORD-01864"/>
    <x v="180"/>
    <s v="CUST-0251"/>
    <s v="PROD-015"/>
    <x v="19"/>
    <n v="6"/>
    <n v="2720"/>
    <n v="25.1"/>
    <n v="12223.68"/>
    <s v="Cancelled"/>
    <s v="Mumbai"/>
    <n v="0"/>
    <b v="1"/>
    <x v="0"/>
    <s v="Retail"/>
    <n v="44"/>
    <x v="0"/>
    <n v="1962"/>
  </r>
  <r>
    <s v="ORD-01865"/>
    <x v="335"/>
    <s v="CUST-0255"/>
    <s v="PROD-031"/>
    <x v="8"/>
    <n v="3"/>
    <n v="3730"/>
    <n v="24.8"/>
    <n v="8414.8799999999992"/>
    <s v="Completed"/>
    <s v="Chennai"/>
    <n v="0"/>
    <b v="1"/>
    <x v="3"/>
    <s v="Corporate"/>
    <n v="51"/>
    <x v="2"/>
    <n v="2135"/>
  </r>
  <r>
    <s v="ORD-01866"/>
    <x v="83"/>
    <s v="CUST-0076"/>
    <s v="PROD-025"/>
    <x v="25"/>
    <n v="2"/>
    <n v="4060"/>
    <n v="11.3"/>
    <n v="7202.44"/>
    <s v="Completed"/>
    <s v="Mumbai"/>
    <n v="0"/>
    <b v="1"/>
    <x v="2"/>
    <s v="Retail"/>
    <n v="38"/>
    <x v="0"/>
    <n v="2911"/>
  </r>
  <r>
    <s v="ORD-01867"/>
    <x v="146"/>
    <s v="CUST-0195"/>
    <s v="PROD-042"/>
    <x v="26"/>
    <n v="6"/>
    <n v="2290"/>
    <n v="26.8"/>
    <n v="10057.68"/>
    <s v="Refunded"/>
    <s v="Bengaluru"/>
    <n v="0"/>
    <b v="1"/>
    <x v="5"/>
    <s v="Retail"/>
    <n v="28"/>
    <x v="3"/>
    <n v="1219"/>
  </r>
  <r>
    <s v="ORD-01868"/>
    <x v="196"/>
    <s v="CUST-0164"/>
    <s v="PROD-056"/>
    <x v="22"/>
    <n v="1"/>
    <n v="6940"/>
    <n v="15.7"/>
    <n v="5850.42"/>
    <s v="Completed"/>
    <s v="Chennai"/>
    <n v="0"/>
    <b v="1"/>
    <x v="1"/>
    <s v="Retail"/>
    <n v="60"/>
    <x v="1"/>
    <n v="2827"/>
  </r>
  <r>
    <s v="ORD-01869"/>
    <x v="235"/>
    <s v="CUST-0239"/>
    <s v="PROD-031"/>
    <x v="18"/>
    <n v="3"/>
    <n v="3730"/>
    <n v="18.100000000000001"/>
    <n v="9164.61"/>
    <s v="Completed"/>
    <s v="Mumbai"/>
    <n v="0"/>
    <b v="1"/>
    <x v="3"/>
    <s v="Retail"/>
    <n v="61"/>
    <x v="1"/>
    <n v="2135"/>
  </r>
  <r>
    <s v="ORD-01870"/>
    <x v="72"/>
    <s v="CUST-0133"/>
    <s v="PROD-031"/>
    <x v="25"/>
    <n v="8"/>
    <n v="3730"/>
    <n v="12.5"/>
    <n v="26110"/>
    <s v="Completed"/>
    <s v="Chennai"/>
    <n v="0"/>
    <b v="1"/>
    <x v="3"/>
    <s v="Retail"/>
    <n v="26"/>
    <x v="0"/>
    <n v="2135"/>
  </r>
  <r>
    <s v="ORD-01871"/>
    <x v="128"/>
    <s v="CUST-0286"/>
    <s v="PROD-023"/>
    <x v="15"/>
    <n v="9"/>
    <n v="2380"/>
    <n v="8.1"/>
    <n v="19684.98"/>
    <s v="Cancelled"/>
    <s v="Delhi"/>
    <n v="0"/>
    <b v="1"/>
    <x v="2"/>
    <s v="Retail"/>
    <n v="62"/>
    <x v="1"/>
    <n v="1182"/>
  </r>
  <r>
    <s v="ORD-01872"/>
    <x v="206"/>
    <s v="CUST-0122"/>
    <s v="PROD-040"/>
    <x v="25"/>
    <n v="6"/>
    <n v="1080"/>
    <n v="8.8000000000000007"/>
    <n v="5909.76"/>
    <s v="Completed"/>
    <s v="Mumbai"/>
    <n v="0"/>
    <b v="1"/>
    <x v="3"/>
    <s v="Retail"/>
    <n v="44"/>
    <x v="0"/>
    <n v="519"/>
  </r>
  <r>
    <s v="ORD-01712"/>
    <x v="24"/>
    <s v="CUST-0285"/>
    <s v="PROD-053"/>
    <x v="22"/>
    <n v="5"/>
    <n v="470"/>
    <n v="1.3"/>
    <n v="2319.4499999999998"/>
    <s v="Completed"/>
    <s v="Hyderabad"/>
    <n v="0"/>
    <b v="0"/>
    <x v="1"/>
    <s v="Retail"/>
    <n v="22"/>
    <x v="1"/>
    <n v="302"/>
  </r>
  <r>
    <s v="ORD-01874"/>
    <x v="340"/>
    <s v="CUST-0174"/>
    <s v="PROD-032"/>
    <x v="17"/>
    <n v="4"/>
    <n v="370"/>
    <n v="13.1"/>
    <n v="1286.1199999999999"/>
    <s v="Completed"/>
    <s v="Pune"/>
    <n v="0"/>
    <b v="1"/>
    <x v="3"/>
    <s v="Retail"/>
    <n v="54"/>
    <x v="2"/>
    <n v="288"/>
  </r>
  <r>
    <s v="ORD-01875"/>
    <x v="25"/>
    <s v="CUST-0115"/>
    <s v="PROD-012"/>
    <x v="0"/>
    <n v="7"/>
    <n v="3160"/>
    <n v="12.3"/>
    <n v="19399.240000000002"/>
    <s v="Completed"/>
    <s v="Mumbai"/>
    <n v="0"/>
    <b v="1"/>
    <x v="0"/>
    <s v="SMB"/>
    <n v="65"/>
    <x v="0"/>
    <n v="1886"/>
  </r>
  <r>
    <s v="ORD-01876"/>
    <x v="218"/>
    <s v="CUST-0028"/>
    <s v="PROD-018"/>
    <x v="6"/>
    <n v="5"/>
    <n v="3560"/>
    <n v="24"/>
    <n v="13528"/>
    <s v="Completed"/>
    <s v="Bengaluru"/>
    <n v="0"/>
    <b v="1"/>
    <x v="0"/>
    <s v="Retail"/>
    <n v="59"/>
    <x v="2"/>
    <n v="2629"/>
  </r>
  <r>
    <s v="ORD-01877"/>
    <x v="53"/>
    <s v="CUST-0111"/>
    <s v="PROD-033"/>
    <x v="13"/>
    <n v="6"/>
    <n v="2030"/>
    <n v="20.5"/>
    <n v="9683.1"/>
    <s v="Completed"/>
    <s v="Chennai"/>
    <n v="0"/>
    <b v="1"/>
    <x v="3"/>
    <s v="SMB"/>
    <n v="64"/>
    <x v="3"/>
    <n v="1143"/>
  </r>
  <r>
    <s v="ORD-01878"/>
    <x v="116"/>
    <s v="CUST-0240"/>
    <s v="PROD-010"/>
    <x v="26"/>
    <n v="5"/>
    <n v="2640"/>
    <n v="21.3"/>
    <n v="10388.4"/>
    <s v="Pending"/>
    <s v="Chennai"/>
    <n v="0"/>
    <b v="1"/>
    <x v="4"/>
    <s v="Corporate"/>
    <n v="35"/>
    <x v="3"/>
    <n v="1149"/>
  </r>
  <r>
    <s v="ORD-01879"/>
    <x v="98"/>
    <s v="CUST-0222"/>
    <s v="PROD-022"/>
    <x v="25"/>
    <n v="4"/>
    <n v="2270"/>
    <n v="15.8"/>
    <n v="7645.36"/>
    <s v="Completed"/>
    <s v="Chennai"/>
    <n v="0"/>
    <b v="1"/>
    <x v="2"/>
    <s v="Retail"/>
    <n v="37"/>
    <x v="0"/>
    <n v="1412"/>
  </r>
  <r>
    <s v="ORD-01880"/>
    <x v="276"/>
    <s v="CUST-0251"/>
    <s v="PROD-032"/>
    <x v="25"/>
    <n v="1"/>
    <n v="370"/>
    <n v="27"/>
    <n v="270.10000000000002"/>
    <s v="Pending"/>
    <s v="Mumbai"/>
    <n v="0"/>
    <b v="1"/>
    <x v="3"/>
    <s v="Retail"/>
    <n v="44"/>
    <x v="0"/>
    <n v="288"/>
  </r>
  <r>
    <s v="ORD-01881"/>
    <x v="250"/>
    <s v="CUST-0203"/>
    <s v="PROD-048"/>
    <x v="21"/>
    <n v="9"/>
    <n v="5100"/>
    <n v="2.4"/>
    <n v="44798.400000000001"/>
    <s v="Completed"/>
    <s v="Chennai"/>
    <n v="0"/>
    <b v="1"/>
    <x v="5"/>
    <s v="SMB"/>
    <n v="55"/>
    <x v="3"/>
    <n v="2237"/>
  </r>
  <r>
    <s v="ORD-01882"/>
    <x v="94"/>
    <s v="CUST-0285"/>
    <s v="PROD-032"/>
    <x v="12"/>
    <n v="6"/>
    <n v="370"/>
    <n v="18.7"/>
    <n v="1804.86"/>
    <s v="Cancelled"/>
    <s v="Hyderabad"/>
    <n v="0"/>
    <b v="1"/>
    <x v="3"/>
    <s v="Retail"/>
    <n v="22"/>
    <x v="3"/>
    <n v="288"/>
  </r>
  <r>
    <s v="ORD-01883"/>
    <x v="57"/>
    <s v="CUST-0135"/>
    <s v="PROD-030"/>
    <x v="10"/>
    <n v="6"/>
    <n v="970"/>
    <n v="21.6"/>
    <n v="4562.88"/>
    <s v="Completed"/>
    <s v="Pune"/>
    <n v="0"/>
    <b v="1"/>
    <x v="2"/>
    <s v="SMB"/>
    <n v="24"/>
    <x v="0"/>
    <n v="434"/>
  </r>
  <r>
    <s v="ORD-01884"/>
    <x v="81"/>
    <s v="CUST-9967"/>
    <s v="PROD-029"/>
    <x v="20"/>
    <n v="3"/>
    <n v="2210"/>
    <n v="8.5"/>
    <n v="6066.45"/>
    <s v="Completed"/>
    <s v="Delhi"/>
    <n v="0"/>
    <b v="1"/>
    <x v="2"/>
    <e v="#N/A"/>
    <e v="#N/A"/>
    <x v="2"/>
    <n v="1010"/>
  </r>
  <r>
    <s v="ORD-01885"/>
    <x v="136"/>
    <s v="CUST-0096"/>
    <s v="PROD-044"/>
    <x v="25"/>
    <n v="1"/>
    <n v="1650"/>
    <n v="19.7"/>
    <n v="1324.95"/>
    <s v="Completed"/>
    <s v="Delhi"/>
    <n v="0"/>
    <b v="1"/>
    <x v="5"/>
    <s v="Corporate"/>
    <n v="27"/>
    <x v="0"/>
    <n v="1222"/>
  </r>
  <r>
    <s v="ORD-01886"/>
    <x v="178"/>
    <s v="CUST-0266"/>
    <s v="PROD-056"/>
    <x v="11"/>
    <n v="5"/>
    <n v="6940"/>
    <n v="7.7"/>
    <n v="32028.1"/>
    <s v="Completed"/>
    <s v="Pune"/>
    <n v="0"/>
    <b v="1"/>
    <x v="1"/>
    <s v="Retail"/>
    <n v="65"/>
    <x v="0"/>
    <n v="2827"/>
  </r>
  <r>
    <s v="ORD-01887"/>
    <x v="40"/>
    <s v="CUST-0059"/>
    <s v="PROD-029"/>
    <x v="24"/>
    <n v="2"/>
    <n v="2210"/>
    <n v="5.6"/>
    <n v="4172.4799999999996"/>
    <s v="Cancelled"/>
    <s v="Pune"/>
    <n v="0"/>
    <b v="1"/>
    <x v="2"/>
    <s v="Corporate"/>
    <n v="29"/>
    <x v="3"/>
    <n v="1010"/>
  </r>
  <r>
    <s v="ORD-01888"/>
    <x v="82"/>
    <s v="CUST-0094"/>
    <s v="PROD-002"/>
    <x v="2"/>
    <n v="9"/>
    <n v="2600"/>
    <n v="3.1"/>
    <n v="22674.6"/>
    <s v="Completed"/>
    <s v="Pune"/>
    <n v="0"/>
    <b v="1"/>
    <x v="4"/>
    <s v="SMB"/>
    <n v="60"/>
    <x v="1"/>
    <n v="1052"/>
  </r>
  <r>
    <s v="ORD-01889"/>
    <x v="315"/>
    <s v="CUST-0254"/>
    <s v="PROD-059"/>
    <x v="11"/>
    <n v="7"/>
    <n v="3780"/>
    <n v="13.3"/>
    <n v="22940.82"/>
    <s v="Completed"/>
    <s v="Bengaluru"/>
    <n v="0"/>
    <b v="1"/>
    <x v="1"/>
    <s v="Retail"/>
    <n v="35"/>
    <x v="0"/>
    <n v="1860"/>
  </r>
  <r>
    <s v="ORD-01890"/>
    <x v="356"/>
    <s v="CUST-0022"/>
    <s v="PROD-058"/>
    <x v="22"/>
    <n v="4"/>
    <n v="2400"/>
    <n v="16.600000000000001"/>
    <n v="8006.4"/>
    <s v="Pending"/>
    <s v="Bengaluru"/>
    <n v="0"/>
    <b v="1"/>
    <x v="1"/>
    <s v="Corporate"/>
    <n v="55"/>
    <x v="1"/>
    <n v="974"/>
  </r>
  <r>
    <s v="ORD-01891"/>
    <x v="348"/>
    <s v="CUST-0168"/>
    <s v="PROD-005"/>
    <x v="1"/>
    <n v="10"/>
    <n v="300"/>
    <n v="23.9"/>
    <n v="2283"/>
    <s v="Completed"/>
    <s v="Pune"/>
    <n v="0"/>
    <b v="1"/>
    <x v="4"/>
    <s v="Retail"/>
    <n v="25"/>
    <x v="0"/>
    <n v="128"/>
  </r>
  <r>
    <s v="ORD-01892"/>
    <x v="93"/>
    <s v="CUST-0175"/>
    <s v="PROD-028"/>
    <x v="9"/>
    <n v="1"/>
    <n v="3660"/>
    <n v="1.5"/>
    <n v="3605.1"/>
    <s v="Pending"/>
    <s v="Delhi"/>
    <n v="0"/>
    <b v="0"/>
    <x v="2"/>
    <s v="Corporate"/>
    <n v="55"/>
    <x v="1"/>
    <n v="2214"/>
  </r>
  <r>
    <s v="ORD-01893"/>
    <x v="166"/>
    <s v="CUST-0193"/>
    <s v="PROD-051"/>
    <x v="23"/>
    <n v="9"/>
    <n v="3450"/>
    <n v="21.8"/>
    <n v="24281.1"/>
    <s v="Completed"/>
    <s v="Bengaluru"/>
    <n v="0"/>
    <b v="1"/>
    <x v="1"/>
    <s v="Retail"/>
    <n v="42"/>
    <x v="1"/>
    <n v="2467"/>
  </r>
  <r>
    <s v="ORD-01894"/>
    <x v="306"/>
    <s v="CUST-0284"/>
    <s v="PROD-011"/>
    <x v="0"/>
    <n v="10"/>
    <n v="3450"/>
    <n v="15.7"/>
    <n v="29083.5"/>
    <s v="Cancelled"/>
    <s v="Hyderabad"/>
    <n v="0"/>
    <b v="1"/>
    <x v="0"/>
    <s v="SMB"/>
    <n v="65"/>
    <x v="0"/>
    <n v="1748"/>
  </r>
  <r>
    <s v="ORD-01895"/>
    <x v="249"/>
    <s v="CUST-0071"/>
    <s v="PROD-026"/>
    <x v="4"/>
    <n v="2"/>
    <n v="4070"/>
    <n v="10.8"/>
    <n v="7260.88"/>
    <s v="Completed"/>
    <s v="Delhi"/>
    <n v="0"/>
    <b v="1"/>
    <x v="2"/>
    <s v="Corporate"/>
    <n v="46"/>
    <x v="0"/>
    <n v="2027"/>
  </r>
  <r>
    <s v="ORD-01896"/>
    <x v="332"/>
    <s v="CUST-0102"/>
    <s v="PROD-059"/>
    <x v="12"/>
    <n v="4"/>
    <n v="3780"/>
    <n v="17.100000000000001"/>
    <n v="12534.48"/>
    <s v="Completed"/>
    <s v="Chennai"/>
    <n v="0"/>
    <b v="1"/>
    <x v="1"/>
    <s v="SMB"/>
    <n v="62"/>
    <x v="3"/>
    <n v="1860"/>
  </r>
  <r>
    <s v="ORD-01897"/>
    <x v="81"/>
    <s v="CUST-0036"/>
    <s v="PROD-021"/>
    <x v="10"/>
    <n v="1"/>
    <n v="2760"/>
    <n v="2.5"/>
    <n v="2691"/>
    <s v="Cancelled"/>
    <s v="Mumbai"/>
    <n v="0"/>
    <b v="1"/>
    <x v="2"/>
    <s v="Retail"/>
    <n v="35"/>
    <x v="0"/>
    <n v="1435"/>
  </r>
  <r>
    <s v="ORD-01898"/>
    <x v="293"/>
    <s v="CUST-0273"/>
    <s v="PROD-046"/>
    <x v="14"/>
    <n v="2"/>
    <n v="4880"/>
    <n v="11"/>
    <n v="8686.4"/>
    <s v="Completed"/>
    <s v="Hyderabad"/>
    <n v="0"/>
    <b v="1"/>
    <x v="5"/>
    <s v="Corporate"/>
    <n v="32"/>
    <x v="2"/>
    <n v="2768"/>
  </r>
  <r>
    <s v="ORD-01899"/>
    <x v="228"/>
    <s v="CUST-0262"/>
    <s v="PROD-023"/>
    <x v="24"/>
    <n v="10"/>
    <n v="2380"/>
    <n v="28.3"/>
    <n v="17064.599999999999"/>
    <s v="Completed"/>
    <s v="Mumbai"/>
    <n v="0"/>
    <b v="1"/>
    <x v="2"/>
    <s v="Retail"/>
    <n v="52"/>
    <x v="3"/>
    <n v="1182"/>
  </r>
  <r>
    <s v="ORD-01900"/>
    <x v="121"/>
    <s v="CUST-0083"/>
    <s v="PROD-042"/>
    <x v="11"/>
    <n v="3"/>
    <n v="2290"/>
    <n v="11.1"/>
    <n v="6107.43"/>
    <s v="Cancelled"/>
    <s v="Bengaluru"/>
    <n v="0"/>
    <b v="1"/>
    <x v="5"/>
    <s v="Corporate"/>
    <n v="31"/>
    <x v="0"/>
    <n v="1219"/>
  </r>
  <r>
    <s v="ORD-01901"/>
    <x v="53"/>
    <s v="CUST-0273"/>
    <s v="PROD-021"/>
    <x v="10"/>
    <n v="6"/>
    <n v="2760"/>
    <n v="16.5"/>
    <n v="13827.6"/>
    <s v="Completed"/>
    <s v="Hyderabad"/>
    <n v="0"/>
    <b v="1"/>
    <x v="2"/>
    <s v="Corporate"/>
    <n v="32"/>
    <x v="0"/>
    <n v="1435"/>
  </r>
  <r>
    <s v="ORD-01902"/>
    <x v="271"/>
    <s v="CUST-0047"/>
    <s v="PROD-025"/>
    <x v="28"/>
    <n v="5"/>
    <n v="4060"/>
    <n v="22.5"/>
    <n v="15732.5"/>
    <s v="Completed"/>
    <s v="Pune"/>
    <n v="0"/>
    <b v="1"/>
    <x v="2"/>
    <s v="Retail"/>
    <n v="49"/>
    <x v="2"/>
    <n v="2911"/>
  </r>
  <r>
    <s v="ORD-01903"/>
    <x v="27"/>
    <s v="CUST-0084"/>
    <s v="PROD-010"/>
    <x v="3"/>
    <n v="8"/>
    <n v="2640"/>
    <n v="11.8"/>
    <n v="18627.84"/>
    <s v="Completed"/>
    <s v="Chennai"/>
    <n v="0"/>
    <b v="1"/>
    <x v="4"/>
    <s v="Retail"/>
    <n v="28"/>
    <x v="0"/>
    <n v="1149"/>
  </r>
  <r>
    <s v="ORD-01904"/>
    <x v="119"/>
    <s v="CUST-0093"/>
    <s v="PROD-039"/>
    <x v="1"/>
    <n v="2"/>
    <n v="4610"/>
    <n v="10.4"/>
    <n v="8261.1200000000008"/>
    <s v="Pending"/>
    <s v="Pune"/>
    <n v="0"/>
    <b v="1"/>
    <x v="3"/>
    <s v="Retail"/>
    <n v="36"/>
    <x v="0"/>
    <n v="1850"/>
  </r>
  <r>
    <s v="ORD-01905"/>
    <x v="266"/>
    <s v="CUST-0282"/>
    <s v="PROD-029"/>
    <x v="8"/>
    <n v="6"/>
    <n v="2210"/>
    <n v="22.5"/>
    <n v="10276.5"/>
    <s v="Cancelled"/>
    <s v="Hyderabad"/>
    <n v="0"/>
    <b v="1"/>
    <x v="2"/>
    <s v="Corporate"/>
    <n v="29"/>
    <x v="2"/>
    <n v="1010"/>
  </r>
  <r>
    <s v="ORD-01906"/>
    <x v="103"/>
    <s v="CUST-0246"/>
    <s v="PROD-029"/>
    <x v="23"/>
    <n v="4"/>
    <n v="2210"/>
    <n v="21.5"/>
    <n v="6939.4"/>
    <s v="Pending"/>
    <s v="Delhi"/>
    <n v="0"/>
    <b v="1"/>
    <x v="2"/>
    <s v="SMB"/>
    <n v="29"/>
    <x v="1"/>
    <n v="1010"/>
  </r>
  <r>
    <s v="ORD-01907"/>
    <x v="169"/>
    <s v="CUST-0243"/>
    <s v="PROD-035"/>
    <x v="22"/>
    <n v="6"/>
    <n v="1090"/>
    <n v="28.3"/>
    <n v="4689.18"/>
    <s v="Completed"/>
    <s v="Pune"/>
    <n v="0"/>
    <b v="1"/>
    <x v="3"/>
    <s v="SMB"/>
    <n v="44"/>
    <x v="1"/>
    <n v="464"/>
  </r>
  <r>
    <s v="ORD-01908"/>
    <x v="327"/>
    <s v="CUST-0298"/>
    <s v="PROD-032"/>
    <x v="11"/>
    <n v="9"/>
    <n v="370"/>
    <n v="13.8"/>
    <n v="2870.46"/>
    <s v="Completed"/>
    <s v="Delhi"/>
    <n v="0"/>
    <b v="1"/>
    <x v="3"/>
    <s v="Retail"/>
    <n v="44"/>
    <x v="0"/>
    <n v="288"/>
  </r>
  <r>
    <s v="ORD-01909"/>
    <x v="122"/>
    <s v="CUST-0124"/>
    <s v="PROD-003"/>
    <x v="5"/>
    <n v="10"/>
    <n v="3570"/>
    <n v="3"/>
    <n v="34629"/>
    <s v="Cancelled"/>
    <s v="Pune"/>
    <n v="0"/>
    <b v="1"/>
    <x v="4"/>
    <s v="Retail"/>
    <n v="57"/>
    <x v="2"/>
    <n v="1665"/>
  </r>
  <r>
    <s v="ORD-01910"/>
    <x v="89"/>
    <s v="CUST-0070"/>
    <s v="PROD-036"/>
    <x v="29"/>
    <n v="10"/>
    <n v="3250"/>
    <n v="20.3"/>
    <n v="25902.5"/>
    <s v="Completed"/>
    <s v="Mumbai"/>
    <n v="0"/>
    <b v="1"/>
    <x v="3"/>
    <s v="Retail"/>
    <n v="42"/>
    <x v="1"/>
    <n v="1556"/>
  </r>
  <r>
    <s v="ORD-01911"/>
    <x v="295"/>
    <s v="CUST-0054"/>
    <s v="PROD-036"/>
    <x v="8"/>
    <n v="6"/>
    <n v="3250"/>
    <n v="25.8"/>
    <n v="14469"/>
    <s v="Pending"/>
    <s v="Mumbai"/>
    <n v="0"/>
    <b v="1"/>
    <x v="3"/>
    <s v="Corporate"/>
    <n v="62"/>
    <x v="2"/>
    <n v="1556"/>
  </r>
  <r>
    <s v="ORD-01912"/>
    <x v="294"/>
    <s v="CUST-0208"/>
    <s v="PROD-057"/>
    <x v="6"/>
    <n v="9"/>
    <n v="960"/>
    <n v="29"/>
    <n v="6134.4"/>
    <s v="Completed"/>
    <s v="Mumbai"/>
    <n v="0"/>
    <b v="1"/>
    <x v="1"/>
    <s v="Retail"/>
    <n v="49"/>
    <x v="2"/>
    <n v="705"/>
  </r>
  <r>
    <s v="ORD-01913"/>
    <x v="275"/>
    <s v="CUST-0181"/>
    <s v="PROD-050"/>
    <x v="15"/>
    <n v="9"/>
    <n v="6080"/>
    <n v="21"/>
    <n v="43228.800000000003"/>
    <s v="Completed"/>
    <s v="Delhi"/>
    <n v="0"/>
    <b v="1"/>
    <x v="5"/>
    <s v="SMB"/>
    <n v="38"/>
    <x v="1"/>
    <n v="2617"/>
  </r>
  <r>
    <s v="ORD-01914"/>
    <x v="250"/>
    <s v="CUST-0259"/>
    <s v="PROD-039"/>
    <x v="16"/>
    <n v="6"/>
    <n v="4610"/>
    <n v="13.5"/>
    <n v="23925.9"/>
    <s v="Completed"/>
    <s v="Mumbai"/>
    <n v="0"/>
    <b v="1"/>
    <x v="3"/>
    <s v="Retail"/>
    <n v="34"/>
    <x v="3"/>
    <n v="1850"/>
  </r>
  <r>
    <s v="ORD-01915"/>
    <x v="225"/>
    <s v="CUST-0277"/>
    <s v="PROD-034"/>
    <x v="13"/>
    <n v="7"/>
    <n v="5080"/>
    <n v="25.4"/>
    <n v="26527.759999999998"/>
    <s v="Completed"/>
    <s v="Chennai"/>
    <n v="0"/>
    <b v="1"/>
    <x v="3"/>
    <s v="Corporate"/>
    <n v="34"/>
    <x v="3"/>
    <n v="2459"/>
  </r>
  <r>
    <s v="ORD-01916"/>
    <x v="269"/>
    <s v="CUST-0173"/>
    <s v="PROD-043"/>
    <x v="21"/>
    <n v="5"/>
    <n v="3350"/>
    <n v="2.2000000000000002"/>
    <n v="16381.5"/>
    <s v="Completed"/>
    <s v="Mumbai"/>
    <n v="0"/>
    <b v="1"/>
    <x v="5"/>
    <s v="Retail"/>
    <n v="65"/>
    <x v="3"/>
    <n v="1728"/>
  </r>
  <r>
    <s v="ORD-01917"/>
    <x v="77"/>
    <s v="CUST-0091"/>
    <s v="PROD-027"/>
    <x v="2"/>
    <n v="1"/>
    <n v="3780"/>
    <n v="13.7"/>
    <n v="3262.14"/>
    <s v="Completed"/>
    <s v="Delhi"/>
    <n v="0"/>
    <b v="1"/>
    <x v="2"/>
    <s v="Retail"/>
    <n v="55"/>
    <x v="1"/>
    <n v="2436"/>
  </r>
  <r>
    <s v="ORD-01918"/>
    <x v="279"/>
    <s v="CUST-0142"/>
    <s v="PROD-046"/>
    <x v="16"/>
    <n v="4"/>
    <n v="4880"/>
    <n v="11.6"/>
    <n v="17255.68"/>
    <s v="Completed"/>
    <s v="Chennai"/>
    <n v="0"/>
    <b v="1"/>
    <x v="5"/>
    <s v="Corporate"/>
    <n v="55"/>
    <x v="3"/>
    <n v="2768"/>
  </r>
  <r>
    <s v="ORD-01919"/>
    <x v="217"/>
    <s v="CUST-0011"/>
    <s v="PROD-048"/>
    <x v="20"/>
    <n v="3"/>
    <n v="5100"/>
    <n v="24.2"/>
    <n v="11597.4"/>
    <s v="Completed"/>
    <s v=" Chennai "/>
    <n v="0"/>
    <b v="1"/>
    <x v="5"/>
    <s v="Corporate"/>
    <n v="41"/>
    <x v="2"/>
    <n v="2237"/>
  </r>
  <r>
    <s v="ORD-01920"/>
    <x v="287"/>
    <s v="CUST-0074"/>
    <s v="PROD-008"/>
    <x v="12"/>
    <n v="5"/>
    <n v="2660"/>
    <n v="4.7"/>
    <n v="12674.9"/>
    <s v="Completed"/>
    <s v="Bengaluru"/>
    <n v="0"/>
    <b v="0"/>
    <x v="4"/>
    <s v="Retail"/>
    <n v="27"/>
    <x v="3"/>
    <n v="1259"/>
  </r>
  <r>
    <s v="ORD-01921"/>
    <x v="328"/>
    <s v="CUST-0131"/>
    <s v="PROD-023"/>
    <x v="21"/>
    <n v="10"/>
    <n v="2380"/>
    <n v="1"/>
    <n v="23562"/>
    <s v="Completed"/>
    <s v="Delhi"/>
    <n v="0"/>
    <b v="1"/>
    <x v="2"/>
    <s v="SMB"/>
    <n v="28"/>
    <x v="3"/>
    <n v="1182"/>
  </r>
  <r>
    <s v="ORD-01922"/>
    <x v="223"/>
    <s v="CUST-0093"/>
    <s v="PROD-046"/>
    <x v="25"/>
    <n v="9"/>
    <n v="4880"/>
    <n v="7.2"/>
    <n v="40757.760000000002"/>
    <s v="Completed"/>
    <s v="Pune"/>
    <n v="0"/>
    <b v="1"/>
    <x v="5"/>
    <s v="Retail"/>
    <n v="36"/>
    <x v="0"/>
    <n v="2768"/>
  </r>
  <r>
    <s v="ORD-01923"/>
    <x v="91"/>
    <s v="CUST-0229"/>
    <s v="PROD-031"/>
    <x v="2"/>
    <n v="1"/>
    <n v="3730"/>
    <n v="15.3"/>
    <n v="3159.31"/>
    <s v="Completed"/>
    <s v="Hyderabad"/>
    <n v="0"/>
    <b v="1"/>
    <x v="3"/>
    <s v="SMB"/>
    <n v="25"/>
    <x v="1"/>
    <n v="2135"/>
  </r>
  <r>
    <s v="ORD-01924"/>
    <x v="33"/>
    <s v="CUST-0293"/>
    <s v="PROD-059"/>
    <x v="11"/>
    <n v="10"/>
    <n v="3780"/>
    <n v="2.7"/>
    <n v="36779.4"/>
    <s v="Completed"/>
    <s v="Bengaluru"/>
    <n v="0"/>
    <b v="1"/>
    <x v="1"/>
    <s v="Retail"/>
    <n v="27"/>
    <x v="0"/>
    <n v="1860"/>
  </r>
  <r>
    <s v="ORD-01925"/>
    <x v="257"/>
    <s v="CUST-0105"/>
    <s v="PROD-014"/>
    <x v="12"/>
    <n v="2"/>
    <n v="3620"/>
    <n v="23"/>
    <n v="5574.8"/>
    <s v="Completed"/>
    <s v="Chennai"/>
    <n v="0"/>
    <b v="1"/>
    <x v="0"/>
    <s v="SMB"/>
    <n v="51"/>
    <x v="3"/>
    <n v="2509"/>
  </r>
  <r>
    <s v="ORD-01926"/>
    <x v="355"/>
    <s v="CUST-0003"/>
    <s v="PROD-034"/>
    <x v="13"/>
    <n v="9"/>
    <n v="5080"/>
    <n v="19.899999999999999"/>
    <n v="36621.72"/>
    <s v="Completed"/>
    <s v="Mumbai"/>
    <n v="0"/>
    <b v="1"/>
    <x v="3"/>
    <s v="Retail"/>
    <n v="33"/>
    <x v="3"/>
    <n v="2459"/>
  </r>
  <r>
    <s v="ORD-01927"/>
    <x v="230"/>
    <s v="CUST-0092"/>
    <s v="PROD-018"/>
    <x v="6"/>
    <n v="2"/>
    <n v="3560"/>
    <n v="5.5"/>
    <n v="6728.4"/>
    <s v="Completed"/>
    <s v="Bengaluru"/>
    <n v="0"/>
    <b v="1"/>
    <x v="0"/>
    <s v="SMB"/>
    <n v="28"/>
    <x v="2"/>
    <n v="2629"/>
  </r>
  <r>
    <s v="ORD-01928"/>
    <x v="134"/>
    <s v="CUST-0050"/>
    <s v="PROD-030"/>
    <x v="19"/>
    <n v="6"/>
    <n v="970"/>
    <n v="22.5"/>
    <n v="4510.5"/>
    <s v="Refunded"/>
    <s v="Mumbai"/>
    <n v="0"/>
    <b v="1"/>
    <x v="2"/>
    <s v="Retail"/>
    <n v="37"/>
    <x v="0"/>
    <n v="434"/>
  </r>
  <r>
    <s v="ORD-01929"/>
    <x v="181"/>
    <s v="CUST-0237"/>
    <s v="PROD-043"/>
    <x v="2"/>
    <n v="9"/>
    <n v="3350"/>
    <n v="5.0999999999999996"/>
    <n v="28612.35"/>
    <s v="Completed"/>
    <s v="Mumbai"/>
    <n v="0"/>
    <b v="1"/>
    <x v="5"/>
    <s v="Retail"/>
    <n v="49"/>
    <x v="1"/>
    <n v="1728"/>
  </r>
  <r>
    <s v="ORD-01930"/>
    <x v="283"/>
    <s v="CUST-9905"/>
    <s v="PROD-032"/>
    <x v="23"/>
    <n v="6"/>
    <n v="370"/>
    <n v="17.8"/>
    <n v="1824.84"/>
    <s v="Completed"/>
    <s v="Mumbai"/>
    <n v="0"/>
    <b v="1"/>
    <x v="3"/>
    <e v="#N/A"/>
    <e v="#N/A"/>
    <x v="1"/>
    <n v="288"/>
  </r>
  <r>
    <s v="ORD-01931"/>
    <x v="13"/>
    <s v="CUST-0175"/>
    <s v="PROD-024"/>
    <x v="23"/>
    <n v="3"/>
    <n v="2270"/>
    <n v="8.4"/>
    <n v="6237.96"/>
    <s v="Pending"/>
    <s v="Delhi"/>
    <n v="0"/>
    <b v="1"/>
    <x v="2"/>
    <s v="Corporate"/>
    <n v="55"/>
    <x v="1"/>
    <n v="1203"/>
  </r>
  <r>
    <s v="ORD-01932"/>
    <x v="364"/>
    <s v="CUST-0271"/>
    <s v="PROD-051"/>
    <x v="13"/>
    <n v="3"/>
    <n v="3450"/>
    <n v="7.2"/>
    <n v="9604.7999999999993"/>
    <s v="Completed"/>
    <s v="Bengaluru"/>
    <n v="0"/>
    <b v="1"/>
    <x v="1"/>
    <s v="Corporate"/>
    <n v="41"/>
    <x v="3"/>
    <n v="2467"/>
  </r>
  <r>
    <s v="ORD-01933"/>
    <x v="142"/>
    <s v="CUST-0129"/>
    <s v="PROD-054"/>
    <x v="4"/>
    <n v="9"/>
    <n v="1010"/>
    <n v="17.8"/>
    <n v="7471.98"/>
    <s v="Completed"/>
    <s v="Hyderabad"/>
    <n v="0"/>
    <b v="1"/>
    <x v="1"/>
    <s v="Retail"/>
    <n v="29"/>
    <x v="0"/>
    <n v="516"/>
  </r>
  <r>
    <s v="ORD-01934"/>
    <x v="41"/>
    <s v="CUST-0156"/>
    <s v="PROD-039"/>
    <x v="11"/>
    <n v="5"/>
    <n v="4610"/>
    <n v="29.8"/>
    <n v="16181.1"/>
    <s v="Cancelled"/>
    <s v="Mumbai"/>
    <n v="0"/>
    <b v="1"/>
    <x v="3"/>
    <s v="Retail"/>
    <n v="33"/>
    <x v="0"/>
    <n v="1850"/>
  </r>
  <r>
    <s v="ORD-01935"/>
    <x v="255"/>
    <s v="CUST-0048"/>
    <s v="PROD-032"/>
    <x v="11"/>
    <n v="6"/>
    <n v="370"/>
    <n v="17.899999999999999"/>
    <n v="1822.62"/>
    <s v="Completed"/>
    <s v="Delhi"/>
    <n v="0"/>
    <b v="1"/>
    <x v="3"/>
    <s v="Retail"/>
    <n v="59"/>
    <x v="0"/>
    <n v="288"/>
  </r>
  <r>
    <s v="ORD-01936"/>
    <x v="279"/>
    <s v="CUST-0224"/>
    <s v="PROD-023"/>
    <x v="17"/>
    <n v="6"/>
    <n v="2380"/>
    <n v="13.6"/>
    <n v="12337.92"/>
    <s v="Cancelled"/>
    <s v="Chennai"/>
    <n v="0"/>
    <b v="1"/>
    <x v="2"/>
    <s v="Corporate"/>
    <n v="24"/>
    <x v="2"/>
    <n v="1182"/>
  </r>
  <r>
    <s v="ORD-01937"/>
    <x v="229"/>
    <s v="CUST-0101"/>
    <s v="PROD-049"/>
    <x v="12"/>
    <n v="6"/>
    <n v="960"/>
    <n v="15"/>
    <n v="4896"/>
    <s v="Pending"/>
    <s v="Hyderabad"/>
    <n v="0"/>
    <b v="1"/>
    <x v="5"/>
    <s v="SMB"/>
    <n v="40"/>
    <x v="3"/>
    <n v="675"/>
  </r>
  <r>
    <s v="ORD-01938"/>
    <x v="124"/>
    <s v="CUST-0269"/>
    <s v="PROD-057"/>
    <x v="25"/>
    <n v="3"/>
    <n v="960"/>
    <n v="12.3"/>
    <n v="2525.7600000000002"/>
    <s v="Completed"/>
    <s v="Pune"/>
    <n v="0"/>
    <b v="1"/>
    <x v="1"/>
    <s v="Retail"/>
    <n v="48"/>
    <x v="0"/>
    <n v="705"/>
  </r>
  <r>
    <s v="ORD-01939"/>
    <x v="3"/>
    <s v="CUST-0097"/>
    <s v="PROD-016"/>
    <x v="20"/>
    <n v="7"/>
    <n v="620"/>
    <n v="5.8"/>
    <n v="4088.28"/>
    <s v="Completed"/>
    <s v="Mumbai"/>
    <n v="0"/>
    <b v="1"/>
    <x v="0"/>
    <s v="Retail"/>
    <n v="65"/>
    <x v="2"/>
    <n v="396"/>
  </r>
  <r>
    <s v="ORD-01940"/>
    <x v="299"/>
    <s v="CUST-0062"/>
    <s v="PROD-057"/>
    <x v="16"/>
    <n v="1"/>
    <n v="960"/>
    <n v="4.5999999999999996"/>
    <n v="915.84"/>
    <s v="Completed"/>
    <s v="Pune"/>
    <n v="0"/>
    <b v="1"/>
    <x v="1"/>
    <s v="Retail"/>
    <n v="54"/>
    <x v="3"/>
    <n v="705"/>
  </r>
  <r>
    <s v="ORD-01941"/>
    <x v="226"/>
    <s v="CUST-0124"/>
    <s v="PROD-047"/>
    <x v="8"/>
    <n v="4"/>
    <n v="3450"/>
    <n v="13.3"/>
    <n v="11964.6"/>
    <s v="Completed"/>
    <s v="Pune"/>
    <n v="0"/>
    <b v="1"/>
    <x v="5"/>
    <s v="Retail"/>
    <n v="57"/>
    <x v="2"/>
    <n v="2420"/>
  </r>
  <r>
    <s v="ORD-01942"/>
    <x v="17"/>
    <s v="CUST-0185"/>
    <s v="PROD-015"/>
    <x v="7"/>
    <n v="10"/>
    <n v="2720"/>
    <n v="3.4"/>
    <n v="26275.200000000001"/>
    <s v="Completed"/>
    <s v="Hyderabad"/>
    <n v="0"/>
    <b v="1"/>
    <x v="0"/>
    <s v="SMB"/>
    <n v="43"/>
    <x v="3"/>
    <n v="1962"/>
  </r>
  <r>
    <s v="ORD-01943"/>
    <x v="358"/>
    <s v="CUST-0115"/>
    <s v="PROD-047"/>
    <x v="7"/>
    <n v="1"/>
    <n v="3450"/>
    <n v="29.4"/>
    <n v="2435.6999999999998"/>
    <s v="Completed"/>
    <s v="Mumbai"/>
    <n v="0"/>
    <b v="1"/>
    <x v="5"/>
    <s v="SMB"/>
    <n v="65"/>
    <x v="3"/>
    <n v="2420"/>
  </r>
  <r>
    <s v="ORD-01944"/>
    <x v="201"/>
    <s v="CUST-0097"/>
    <s v="PROD-044"/>
    <x v="6"/>
    <n v="5"/>
    <n v="1650"/>
    <n v="29.4"/>
    <n v="5824.5"/>
    <s v="Completed"/>
    <s v="Mumbai"/>
    <n v="0"/>
    <b v="1"/>
    <x v="5"/>
    <s v="Retail"/>
    <n v="65"/>
    <x v="2"/>
    <n v="1222"/>
  </r>
  <r>
    <s v="ORD-01945"/>
    <x v="167"/>
    <s v="CUST-0221"/>
    <s v="PROD-014"/>
    <x v="18"/>
    <n v="2"/>
    <n v="3620"/>
    <n v="15.6"/>
    <n v="6110.56"/>
    <s v="Completed"/>
    <s v="Delhi"/>
    <n v="0"/>
    <b v="1"/>
    <x v="0"/>
    <s v="SMB"/>
    <n v="29"/>
    <x v="1"/>
    <n v="2509"/>
  </r>
  <r>
    <s v="ORD-01946"/>
    <x v="95"/>
    <s v="CUST-0098"/>
    <s v="PROD-005"/>
    <x v="27"/>
    <n v="3"/>
    <n v="300"/>
    <n v="24.8"/>
    <n v="676.8"/>
    <s v="Completed"/>
    <s v="Delhi"/>
    <n v="0"/>
    <b v="1"/>
    <x v="4"/>
    <s v="Retail"/>
    <n v="52"/>
    <x v="1"/>
    <n v="128"/>
  </r>
  <r>
    <s v="ORD-01947"/>
    <x v="200"/>
    <s v="CUST-0203"/>
    <s v="PROD-041"/>
    <x v="19"/>
    <n v="3"/>
    <n v="1540"/>
    <n v="29.5"/>
    <n v="3257.1"/>
    <s v="Completed"/>
    <s v="Chennai"/>
    <n v="0"/>
    <b v="0"/>
    <x v="5"/>
    <s v="SMB"/>
    <n v="55"/>
    <x v="0"/>
    <n v="647"/>
  </r>
  <r>
    <s v="ORD-01948"/>
    <x v="317"/>
    <s v="CUST-0074"/>
    <s v="PROD-024"/>
    <x v="7"/>
    <n v="10"/>
    <n v="2270"/>
    <n v="5.5"/>
    <n v="21451.5"/>
    <s v="Cancelled"/>
    <s v="Bengaluru"/>
    <n v="0"/>
    <b v="1"/>
    <x v="2"/>
    <s v="Retail"/>
    <n v="27"/>
    <x v="3"/>
    <n v="1203"/>
  </r>
  <r>
    <s v="ORD-01949"/>
    <x v="154"/>
    <s v="CUST-0217"/>
    <s v="PROD-010"/>
    <x v="4"/>
    <n v="3"/>
    <n v="2640"/>
    <n v="28.2"/>
    <n v="5686.56"/>
    <s v="Refunded"/>
    <s v="Pune"/>
    <n v="0"/>
    <b v="1"/>
    <x v="4"/>
    <s v="SMB"/>
    <n v="59"/>
    <x v="0"/>
    <n v="1149"/>
  </r>
  <r>
    <s v="ORD-01950"/>
    <x v="11"/>
    <s v="CUST-0021"/>
    <s v="PROD-010"/>
    <x v="15"/>
    <n v="10"/>
    <n v="2640"/>
    <n v="25.9"/>
    <n v="19562.400000000001"/>
    <s v="Completed"/>
    <s v="Pune"/>
    <n v="0"/>
    <b v="1"/>
    <x v="4"/>
    <s v="Retail"/>
    <n v="44"/>
    <x v="1"/>
    <n v="1149"/>
  </r>
  <r>
    <s v="ORD-01951"/>
    <x v="152"/>
    <s v="CUST-0004"/>
    <s v="PROD-007"/>
    <x v="14"/>
    <n v="2"/>
    <n v="1430"/>
    <n v="5"/>
    <n v="2717"/>
    <s v="Cancelled"/>
    <s v="Delhi"/>
    <n v="0"/>
    <b v="1"/>
    <x v="4"/>
    <s v="Retail"/>
    <n v="53"/>
    <x v="2"/>
    <n v="861"/>
  </r>
  <r>
    <s v="ORD-01952"/>
    <x v="221"/>
    <s v="CUST-0080"/>
    <s v="PROD-003"/>
    <x v="16"/>
    <n v="6"/>
    <n v="3570"/>
    <n v="28.5"/>
    <n v="15315.3"/>
    <s v="Cancelled"/>
    <s v="Pune"/>
    <n v="0"/>
    <b v="1"/>
    <x v="4"/>
    <s v="SMB"/>
    <n v="30"/>
    <x v="3"/>
    <n v="1665"/>
  </r>
  <r>
    <s v="ORD-01953"/>
    <x v="328"/>
    <s v="CUST-0113"/>
    <s v="PROD-003"/>
    <x v="6"/>
    <n v="1"/>
    <n v="3570"/>
    <n v="7.7"/>
    <n v="3295.11"/>
    <s v="Completed"/>
    <s v="Delhi"/>
    <n v="0"/>
    <b v="1"/>
    <x v="4"/>
    <s v="Retail"/>
    <n v="30"/>
    <x v="2"/>
    <n v="1665"/>
  </r>
  <r>
    <s v="ORD-01954"/>
    <x v="312"/>
    <s v="CUST-0023"/>
    <s v="PROD-004"/>
    <x v="14"/>
    <n v="9"/>
    <n v="3870"/>
    <n v="11.9"/>
    <n v="30685.23"/>
    <s v="Cancelled"/>
    <s v="Chennai"/>
    <n v="0"/>
    <b v="1"/>
    <x v="4"/>
    <s v="SMB"/>
    <n v="43"/>
    <x v="2"/>
    <n v="1559"/>
  </r>
  <r>
    <s v="ORD-01955"/>
    <x v="50"/>
    <s v="CUST-0136"/>
    <s v="PROD-056"/>
    <x v="2"/>
    <n v="5"/>
    <n v="6940"/>
    <n v="17.399999999999999"/>
    <n v="28662.2"/>
    <s v="Completed"/>
    <s v="Chennai"/>
    <n v="0"/>
    <b v="1"/>
    <x v="1"/>
    <s v="SMB"/>
    <n v="26"/>
    <x v="1"/>
    <n v="2827"/>
  </r>
  <r>
    <s v="ORD-01956"/>
    <x v="42"/>
    <s v="CUST-0031"/>
    <s v="PROD-032"/>
    <x v="17"/>
    <n v="6"/>
    <n v="370"/>
    <n v="8.1"/>
    <n v="2040.18"/>
    <s v="Cancelled"/>
    <s v="Hyderabad"/>
    <n v="0"/>
    <b v="1"/>
    <x v="3"/>
    <s v="Retail"/>
    <n v="53"/>
    <x v="2"/>
    <n v="288"/>
  </r>
  <r>
    <s v="ORD-01957"/>
    <x v="0"/>
    <s v="CUST-0175"/>
    <s v="PROD-018"/>
    <x v="28"/>
    <n v="8"/>
    <n v="3560"/>
    <n v="23.3"/>
    <n v="21844.16"/>
    <s v="Completed"/>
    <s v="Delhi"/>
    <n v="0"/>
    <b v="1"/>
    <x v="0"/>
    <s v="Corporate"/>
    <n v="55"/>
    <x v="2"/>
    <n v="2629"/>
  </r>
  <r>
    <s v="ORD-01958"/>
    <x v="142"/>
    <s v="CUST-0249"/>
    <s v="PROD-009"/>
    <x v="8"/>
    <n v="4"/>
    <n v="1220"/>
    <n v="2.7"/>
    <n v="4748.24"/>
    <s v="Completed"/>
    <s v="Mumbai"/>
    <n v="0"/>
    <b v="1"/>
    <x v="4"/>
    <s v="Retail"/>
    <n v="44"/>
    <x v="2"/>
    <n v="517"/>
  </r>
  <r>
    <s v="ORD-01959"/>
    <x v="311"/>
    <s v="CUST-0138"/>
    <s v="PROD-026"/>
    <x v="16"/>
    <n v="10"/>
    <n v="4070"/>
    <n v="11.6"/>
    <n v="35978.800000000003"/>
    <s v="Completed"/>
    <s v="Chennai"/>
    <n v="0"/>
    <b v="1"/>
    <x v="2"/>
    <s v="Retail"/>
    <n v="24"/>
    <x v="3"/>
    <n v="2027"/>
  </r>
  <r>
    <s v="ORD-01960"/>
    <x v="260"/>
    <s v="CUST-0290"/>
    <s v="PROD-028"/>
    <x v="7"/>
    <n v="10"/>
    <n v="3660"/>
    <n v="28.8"/>
    <n v="26059.200000000001"/>
    <s v="Completed"/>
    <s v="Delhi"/>
    <n v="0"/>
    <b v="0"/>
    <x v="2"/>
    <s v="Retail"/>
    <n v="63"/>
    <x v="3"/>
    <n v="2214"/>
  </r>
  <r>
    <s v="ORD-01961"/>
    <x v="121"/>
    <s v="CUST-0151"/>
    <s v="PROD-034"/>
    <x v="26"/>
    <n v="5"/>
    <n v="5080"/>
    <n v="12.1"/>
    <n v="22326.6"/>
    <s v="Completed"/>
    <s v="Mumbai"/>
    <n v="0"/>
    <b v="1"/>
    <x v="3"/>
    <s v="Retail"/>
    <n v="53"/>
    <x v="3"/>
    <n v="2459"/>
  </r>
  <r>
    <s v="ORD-01962"/>
    <x v="200"/>
    <s v="CUST-0290"/>
    <s v="PROD-039"/>
    <x v="22"/>
    <n v="10"/>
    <n v="4610"/>
    <n v="22.5"/>
    <n v="35727.5"/>
    <s v="Completed"/>
    <s v="Delhi"/>
    <n v="0"/>
    <b v="1"/>
    <x v="3"/>
    <s v="Retail"/>
    <n v="63"/>
    <x v="1"/>
    <n v="1850"/>
  </r>
  <r>
    <s v="ORD-01963"/>
    <x v="58"/>
    <s v="CUST-0074"/>
    <s v="PROD-008"/>
    <x v="0"/>
    <n v="3"/>
    <n v="2660"/>
    <n v="15"/>
    <n v="6783"/>
    <s v="Completed"/>
    <s v="Bengaluru"/>
    <n v="0"/>
    <b v="0"/>
    <x v="4"/>
    <s v="Retail"/>
    <n v="27"/>
    <x v="0"/>
    <n v="1259"/>
  </r>
  <r>
    <s v="ORD-01964"/>
    <x v="360"/>
    <s v="CUST-0295"/>
    <s v="PROD-012"/>
    <x v="3"/>
    <n v="5"/>
    <n v="3160"/>
    <n v="1.3"/>
    <n v="15594.6"/>
    <s v="Completed"/>
    <s v="Delhi"/>
    <n v="0"/>
    <b v="1"/>
    <x v="0"/>
    <s v="SMB"/>
    <n v="48"/>
    <x v="0"/>
    <n v="1886"/>
  </r>
  <r>
    <s v="ORD-01965"/>
    <x v="354"/>
    <s v="CUST-0132"/>
    <s v="PROD-032"/>
    <x v="10"/>
    <n v="10"/>
    <n v="370"/>
    <n v="29"/>
    <n v="2627"/>
    <s v="Completed"/>
    <s v="Delhi"/>
    <n v="0"/>
    <b v="1"/>
    <x v="3"/>
    <s v="Retail"/>
    <n v="41"/>
    <x v="0"/>
    <n v="288"/>
  </r>
  <r>
    <s v="ORD-01966"/>
    <x v="243"/>
    <s v="CUST-0289"/>
    <s v="PROD-054"/>
    <x v="4"/>
    <n v="10"/>
    <n v="1010"/>
    <n v="14.1"/>
    <n v="8675.9"/>
    <s v="Refunded"/>
    <s v="Mumbai"/>
    <n v="0"/>
    <b v="1"/>
    <x v="1"/>
    <s v="Retail"/>
    <n v="54"/>
    <x v="0"/>
    <n v="516"/>
  </r>
  <r>
    <s v="ORD-01967"/>
    <x v="261"/>
    <s v="CUST-0139"/>
    <s v="PROD-018"/>
    <x v="14"/>
    <n v="3"/>
    <n v="3560"/>
    <n v="23.6"/>
    <n v="8159.52"/>
    <s v="Completed"/>
    <s v="Hyderabad"/>
    <n v="0"/>
    <b v="1"/>
    <x v="0"/>
    <s v="SMB"/>
    <n v="65"/>
    <x v="2"/>
    <n v="2629"/>
  </r>
  <r>
    <s v="ORD-01968"/>
    <x v="1"/>
    <s v="CUST-0032"/>
    <s v="PROD-009"/>
    <x v="8"/>
    <n v="9"/>
    <n v="1220"/>
    <n v="16.600000000000001"/>
    <n v="9157.32"/>
    <s v="Completed"/>
    <s v="Hyderabad"/>
    <n v="0"/>
    <b v="1"/>
    <x v="4"/>
    <s v="Retail"/>
    <n v="28"/>
    <x v="2"/>
    <n v="517"/>
  </r>
  <r>
    <s v="ORD-01969"/>
    <x v="30"/>
    <s v="CUST-0109"/>
    <s v="PROD-060"/>
    <x v="4"/>
    <n v="8"/>
    <n v="190"/>
    <n v="22.3"/>
    <n v="1181.04"/>
    <s v="Completed"/>
    <s v="Pune"/>
    <n v="0"/>
    <b v="1"/>
    <x v="1"/>
    <s v="Retail"/>
    <n v="42"/>
    <x v="0"/>
    <n v="147"/>
  </r>
  <r>
    <s v="ORD-01970"/>
    <x v="290"/>
    <s v="CUST-0224"/>
    <s v="PROD-054"/>
    <x v="25"/>
    <n v="2"/>
    <n v="1010"/>
    <n v="3.8"/>
    <n v="1943.24"/>
    <s v="Completed"/>
    <s v="Chennai"/>
    <n v="0"/>
    <b v="1"/>
    <x v="1"/>
    <s v="Corporate"/>
    <n v="24"/>
    <x v="0"/>
    <n v="516"/>
  </r>
  <r>
    <s v="ORD-01971"/>
    <x v="96"/>
    <s v="CUST-0038"/>
    <s v="PROD-002"/>
    <x v="18"/>
    <n v="4"/>
    <n v="2600"/>
    <n v="29.1"/>
    <n v="7373.6"/>
    <s v="Completed"/>
    <s v="Mumbai"/>
    <n v="0"/>
    <b v="1"/>
    <x v="4"/>
    <s v="Retail"/>
    <n v="57"/>
    <x v="1"/>
    <n v="1052"/>
  </r>
  <r>
    <s v="ORD-01972"/>
    <x v="25"/>
    <s v="CUST-0132"/>
    <s v="PROD-011"/>
    <x v="20"/>
    <n v="7"/>
    <n v="3450"/>
    <n v="4"/>
    <n v="23184"/>
    <s v="Completed"/>
    <s v="Delhi"/>
    <n v="0"/>
    <b v="1"/>
    <x v="0"/>
    <s v="Retail"/>
    <n v="41"/>
    <x v="2"/>
    <n v="1748"/>
  </r>
  <r>
    <s v="ORD-01973"/>
    <x v="288"/>
    <s v="CUST-0226"/>
    <s v="PROD-017"/>
    <x v="7"/>
    <n v="6"/>
    <n v="2510"/>
    <n v="12.7"/>
    <n v="13147.38"/>
    <s v="Completed"/>
    <s v="Chennai"/>
    <n v="0"/>
    <b v="0"/>
    <x v="0"/>
    <s v="Corporate"/>
    <n v="52"/>
    <x v="3"/>
    <n v="1075"/>
  </r>
  <r>
    <s v="ORD-01974"/>
    <x v="9"/>
    <s v="CUST-0275"/>
    <s v="PROD-060"/>
    <x v="28"/>
    <n v="6"/>
    <n v="190"/>
    <n v="20"/>
    <n v="912"/>
    <s v="Cancelled"/>
    <s v="Mumbai"/>
    <n v="0"/>
    <b v="1"/>
    <x v="1"/>
    <s v="Retail"/>
    <n v="36"/>
    <x v="2"/>
    <n v="147"/>
  </r>
  <r>
    <s v="ORD-01975"/>
    <x v="201"/>
    <s v="CUST-0109"/>
    <s v="PROD-044"/>
    <x v="20"/>
    <n v="10"/>
    <n v="1650"/>
    <n v="21.5"/>
    <n v="12952.5"/>
    <s v="Completed"/>
    <s v="Pune"/>
    <n v="0"/>
    <b v="1"/>
    <x v="5"/>
    <s v="Retail"/>
    <n v="42"/>
    <x v="2"/>
    <n v="1222"/>
  </r>
  <r>
    <s v="ORD-01976"/>
    <x v="112"/>
    <s v="CUST-0281"/>
    <s v="PROD-055"/>
    <x v="18"/>
    <n v="4"/>
    <n v="2860"/>
    <n v="15.2"/>
    <n v="9701.1200000000008"/>
    <s v="Completed"/>
    <s v="Bengaluru"/>
    <n v="0"/>
    <b v="1"/>
    <x v="1"/>
    <s v="Corporate"/>
    <n v="57"/>
    <x v="1"/>
    <n v="2028"/>
  </r>
  <r>
    <s v="ORD-01977"/>
    <x v="55"/>
    <s v="CUST-0174"/>
    <s v="PROD-053"/>
    <x v="8"/>
    <n v="3"/>
    <n v="470"/>
    <n v="14.2"/>
    <n v="1209.78"/>
    <s v="Completed"/>
    <s v="Pune"/>
    <n v="0"/>
    <b v="0"/>
    <x v="1"/>
    <s v="Retail"/>
    <n v="54"/>
    <x v="2"/>
    <n v="302"/>
  </r>
  <r>
    <s v="ORD-01978"/>
    <x v="277"/>
    <s v="CUST-0103"/>
    <s v="PROD-055"/>
    <x v="14"/>
    <n v="2"/>
    <n v="2860"/>
    <n v="17.899999999999999"/>
    <n v="4696.12"/>
    <s v="Completed"/>
    <s v="Hyderabad"/>
    <n v="0"/>
    <b v="1"/>
    <x v="1"/>
    <s v="Corporate"/>
    <n v="54"/>
    <x v="2"/>
    <n v="2028"/>
  </r>
  <r>
    <s v="ORD-01979"/>
    <x v="192"/>
    <s v="CUST-0076"/>
    <s v="PROD-019"/>
    <x v="26"/>
    <n v="2"/>
    <n v="2480"/>
    <n v="11.5"/>
    <n v="4389.6000000000004"/>
    <s v="Cancelled"/>
    <s v="Mumbai"/>
    <n v="0"/>
    <b v="1"/>
    <x v="0"/>
    <s v="Retail"/>
    <n v="38"/>
    <x v="3"/>
    <n v="1173"/>
  </r>
  <r>
    <s v="ORD-01980"/>
    <x v="208"/>
    <s v="CUST-0227"/>
    <s v="PROD-033"/>
    <x v="3"/>
    <n v="10"/>
    <n v="2030"/>
    <n v="29.2"/>
    <n v="14372.4"/>
    <s v="Completed"/>
    <s v="Bengaluru"/>
    <n v="0"/>
    <b v="1"/>
    <x v="3"/>
    <s v="SMB"/>
    <n v="44"/>
    <x v="0"/>
    <n v="1143"/>
  </r>
  <r>
    <s v="ORD-01981"/>
    <x v="135"/>
    <s v="CUST-0006"/>
    <s v="PROD-047"/>
    <x v="27"/>
    <n v="6"/>
    <n v="3450"/>
    <n v="3.5"/>
    <n v="19975.5"/>
    <s v="Refunded"/>
    <s v="Pune"/>
    <n v="0"/>
    <b v="1"/>
    <x v="5"/>
    <s v="SMB"/>
    <n v="44"/>
    <x v="1"/>
    <n v="2420"/>
  </r>
  <r>
    <s v="ORD-01982"/>
    <x v="320"/>
    <s v="CUST-0231"/>
    <s v="PROD-007"/>
    <x v="23"/>
    <n v="10"/>
    <n v="1430"/>
    <n v="3.5"/>
    <n v="13799.5"/>
    <s v="Completed"/>
    <s v="Chennai"/>
    <n v="0"/>
    <b v="1"/>
    <x v="4"/>
    <s v="Retail"/>
    <n v="61"/>
    <x v="1"/>
    <n v="861"/>
  </r>
  <r>
    <s v="ORD-01983"/>
    <x v="124"/>
    <s v="CUST-0085"/>
    <s v="PROD-020"/>
    <x v="21"/>
    <n v="1"/>
    <n v="820"/>
    <n v="14.5"/>
    <n v="701.1"/>
    <s v="Cancelled"/>
    <s v="Chennai"/>
    <n v="0"/>
    <b v="1"/>
    <x v="0"/>
    <s v="Retail"/>
    <n v="26"/>
    <x v="3"/>
    <n v="391"/>
  </r>
  <r>
    <s v="ORD-01984"/>
    <x v="144"/>
    <s v="CUST-0022"/>
    <s v="PROD-046"/>
    <x v="12"/>
    <n v="5"/>
    <n v="4880"/>
    <n v="1.8"/>
    <n v="23960.799999999999"/>
    <s v="Completed"/>
    <s v="Bengaluru"/>
    <n v="0"/>
    <b v="1"/>
    <x v="5"/>
    <s v="Corporate"/>
    <n v="55"/>
    <x v="3"/>
    <n v="2768"/>
  </r>
  <r>
    <s v="ORD-01985"/>
    <x v="217"/>
    <s v="CUST-0275"/>
    <s v="PROD-043"/>
    <x v="29"/>
    <n v="8"/>
    <n v="3350"/>
    <n v="26.3"/>
    <n v="19751.599999999999"/>
    <s v="Cancelled"/>
    <s v="Mumbai"/>
    <n v="0"/>
    <b v="1"/>
    <x v="5"/>
    <s v="Retail"/>
    <n v="36"/>
    <x v="1"/>
    <n v="1728"/>
  </r>
  <r>
    <s v="ORD-01986"/>
    <x v="129"/>
    <s v="CUST-0159"/>
    <s v="PROD-019"/>
    <x v="24"/>
    <n v="9"/>
    <n v="2480"/>
    <n v="24.3"/>
    <n v="16896.240000000002"/>
    <s v="Completed"/>
    <s v="Hyderabad"/>
    <n v="0"/>
    <b v="1"/>
    <x v="0"/>
    <s v="Retail"/>
    <n v="32"/>
    <x v="3"/>
    <n v="1173"/>
  </r>
  <r>
    <s v="ORD-01987"/>
    <x v="66"/>
    <s v="CUST-0152"/>
    <s v="PROD-039"/>
    <x v="6"/>
    <n v="9"/>
    <n v="4610"/>
    <n v="10"/>
    <n v="37341"/>
    <s v="Completed"/>
    <s v="Bengaluru"/>
    <n v="0"/>
    <b v="1"/>
    <x v="3"/>
    <s v="SMB"/>
    <n v="64"/>
    <x v="2"/>
    <n v="1850"/>
  </r>
  <r>
    <s v="ORD-01988"/>
    <x v="132"/>
    <s v="CUST-0289"/>
    <s v="PROD-027"/>
    <x v="10"/>
    <n v="1"/>
    <n v="3780"/>
    <n v="2.2000000000000002"/>
    <n v="3696.84"/>
    <s v="Completed"/>
    <s v="Mumbai"/>
    <n v="0"/>
    <b v="1"/>
    <x v="2"/>
    <s v="Retail"/>
    <n v="54"/>
    <x v="0"/>
    <n v="2436"/>
  </r>
  <r>
    <s v="ORD-01989"/>
    <x v="24"/>
    <s v="CUST-0004"/>
    <s v="PROD-045"/>
    <x v="17"/>
    <n v="3"/>
    <n v="3020"/>
    <n v="21.4"/>
    <n v="7121.16"/>
    <s v="Cancelled"/>
    <s v="Delhi"/>
    <n v="0"/>
    <b v="1"/>
    <x v="5"/>
    <s v="Retail"/>
    <n v="53"/>
    <x v="2"/>
    <n v="1626"/>
  </r>
  <r>
    <s v="ORD-01990"/>
    <x v="218"/>
    <s v="CUST-0159"/>
    <s v="PROD-035"/>
    <x v="3"/>
    <n v="10"/>
    <n v="1090"/>
    <n v="29.2"/>
    <n v="7717.2"/>
    <s v="Cancelled"/>
    <s v="Hyderabad"/>
    <n v="0"/>
    <b v="1"/>
    <x v="3"/>
    <s v="Retail"/>
    <n v="32"/>
    <x v="0"/>
    <n v="464"/>
  </r>
  <r>
    <s v="ORD-01991"/>
    <x v="48"/>
    <s v="CUST-0083"/>
    <s v="PROD-048"/>
    <x v="22"/>
    <n v="5"/>
    <n v="5100"/>
    <n v="28.4"/>
    <n v="18258"/>
    <s v="Completed"/>
    <s v="Bengaluru"/>
    <n v="0"/>
    <b v="1"/>
    <x v="5"/>
    <s v="Corporate"/>
    <n v="31"/>
    <x v="1"/>
    <n v="2237"/>
  </r>
  <r>
    <s v="ORD-01992"/>
    <x v="279"/>
    <s v="CUST-0242"/>
    <s v="PROD-046"/>
    <x v="4"/>
    <n v="6"/>
    <n v="4880"/>
    <n v="16.8"/>
    <n v="24360.959999999999"/>
    <s v="Completed"/>
    <s v="Chennai"/>
    <n v="0"/>
    <b v="1"/>
    <x v="5"/>
    <s v="SMB"/>
    <n v="59"/>
    <x v="0"/>
    <n v="2768"/>
  </r>
  <r>
    <s v="ORD-01993"/>
    <x v="310"/>
    <s v="CUST-0245"/>
    <s v="PROD-001"/>
    <x v="28"/>
    <n v="1"/>
    <n v="5330"/>
    <n v="27.5"/>
    <n v="3864.25"/>
    <s v="Completed"/>
    <s v="Hyderabad"/>
    <n v="0"/>
    <b v="1"/>
    <x v="4"/>
    <s v="Retail"/>
    <n v="65"/>
    <x v="2"/>
    <n v="2405"/>
  </r>
  <r>
    <s v="ORD-01994"/>
    <x v="302"/>
    <s v="CUST-0008"/>
    <s v="PROD-033"/>
    <x v="20"/>
    <n v="7"/>
    <n v="2030"/>
    <n v="5.3"/>
    <n v="13456.87"/>
    <s v="Cancelled"/>
    <s v="Pune"/>
    <n v="0"/>
    <b v="1"/>
    <x v="3"/>
    <s v="SMB"/>
    <n v="39"/>
    <x v="2"/>
    <n v="1143"/>
  </r>
  <r>
    <s v="ORD-01995"/>
    <x v="107"/>
    <s v="CUST-0260"/>
    <s v="PROD-043"/>
    <x v="6"/>
    <n v="7"/>
    <n v="3350"/>
    <n v="0.4"/>
    <n v="23356.2"/>
    <s v="Completed"/>
    <s v="Bengaluru"/>
    <n v="0"/>
    <b v="1"/>
    <x v="5"/>
    <s v="Retail"/>
    <n v="42"/>
    <x v="2"/>
    <n v="1728"/>
  </r>
  <r>
    <s v="ORD-01996"/>
    <x v="346"/>
    <s v="CUST-0265"/>
    <s v="PROD-031"/>
    <x v="15"/>
    <n v="6"/>
    <n v="3730"/>
    <n v="13.8"/>
    <n v="19291.560000000001"/>
    <s v="Completed"/>
    <s v="Chennai"/>
    <n v="0"/>
    <b v="1"/>
    <x v="3"/>
    <s v="Retail"/>
    <n v="49"/>
    <x v="1"/>
    <n v="2135"/>
  </r>
  <r>
    <s v="ORD-01997"/>
    <x v="65"/>
    <s v="CUST-0135"/>
    <s v="PROD-006"/>
    <x v="21"/>
    <n v="6"/>
    <n v="3970"/>
    <n v="5.8"/>
    <n v="22438.44"/>
    <s v="Pending"/>
    <s v="Pune"/>
    <n v="0"/>
    <b v="1"/>
    <x v="4"/>
    <s v="SMB"/>
    <n v="24"/>
    <x v="3"/>
    <n v="2865"/>
  </r>
  <r>
    <s v="ORD-01998"/>
    <x v="95"/>
    <s v="CUST-0030"/>
    <s v="PROD-029"/>
    <x v="23"/>
    <n v="4"/>
    <n v="2210"/>
    <n v="18.2"/>
    <n v="7231.12"/>
    <s v="Pending"/>
    <s v="Bengaluru"/>
    <n v="0"/>
    <b v="1"/>
    <x v="2"/>
    <s v="Corporate"/>
    <n v="43"/>
    <x v="1"/>
    <n v="1010"/>
  </r>
  <r>
    <s v="ORD-01999"/>
    <x v="43"/>
    <s v="CUST-0167"/>
    <s v="PROD-052"/>
    <x v="4"/>
    <n v="6"/>
    <n v="5410"/>
    <n v="15.5"/>
    <n v="27428.7"/>
    <s v="Completed"/>
    <s v="Delhi"/>
    <n v="0"/>
    <b v="1"/>
    <x v="1"/>
    <s v="Retail"/>
    <n v="43"/>
    <x v="0"/>
    <n v="2265"/>
  </r>
  <r>
    <s v="ORD-02000"/>
    <x v="354"/>
    <s v="CUST-0238"/>
    <s v="PROD-034"/>
    <x v="12"/>
    <n v="6"/>
    <n v="5080"/>
    <n v="28.1"/>
    <n v="21915.119999999999"/>
    <s v="Completed"/>
    <s v="Delhi"/>
    <n v="0"/>
    <b v="1"/>
    <x v="3"/>
    <s v="Retail"/>
    <n v="49"/>
    <x v="3"/>
    <n v="245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3B56EB-CEE1-4E25-B051-1D6FEF1EA183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F17" firstHeaderRow="1" firstDataRow="2" firstDataCol="1"/>
  <pivotFields count="19">
    <pivotField showAll="0"/>
    <pivotField numFmtId="164" showAll="0">
      <items count="366">
        <item x="346"/>
        <item x="174"/>
        <item x="137"/>
        <item x="146"/>
        <item x="197"/>
        <item x="92"/>
        <item x="129"/>
        <item x="193"/>
        <item x="212"/>
        <item x="114"/>
        <item x="272"/>
        <item x="291"/>
        <item x="300"/>
        <item x="359"/>
        <item x="141"/>
        <item x="246"/>
        <item x="231"/>
        <item x="119"/>
        <item x="202"/>
        <item x="288"/>
        <item x="42"/>
        <item x="343"/>
        <item x="203"/>
        <item x="162"/>
        <item x="309"/>
        <item x="58"/>
        <item x="125"/>
        <item x="158"/>
        <item x="153"/>
        <item x="188"/>
        <item x="94"/>
        <item x="46"/>
        <item x="258"/>
        <item x="354"/>
        <item x="179"/>
        <item x="322"/>
        <item x="60"/>
        <item x="90"/>
        <item x="259"/>
        <item x="238"/>
        <item x="10"/>
        <item x="144"/>
        <item x="323"/>
        <item x="164"/>
        <item x="260"/>
        <item x="186"/>
        <item x="200"/>
        <item x="220"/>
        <item x="1"/>
        <item x="123"/>
        <item x="305"/>
        <item x="30"/>
        <item x="112"/>
        <item x="138"/>
        <item x="63"/>
        <item x="324"/>
        <item x="333"/>
        <item x="134"/>
        <item x="154"/>
        <item x="116"/>
        <item x="279"/>
        <item x="177"/>
        <item x="20"/>
        <item x="36"/>
        <item x="320"/>
        <item x="298"/>
        <item x="243"/>
        <item x="353"/>
        <item x="107"/>
        <item x="268"/>
        <item x="331"/>
        <item x="26"/>
        <item x="234"/>
        <item x="13"/>
        <item x="250"/>
        <item x="27"/>
        <item x="213"/>
        <item x="264"/>
        <item x="43"/>
        <item x="2"/>
        <item x="332"/>
        <item x="41"/>
        <item x="163"/>
        <item x="67"/>
        <item x="351"/>
        <item x="312"/>
        <item x="239"/>
        <item x="229"/>
        <item x="82"/>
        <item x="257"/>
        <item x="143"/>
        <item x="266"/>
        <item x="360"/>
        <item x="217"/>
        <item x="194"/>
        <item x="244"/>
        <item x="321"/>
        <item x="44"/>
        <item x="69"/>
        <item x="139"/>
        <item x="40"/>
        <item x="274"/>
        <item x="18"/>
        <item x="183"/>
        <item x="8"/>
        <item x="245"/>
        <item x="62"/>
        <item x="342"/>
        <item x="169"/>
        <item x="24"/>
        <item x="73"/>
        <item x="210"/>
        <item x="280"/>
        <item x="171"/>
        <item x="5"/>
        <item x="192"/>
        <item x="199"/>
        <item x="132"/>
        <item x="306"/>
        <item x="91"/>
        <item x="249"/>
        <item x="3"/>
        <item x="85"/>
        <item x="209"/>
        <item x="104"/>
        <item x="53"/>
        <item x="196"/>
        <item x="140"/>
        <item x="103"/>
        <item x="292"/>
        <item x="124"/>
        <item x="318"/>
        <item x="75"/>
        <item x="54"/>
        <item x="87"/>
        <item x="273"/>
        <item x="49"/>
        <item x="335"/>
        <item x="195"/>
        <item x="313"/>
        <item x="39"/>
        <item x="301"/>
        <item x="224"/>
        <item x="347"/>
        <item x="295"/>
        <item x="352"/>
        <item x="334"/>
        <item x="96"/>
        <item x="242"/>
        <item x="236"/>
        <item x="33"/>
        <item x="68"/>
        <item x="328"/>
        <item x="338"/>
        <item x="225"/>
        <item x="130"/>
        <item x="120"/>
        <item x="121"/>
        <item x="216"/>
        <item x="310"/>
        <item x="358"/>
        <item x="99"/>
        <item x="253"/>
        <item x="6"/>
        <item x="145"/>
        <item x="136"/>
        <item x="86"/>
        <item x="61"/>
        <item x="151"/>
        <item x="76"/>
        <item x="32"/>
        <item x="113"/>
        <item x="364"/>
        <item x="57"/>
        <item x="12"/>
        <item x="299"/>
        <item x="290"/>
        <item x="277"/>
        <item x="19"/>
        <item x="314"/>
        <item x="22"/>
        <item x="339"/>
        <item x="267"/>
        <item x="206"/>
        <item x="233"/>
        <item x="302"/>
        <item x="35"/>
        <item x="319"/>
        <item x="178"/>
        <item x="214"/>
        <item x="337"/>
        <item x="64"/>
        <item x="285"/>
        <item x="270"/>
        <item x="97"/>
        <item x="173"/>
        <item x="56"/>
        <item x="135"/>
        <item x="156"/>
        <item x="304"/>
        <item x="155"/>
        <item x="293"/>
        <item x="315"/>
        <item x="185"/>
        <item x="263"/>
        <item x="255"/>
        <item x="71"/>
        <item x="59"/>
        <item x="66"/>
        <item x="350"/>
        <item x="349"/>
        <item x="240"/>
        <item x="172"/>
        <item x="265"/>
        <item x="47"/>
        <item x="11"/>
        <item x="118"/>
        <item x="89"/>
        <item x="256"/>
        <item x="187"/>
        <item x="15"/>
        <item x="191"/>
        <item x="282"/>
        <item x="50"/>
        <item x="340"/>
        <item x="25"/>
        <item x="79"/>
        <item x="281"/>
        <item x="226"/>
        <item x="126"/>
        <item x="190"/>
        <item x="271"/>
        <item x="111"/>
        <item x="283"/>
        <item x="357"/>
        <item x="159"/>
        <item x="72"/>
        <item x="201"/>
        <item x="21"/>
        <item x="101"/>
        <item x="147"/>
        <item x="80"/>
        <item x="166"/>
        <item x="275"/>
        <item x="355"/>
        <item x="205"/>
        <item x="152"/>
        <item x="149"/>
        <item x="326"/>
        <item x="110"/>
        <item x="176"/>
        <item x="363"/>
        <item x="227"/>
        <item x="182"/>
        <item x="14"/>
        <item x="74"/>
        <item x="289"/>
        <item x="0"/>
        <item x="269"/>
        <item x="317"/>
        <item x="278"/>
        <item x="223"/>
        <item x="211"/>
        <item x="122"/>
        <item x="361"/>
        <item x="88"/>
        <item x="307"/>
        <item x="115"/>
        <item x="9"/>
        <item x="230"/>
        <item x="254"/>
        <item x="232"/>
        <item x="148"/>
        <item x="45"/>
        <item x="286"/>
        <item x="237"/>
        <item x="296"/>
        <item x="28"/>
        <item x="23"/>
        <item x="297"/>
        <item x="160"/>
        <item x="52"/>
        <item x="308"/>
        <item x="189"/>
        <item x="31"/>
        <item x="251"/>
        <item x="344"/>
        <item x="133"/>
        <item x="228"/>
        <item x="248"/>
        <item x="329"/>
        <item x="336"/>
        <item x="241"/>
        <item x="65"/>
        <item x="261"/>
        <item x="78"/>
        <item x="276"/>
        <item x="55"/>
        <item x="222"/>
        <item x="157"/>
        <item x="95"/>
        <item x="106"/>
        <item x="345"/>
        <item x="127"/>
        <item x="102"/>
        <item x="100"/>
        <item x="311"/>
        <item x="37"/>
        <item x="77"/>
        <item x="131"/>
        <item x="341"/>
        <item x="348"/>
        <item x="117"/>
        <item x="150"/>
        <item x="38"/>
        <item x="84"/>
        <item x="170"/>
        <item x="303"/>
        <item x="294"/>
        <item x="4"/>
        <item x="109"/>
        <item x="284"/>
        <item x="105"/>
        <item x="70"/>
        <item x="48"/>
        <item x="7"/>
        <item x="221"/>
        <item x="204"/>
        <item x="247"/>
        <item x="356"/>
        <item x="81"/>
        <item x="235"/>
        <item x="207"/>
        <item x="327"/>
        <item x="17"/>
        <item x="180"/>
        <item x="108"/>
        <item x="98"/>
        <item x="316"/>
        <item x="252"/>
        <item x="215"/>
        <item x="142"/>
        <item x="287"/>
        <item x="208"/>
        <item x="184"/>
        <item x="161"/>
        <item x="198"/>
        <item x="167"/>
        <item x="93"/>
        <item x="29"/>
        <item x="362"/>
        <item x="175"/>
        <item x="128"/>
        <item x="218"/>
        <item x="34"/>
        <item x="262"/>
        <item x="83"/>
        <item x="51"/>
        <item x="181"/>
        <item x="330"/>
        <item x="325"/>
        <item x="168"/>
        <item x="16"/>
        <item x="219"/>
        <item x="165"/>
        <item t="default"/>
      </items>
    </pivotField>
    <pivotField showAll="0"/>
    <pivotField showAll="0"/>
    <pivotField axis="axisCol" showAll="0">
      <items count="31">
        <item x="19"/>
        <item x="25"/>
        <item x="11"/>
        <item x="10"/>
        <item x="1"/>
        <item x="3"/>
        <item x="0"/>
        <item x="4"/>
        <item x="18"/>
        <item x="9"/>
        <item x="23"/>
        <item x="27"/>
        <item x="22"/>
        <item x="2"/>
        <item x="15"/>
        <item x="29"/>
        <item x="21"/>
        <item x="26"/>
        <item x="7"/>
        <item x="16"/>
        <item x="13"/>
        <item x="24"/>
        <item x="12"/>
        <item x="6"/>
        <item x="5"/>
        <item x="17"/>
        <item x="28"/>
        <item x="8"/>
        <item x="20"/>
        <item x="1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7">
        <item x="0"/>
        <item x="5"/>
        <item x="4"/>
        <item x="2"/>
        <item x="3"/>
        <item x="1"/>
        <item t="default"/>
      </items>
    </pivotField>
    <pivotField showAll="0"/>
    <pivotField showAll="0"/>
    <pivotField showAll="0">
      <items count="5">
        <item x="3"/>
        <item x="0"/>
        <item x="1"/>
        <item x="2"/>
        <item t="default"/>
      </items>
    </pivotField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4"/>
  </colFields>
  <col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colItems>
  <dataFields count="1">
    <dataField name="Sum of final_am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341C45-0C07-4E5C-B5C0-C8919DCA6894}" name="Table1" displayName="Table1" ref="A3:R495" totalsRowShown="0">
  <autoFilter ref="A3:R495" xr:uid="{47341C45-0C07-4E5C-B5C0-C8919DCA6894}"/>
  <tableColumns count="18">
    <tableColumn id="1" xr3:uid="{330D0D3B-CF54-4B9C-875A-D72D88587759}" name="order_id"/>
    <tableColumn id="2" xr3:uid="{9884C281-B0CF-4A39-B481-7035178E1512}" name="order_date" dataDxfId="1"/>
    <tableColumn id="3" xr3:uid="{370E5ACC-C10E-4B46-94F5-A2B8FCB57606}" name="customer_id"/>
    <tableColumn id="4" xr3:uid="{730FD2AB-E959-4479-9362-D97CAE4DF4E6}" name="product_id"/>
    <tableColumn id="5" xr3:uid="{37C138E6-9A10-4D17-B923-C8F7316C96F4}" name="sales_rep_id"/>
    <tableColumn id="6" xr3:uid="{1908DEA5-4D9D-4AE3-A860-01DA6C798BF9}" name="quantity"/>
    <tableColumn id="7" xr3:uid="{95B8C2C9-A4E9-4E88-BDA5-9F8778AE1E6E}" name="unit_price"/>
    <tableColumn id="8" xr3:uid="{4B2002A4-0AB9-411F-86F0-A5C3C6987796}" name="discount_pct"/>
    <tableColumn id="9" xr3:uid="{1DD52B4F-14B0-409E-9D75-F7586EF56784}" name="final_amount"/>
    <tableColumn id="10" xr3:uid="{4AE61CD9-7E74-4153-9948-75F3E15C0D74}" name="payment_status"/>
    <tableColumn id="11" xr3:uid="{278E5788-5B62-4166-A3BF-6E37A0A04A51}" name="ship_city"/>
    <tableColumn id="12" xr3:uid="{EAC2D8A6-2710-4AAA-AC33-0D9D66384C6C}" name="dup_flag"/>
    <tableColumn id="13" xr3:uid="{49F98FF4-D3A4-4CD1-905B-DFD18143A8CC}" name="is_active"/>
    <tableColumn id="14" xr3:uid="{F763C8F0-6997-4FBC-A7D1-9AB3DC523A44}" name="category"/>
    <tableColumn id="15" xr3:uid="{B8BCF865-759C-405C-BB2D-5EED54E64D16}" name="segment"/>
    <tableColumn id="16" xr3:uid="{15791F7B-6BCF-4DB5-AA6C-6731A82D6D17}" name="age"/>
    <tableColumn id="17" xr3:uid="{DC545D8C-1ECB-4D02-9E2E-3AAE4F394A0D}" name="region"/>
    <tableColumn id="18" xr3:uid="{F2438569-842C-4D25-8905-E0743D3B316D}" name="unit_cos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3C788A-F8DB-4EB0-9889-D6AB9D423B1C}" name="Table2" displayName="Table2" ref="A3:R495" totalsRowShown="0">
  <autoFilter ref="A3:R495" xr:uid="{513C788A-F8DB-4EB0-9889-D6AB9D423B1C}"/>
  <tableColumns count="18">
    <tableColumn id="1" xr3:uid="{CD7D692B-3F53-4146-AE0D-C70ACAB8DFA3}" name="order_id"/>
    <tableColumn id="2" xr3:uid="{2E8CFBB8-8C0C-42A6-844A-B9ABA1F35078}" name="order_date" dataDxfId="0"/>
    <tableColumn id="3" xr3:uid="{D700306C-E0C5-4806-9356-CF3EC0FF741D}" name="customer_id"/>
    <tableColumn id="4" xr3:uid="{7B182849-5C53-43AD-BFBA-6D5F59A4F1B4}" name="product_id"/>
    <tableColumn id="5" xr3:uid="{99CD40B2-D851-43A8-B246-B274BD9E6416}" name="sales_rep_id"/>
    <tableColumn id="6" xr3:uid="{46D44FB8-6C69-41ED-8827-A2DB0B4FDAC2}" name="quantity"/>
    <tableColumn id="7" xr3:uid="{AE1ED95E-A9AC-4645-B9BE-5322D048FABA}" name="unit_price"/>
    <tableColumn id="8" xr3:uid="{58CB8B94-AF4B-4938-AC2D-6CACFE37227E}" name="discount_pct"/>
    <tableColumn id="9" xr3:uid="{26437828-19BF-4083-9FDD-905D7C5A77E5}" name="final_amount"/>
    <tableColumn id="10" xr3:uid="{DA976346-4BCA-45ED-BFEE-95A64056D6DD}" name="payment_status"/>
    <tableColumn id="11" xr3:uid="{5FA811F1-A560-40D3-97D4-B5A4D3C570BC}" name="ship_city"/>
    <tableColumn id="12" xr3:uid="{20FFCBAF-EBE8-4085-AB3C-41B524BF1246}" name="dup_flag"/>
    <tableColumn id="13" xr3:uid="{F4D9EE0F-0D78-49D4-8F50-9295047FF4FB}" name="is_active"/>
    <tableColumn id="14" xr3:uid="{E44B4BC1-8605-4DD2-B3CD-4DAA4E6DAD51}" name="category"/>
    <tableColumn id="15" xr3:uid="{251AB078-288E-4E47-9A69-D70FF46A481B}" name="segment"/>
    <tableColumn id="16" xr3:uid="{279630DE-3C3E-41D4-8438-1AD32A6893B4}" name="age"/>
    <tableColumn id="17" xr3:uid="{10A90C80-473E-4EAD-B30B-99807F920750}" name="region"/>
    <tableColumn id="18" xr3:uid="{EF7E0337-9AD7-49AD-B262-607BFF2DE53F}" name="unit_cos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7"/>
  <sheetViews>
    <sheetView topLeftCell="A10" workbookViewId="0">
      <selection activeCell="G24" sqref="G24"/>
    </sheetView>
  </sheetViews>
  <sheetFormatPr defaultRowHeight="14.4" x14ac:dyDescent="0.3"/>
  <cols>
    <col min="1" max="1" width="14" customWidth="1"/>
    <col min="2" max="2" width="26" customWidth="1"/>
    <col min="3" max="3" width="42" customWidth="1"/>
    <col min="4" max="4" width="30" customWidth="1"/>
    <col min="5" max="8" width="15" customWidth="1"/>
  </cols>
  <sheetData>
    <row r="1" spans="1:8" ht="21" x14ac:dyDescent="0.4">
      <c r="A1" s="1" t="s">
        <v>3004</v>
      </c>
    </row>
    <row r="2" spans="1:8" ht="16.8" x14ac:dyDescent="0.3">
      <c r="A2" s="2" t="s">
        <v>3005</v>
      </c>
    </row>
    <row r="3" spans="1:8" x14ac:dyDescent="0.3">
      <c r="A3" s="3" t="s">
        <v>3006</v>
      </c>
    </row>
    <row r="5" spans="1:8" ht="15.6" x14ac:dyDescent="0.3">
      <c r="A5" s="35" t="s">
        <v>0</v>
      </c>
      <c r="B5" s="34"/>
      <c r="C5" s="34"/>
      <c r="D5" s="34"/>
      <c r="E5" s="34"/>
      <c r="F5" s="34"/>
    </row>
    <row r="6" spans="1:8" x14ac:dyDescent="0.3">
      <c r="A6" s="33" t="s">
        <v>1</v>
      </c>
      <c r="B6" s="34"/>
      <c r="C6" s="34"/>
      <c r="D6" s="34"/>
      <c r="E6" s="34"/>
      <c r="F6" s="34"/>
      <c r="G6" s="34"/>
      <c r="H6" s="34"/>
    </row>
    <row r="7" spans="1:8" x14ac:dyDescent="0.3">
      <c r="A7" s="33" t="s">
        <v>3007</v>
      </c>
      <c r="B7" s="34"/>
      <c r="C7" s="34"/>
      <c r="D7" s="34"/>
      <c r="E7" s="34"/>
      <c r="F7" s="34"/>
      <c r="G7" s="34"/>
      <c r="H7" s="34"/>
    </row>
    <row r="8" spans="1:8" x14ac:dyDescent="0.3">
      <c r="A8" s="33" t="s">
        <v>2</v>
      </c>
      <c r="B8" s="34"/>
      <c r="C8" s="34"/>
      <c r="D8" s="34"/>
      <c r="E8" s="34"/>
      <c r="F8" s="34"/>
      <c r="G8" s="34"/>
      <c r="H8" s="34"/>
    </row>
    <row r="9" spans="1:8" x14ac:dyDescent="0.3">
      <c r="A9" s="33"/>
      <c r="B9" s="34"/>
      <c r="C9" s="34"/>
      <c r="D9" s="34"/>
      <c r="E9" s="34"/>
      <c r="F9" s="34"/>
      <c r="G9" s="34"/>
      <c r="H9" s="34"/>
    </row>
    <row r="10" spans="1:8" x14ac:dyDescent="0.3">
      <c r="A10" s="33" t="s">
        <v>3</v>
      </c>
      <c r="B10" s="34"/>
      <c r="C10" s="34"/>
      <c r="D10" s="34"/>
      <c r="E10" s="34"/>
      <c r="F10" s="34"/>
      <c r="G10" s="34"/>
      <c r="H10" s="34"/>
    </row>
    <row r="11" spans="1:8" x14ac:dyDescent="0.3">
      <c r="A11" s="33" t="s">
        <v>3008</v>
      </c>
      <c r="B11" s="34"/>
      <c r="C11" s="34"/>
      <c r="D11" s="34"/>
      <c r="E11" s="34"/>
      <c r="F11" s="34"/>
      <c r="G11" s="34"/>
      <c r="H11" s="34"/>
    </row>
    <row r="12" spans="1:8" x14ac:dyDescent="0.3">
      <c r="A12" s="33" t="s">
        <v>4</v>
      </c>
      <c r="B12" s="34"/>
      <c r="C12" s="34"/>
      <c r="D12" s="34"/>
      <c r="E12" s="34"/>
      <c r="F12" s="34"/>
      <c r="G12" s="34"/>
      <c r="H12" s="34"/>
    </row>
    <row r="14" spans="1:8" ht="15.6" x14ac:dyDescent="0.3">
      <c r="A14" s="4" t="s">
        <v>5</v>
      </c>
    </row>
    <row r="15" spans="1:8" x14ac:dyDescent="0.3">
      <c r="A15" s="33" t="s">
        <v>6</v>
      </c>
      <c r="B15" s="34"/>
      <c r="C15" s="34"/>
      <c r="D15" s="34"/>
      <c r="E15" s="34"/>
      <c r="F15" s="34"/>
      <c r="G15" s="34"/>
      <c r="H15" s="34"/>
    </row>
    <row r="16" spans="1:8" x14ac:dyDescent="0.3">
      <c r="A16" s="33" t="s">
        <v>7</v>
      </c>
      <c r="B16" s="34"/>
      <c r="C16" s="34"/>
      <c r="D16" s="34"/>
      <c r="E16" s="34"/>
      <c r="F16" s="34"/>
      <c r="G16" s="34"/>
      <c r="H16" s="34"/>
    </row>
    <row r="17" spans="1:8" x14ac:dyDescent="0.3">
      <c r="A17" s="33" t="s">
        <v>8</v>
      </c>
      <c r="B17" s="34"/>
      <c r="C17" s="34"/>
      <c r="D17" s="34"/>
      <c r="E17" s="34"/>
      <c r="F17" s="34"/>
      <c r="G17" s="34"/>
      <c r="H17" s="34"/>
    </row>
    <row r="18" spans="1:8" x14ac:dyDescent="0.3">
      <c r="A18" s="33" t="s">
        <v>3009</v>
      </c>
      <c r="B18" s="34"/>
      <c r="C18" s="34"/>
      <c r="D18" s="34"/>
      <c r="E18" s="34"/>
      <c r="F18" s="34"/>
      <c r="G18" s="34"/>
      <c r="H18" s="34"/>
    </row>
    <row r="19" spans="1:8" x14ac:dyDescent="0.3">
      <c r="A19" s="33" t="s">
        <v>9</v>
      </c>
      <c r="B19" s="34"/>
      <c r="C19" s="34"/>
      <c r="D19" s="34"/>
      <c r="E19" s="34"/>
      <c r="F19" s="34"/>
      <c r="G19" s="34"/>
      <c r="H19" s="34"/>
    </row>
    <row r="20" spans="1:8" x14ac:dyDescent="0.3">
      <c r="A20" s="33" t="s">
        <v>3010</v>
      </c>
      <c r="B20" s="34"/>
      <c r="C20" s="34"/>
      <c r="D20" s="34"/>
      <c r="E20" s="34"/>
      <c r="F20" s="34"/>
      <c r="G20" s="34"/>
      <c r="H20" s="34"/>
    </row>
    <row r="22" spans="1:8" ht="15.6" x14ac:dyDescent="0.3">
      <c r="A22" s="4" t="s">
        <v>10</v>
      </c>
    </row>
    <row r="23" spans="1:8" x14ac:dyDescent="0.3">
      <c r="A23" s="5" t="s">
        <v>11</v>
      </c>
      <c r="B23" s="6" t="s">
        <v>12</v>
      </c>
      <c r="C23" s="5" t="s">
        <v>13</v>
      </c>
      <c r="D23" s="5" t="s">
        <v>14</v>
      </c>
    </row>
    <row r="24" spans="1:8" x14ac:dyDescent="0.3">
      <c r="A24" s="7" t="s">
        <v>15</v>
      </c>
      <c r="B24" s="8" t="s">
        <v>16</v>
      </c>
      <c r="C24" s="7" t="s">
        <v>17</v>
      </c>
      <c r="D24" s="7" t="s">
        <v>18</v>
      </c>
    </row>
    <row r="25" spans="1:8" x14ac:dyDescent="0.3">
      <c r="A25" s="7" t="s">
        <v>19</v>
      </c>
      <c r="B25" s="8" t="s">
        <v>20</v>
      </c>
      <c r="C25" s="7" t="s">
        <v>21</v>
      </c>
      <c r="D25" s="7" t="s">
        <v>22</v>
      </c>
    </row>
    <row r="26" spans="1:8" x14ac:dyDescent="0.3">
      <c r="A26" s="7" t="s">
        <v>23</v>
      </c>
      <c r="B26" s="8" t="s">
        <v>24</v>
      </c>
      <c r="C26" s="7" t="s">
        <v>21</v>
      </c>
      <c r="D26" s="7" t="s">
        <v>18</v>
      </c>
    </row>
    <row r="27" spans="1:8" x14ac:dyDescent="0.3">
      <c r="A27" s="7" t="s">
        <v>25</v>
      </c>
      <c r="B27" s="8" t="s">
        <v>26</v>
      </c>
      <c r="C27" s="7" t="s">
        <v>27</v>
      </c>
      <c r="D27" s="7" t="s">
        <v>22</v>
      </c>
    </row>
    <row r="28" spans="1:8" x14ac:dyDescent="0.3">
      <c r="A28" s="7" t="s">
        <v>28</v>
      </c>
      <c r="B28" s="8" t="s">
        <v>29</v>
      </c>
      <c r="C28" s="7" t="s">
        <v>27</v>
      </c>
      <c r="D28" s="7" t="s">
        <v>30</v>
      </c>
    </row>
    <row r="29" spans="1:8" x14ac:dyDescent="0.3">
      <c r="A29" s="9"/>
      <c r="B29" s="10" t="s">
        <v>31</v>
      </c>
      <c r="C29" s="9" t="s">
        <v>32</v>
      </c>
      <c r="D29" s="9" t="s">
        <v>33</v>
      </c>
    </row>
    <row r="32" spans="1:8" ht="15.6" x14ac:dyDescent="0.3">
      <c r="A32" s="4" t="s">
        <v>34</v>
      </c>
    </row>
    <row r="33" spans="1:4" x14ac:dyDescent="0.3">
      <c r="A33" s="5" t="s">
        <v>14</v>
      </c>
      <c r="B33" s="5" t="s">
        <v>35</v>
      </c>
      <c r="C33" s="6" t="s">
        <v>36</v>
      </c>
    </row>
    <row r="34" spans="1:4" x14ac:dyDescent="0.3">
      <c r="A34" s="7" t="s">
        <v>37</v>
      </c>
      <c r="B34" s="7" t="s">
        <v>38</v>
      </c>
      <c r="C34" s="8" t="s">
        <v>3011</v>
      </c>
    </row>
    <row r="35" spans="1:4" x14ac:dyDescent="0.3">
      <c r="A35" s="7" t="s">
        <v>39</v>
      </c>
      <c r="B35" s="7" t="s">
        <v>40</v>
      </c>
      <c r="C35" s="8" t="s">
        <v>41</v>
      </c>
    </row>
    <row r="36" spans="1:4" x14ac:dyDescent="0.3">
      <c r="A36" s="7" t="s">
        <v>42</v>
      </c>
      <c r="B36" s="7" t="s">
        <v>43</v>
      </c>
      <c r="C36" s="8" t="s">
        <v>3012</v>
      </c>
    </row>
    <row r="37" spans="1:4" x14ac:dyDescent="0.3">
      <c r="A37" s="7" t="s">
        <v>44</v>
      </c>
      <c r="B37" s="7" t="s">
        <v>45</v>
      </c>
      <c r="C37" s="8" t="s">
        <v>3013</v>
      </c>
    </row>
    <row r="38" spans="1:4" x14ac:dyDescent="0.3">
      <c r="A38" s="7" t="s">
        <v>46</v>
      </c>
      <c r="B38" s="7" t="s">
        <v>47</v>
      </c>
      <c r="C38" s="8" t="s">
        <v>3014</v>
      </c>
    </row>
    <row r="41" spans="1:4" ht="15.6" x14ac:dyDescent="0.3">
      <c r="A41" s="4" t="s">
        <v>48</v>
      </c>
    </row>
    <row r="42" spans="1:4" x14ac:dyDescent="0.3">
      <c r="A42" s="11" t="s">
        <v>49</v>
      </c>
      <c r="B42" s="11" t="s">
        <v>50</v>
      </c>
      <c r="C42" s="11" t="s">
        <v>51</v>
      </c>
      <c r="D42" s="11" t="s">
        <v>52</v>
      </c>
    </row>
    <row r="43" spans="1:4" ht="39.6" x14ac:dyDescent="0.3">
      <c r="A43" s="12" t="s">
        <v>53</v>
      </c>
      <c r="B43" s="12" t="s">
        <v>54</v>
      </c>
      <c r="C43" s="12" t="s">
        <v>55</v>
      </c>
      <c r="D43" s="12" t="s">
        <v>56</v>
      </c>
    </row>
    <row r="44" spans="1:4" ht="26.4" x14ac:dyDescent="0.3">
      <c r="A44" s="12" t="s">
        <v>57</v>
      </c>
      <c r="B44" s="12" t="s">
        <v>58</v>
      </c>
      <c r="C44" s="12" t="s">
        <v>59</v>
      </c>
      <c r="D44" s="12" t="s">
        <v>60</v>
      </c>
    </row>
    <row r="45" spans="1:4" ht="26.4" x14ac:dyDescent="0.3">
      <c r="A45" s="12" t="s">
        <v>61</v>
      </c>
      <c r="B45" s="12" t="s">
        <v>62</v>
      </c>
      <c r="C45" s="12" t="s">
        <v>63</v>
      </c>
      <c r="D45" s="12" t="s">
        <v>64</v>
      </c>
    </row>
    <row r="46" spans="1:4" ht="26.4" x14ac:dyDescent="0.3">
      <c r="A46" s="12" t="s">
        <v>65</v>
      </c>
      <c r="B46" s="12" t="s">
        <v>32</v>
      </c>
      <c r="C46" s="12" t="s">
        <v>66</v>
      </c>
      <c r="D46" s="12" t="s">
        <v>67</v>
      </c>
    </row>
    <row r="47" spans="1:4" ht="26.4" x14ac:dyDescent="0.3">
      <c r="A47" s="12" t="s">
        <v>68</v>
      </c>
      <c r="B47" s="12" t="s">
        <v>69</v>
      </c>
      <c r="C47" s="12" t="s">
        <v>70</v>
      </c>
      <c r="D47" s="12" t="s">
        <v>71</v>
      </c>
    </row>
  </sheetData>
  <mergeCells count="14">
    <mergeCell ref="A20:H20"/>
    <mergeCell ref="A5:F5"/>
    <mergeCell ref="A16:H16"/>
    <mergeCell ref="A10:H10"/>
    <mergeCell ref="A19:H19"/>
    <mergeCell ref="A11:H11"/>
    <mergeCell ref="A8:H8"/>
    <mergeCell ref="A6:H6"/>
    <mergeCell ref="A17:H17"/>
    <mergeCell ref="A9:H9"/>
    <mergeCell ref="A12:H12"/>
    <mergeCell ref="A18:H18"/>
    <mergeCell ref="A15:H15"/>
    <mergeCell ref="A7:H7"/>
  </mergeCells>
  <pageMargins left="0.5" right="0.5" top="0.5" bottom="0.5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CE2E8-01C9-423C-9AA8-94129C262046}">
  <dimension ref="A1:R495"/>
  <sheetViews>
    <sheetView tabSelected="1" workbookViewId="0">
      <selection activeCell="A3" sqref="A3:R495"/>
    </sheetView>
  </sheetViews>
  <sheetFormatPr defaultRowHeight="14.4" x14ac:dyDescent="0.3"/>
  <cols>
    <col min="1" max="1" width="10.33203125" bestFit="1" customWidth="1"/>
    <col min="2" max="2" width="12.5546875" bestFit="1" customWidth="1"/>
    <col min="3" max="3" width="13.6640625" bestFit="1" customWidth="1"/>
    <col min="4" max="4" width="12.44140625" bestFit="1" customWidth="1"/>
    <col min="5" max="5" width="13.5546875" bestFit="1" customWidth="1"/>
    <col min="6" max="6" width="10.33203125" bestFit="1" customWidth="1"/>
    <col min="7" max="7" width="11.6640625" bestFit="1" customWidth="1"/>
    <col min="8" max="8" width="14.109375" bestFit="1" customWidth="1"/>
    <col min="9" max="9" width="14.5546875" bestFit="1" customWidth="1"/>
    <col min="10" max="10" width="16.88671875" bestFit="1" customWidth="1"/>
    <col min="11" max="12" width="10.6640625" bestFit="1" customWidth="1"/>
    <col min="13" max="13" width="10.44140625" bestFit="1" customWidth="1"/>
    <col min="14" max="14" width="10.5546875" bestFit="1" customWidth="1"/>
    <col min="15" max="15" width="10.44140625" bestFit="1" customWidth="1"/>
    <col min="16" max="17" width="9" bestFit="1" customWidth="1"/>
    <col min="18" max="18" width="11" bestFit="1" customWidth="1"/>
  </cols>
  <sheetData>
    <row r="1" spans="1:18" x14ac:dyDescent="0.3">
      <c r="A1" s="46" t="s">
        <v>3044</v>
      </c>
    </row>
    <row r="3" spans="1:18" x14ac:dyDescent="0.3">
      <c r="A3" t="s">
        <v>72</v>
      </c>
      <c r="B3" t="s">
        <v>73</v>
      </c>
      <c r="C3" t="s">
        <v>74</v>
      </c>
      <c r="D3" t="s">
        <v>75</v>
      </c>
      <c r="E3" t="s">
        <v>76</v>
      </c>
      <c r="F3" t="s">
        <v>77</v>
      </c>
      <c r="G3" t="s">
        <v>78</v>
      </c>
      <c r="H3" t="s">
        <v>79</v>
      </c>
      <c r="I3" t="s">
        <v>80</v>
      </c>
      <c r="J3" t="s">
        <v>81</v>
      </c>
      <c r="K3" t="s">
        <v>82</v>
      </c>
      <c r="L3" t="s">
        <v>3026</v>
      </c>
      <c r="M3" t="s">
        <v>2782</v>
      </c>
      <c r="N3" t="s">
        <v>2780</v>
      </c>
      <c r="O3" t="s">
        <v>2504</v>
      </c>
      <c r="P3" t="s">
        <v>2502</v>
      </c>
      <c r="Q3" t="s">
        <v>2851</v>
      </c>
      <c r="R3" t="s">
        <v>2781</v>
      </c>
    </row>
    <row r="4" spans="1:18" x14ac:dyDescent="0.3">
      <c r="A4" t="s">
        <v>2498</v>
      </c>
      <c r="B4" s="45">
        <v>45592</v>
      </c>
      <c r="C4" t="s">
        <v>757</v>
      </c>
      <c r="D4" t="s">
        <v>338</v>
      </c>
      <c r="E4" t="s">
        <v>273</v>
      </c>
      <c r="F4">
        <v>4</v>
      </c>
      <c r="G4">
        <v>2210</v>
      </c>
      <c r="H4">
        <v>18.2</v>
      </c>
      <c r="I4">
        <v>7231.12</v>
      </c>
      <c r="J4" t="s">
        <v>93</v>
      </c>
      <c r="K4" t="s">
        <v>117</v>
      </c>
      <c r="L4">
        <v>0</v>
      </c>
      <c r="M4" t="b">
        <v>1</v>
      </c>
      <c r="N4" t="s">
        <v>2806</v>
      </c>
      <c r="O4" t="s">
        <v>2509</v>
      </c>
      <c r="P4">
        <v>43</v>
      </c>
      <c r="Q4" t="s">
        <v>2862</v>
      </c>
      <c r="R4">
        <v>1010</v>
      </c>
    </row>
    <row r="5" spans="1:18" x14ac:dyDescent="0.3">
      <c r="A5" t="s">
        <v>2497</v>
      </c>
      <c r="B5" s="45">
        <v>45585</v>
      </c>
      <c r="C5" t="s">
        <v>563</v>
      </c>
      <c r="D5" t="s">
        <v>408</v>
      </c>
      <c r="E5" t="s">
        <v>238</v>
      </c>
      <c r="F5">
        <v>6</v>
      </c>
      <c r="G5">
        <v>3970</v>
      </c>
      <c r="H5">
        <v>5.8</v>
      </c>
      <c r="I5">
        <v>22438.44</v>
      </c>
      <c r="J5" t="s">
        <v>93</v>
      </c>
      <c r="K5" t="s">
        <v>88</v>
      </c>
      <c r="L5">
        <v>0</v>
      </c>
      <c r="M5" t="b">
        <v>1</v>
      </c>
      <c r="N5" t="s">
        <v>2784</v>
      </c>
      <c r="O5" t="s">
        <v>2515</v>
      </c>
      <c r="P5">
        <v>24</v>
      </c>
      <c r="Q5" t="s">
        <v>2871</v>
      </c>
      <c r="R5">
        <v>2865</v>
      </c>
    </row>
    <row r="6" spans="1:18" x14ac:dyDescent="0.3">
      <c r="A6" t="s">
        <v>2491</v>
      </c>
      <c r="B6" s="45">
        <v>45616</v>
      </c>
      <c r="C6" t="s">
        <v>1104</v>
      </c>
      <c r="D6" t="s">
        <v>191</v>
      </c>
      <c r="E6" t="s">
        <v>252</v>
      </c>
      <c r="F6">
        <v>5</v>
      </c>
      <c r="G6">
        <v>5100</v>
      </c>
      <c r="H6">
        <v>28.4</v>
      </c>
      <c r="I6">
        <v>18258</v>
      </c>
      <c r="J6" t="s">
        <v>87</v>
      </c>
      <c r="K6" t="s">
        <v>117</v>
      </c>
      <c r="L6">
        <v>0</v>
      </c>
      <c r="M6" t="b">
        <v>1</v>
      </c>
      <c r="N6" t="s">
        <v>2828</v>
      </c>
      <c r="O6" t="s">
        <v>2509</v>
      </c>
      <c r="P6">
        <v>31</v>
      </c>
      <c r="Q6" t="s">
        <v>2862</v>
      </c>
      <c r="R6">
        <v>2237</v>
      </c>
    </row>
    <row r="7" spans="1:18" x14ac:dyDescent="0.3">
      <c r="A7" t="s">
        <v>2490</v>
      </c>
      <c r="B7" s="45">
        <v>45645</v>
      </c>
      <c r="C7" t="s">
        <v>166</v>
      </c>
      <c r="D7" t="s">
        <v>502</v>
      </c>
      <c r="E7" t="s">
        <v>103</v>
      </c>
      <c r="F7">
        <v>10</v>
      </c>
      <c r="G7">
        <v>1090</v>
      </c>
      <c r="H7">
        <v>29.2</v>
      </c>
      <c r="I7">
        <v>7717.2</v>
      </c>
      <c r="J7" t="s">
        <v>140</v>
      </c>
      <c r="K7" t="s">
        <v>133</v>
      </c>
      <c r="L7">
        <v>0</v>
      </c>
      <c r="M7" t="b">
        <v>1</v>
      </c>
      <c r="N7" t="s">
        <v>2817</v>
      </c>
      <c r="O7" t="s">
        <v>2507</v>
      </c>
      <c r="P7">
        <v>32</v>
      </c>
      <c r="Q7" t="s">
        <v>2855</v>
      </c>
      <c r="R7">
        <v>464</v>
      </c>
    </row>
    <row r="8" spans="1:18" x14ac:dyDescent="0.3">
      <c r="A8" t="s">
        <v>104</v>
      </c>
      <c r="B8" s="45">
        <v>45611</v>
      </c>
      <c r="C8" t="s">
        <v>105</v>
      </c>
      <c r="D8" t="s">
        <v>106</v>
      </c>
      <c r="E8" t="s">
        <v>107</v>
      </c>
      <c r="F8">
        <v>1</v>
      </c>
      <c r="G8">
        <v>3160</v>
      </c>
      <c r="H8">
        <v>26</v>
      </c>
      <c r="I8">
        <v>2338.4</v>
      </c>
      <c r="J8" t="s">
        <v>87</v>
      </c>
      <c r="K8" t="s">
        <v>94</v>
      </c>
      <c r="L8">
        <v>0</v>
      </c>
      <c r="M8" t="b">
        <v>1</v>
      </c>
      <c r="N8" t="s">
        <v>2795</v>
      </c>
      <c r="O8" t="s">
        <v>2507</v>
      </c>
      <c r="P8">
        <v>36</v>
      </c>
      <c r="Q8" t="s">
        <v>2855</v>
      </c>
      <c r="R8">
        <v>1886</v>
      </c>
    </row>
    <row r="9" spans="1:18" x14ac:dyDescent="0.3">
      <c r="A9" t="s">
        <v>2480</v>
      </c>
      <c r="B9" s="45">
        <v>45635</v>
      </c>
      <c r="C9" t="s">
        <v>1006</v>
      </c>
      <c r="D9" t="s">
        <v>295</v>
      </c>
      <c r="E9" t="s">
        <v>103</v>
      </c>
      <c r="F9">
        <v>10</v>
      </c>
      <c r="G9">
        <v>2030</v>
      </c>
      <c r="H9">
        <v>29.2</v>
      </c>
      <c r="I9">
        <v>14372.4</v>
      </c>
      <c r="J9" t="s">
        <v>87</v>
      </c>
      <c r="K9" t="s">
        <v>117</v>
      </c>
      <c r="L9">
        <v>0</v>
      </c>
      <c r="M9" t="b">
        <v>1</v>
      </c>
      <c r="N9" t="s">
        <v>2817</v>
      </c>
      <c r="O9" t="s">
        <v>2515</v>
      </c>
      <c r="P9">
        <v>44</v>
      </c>
      <c r="Q9" t="s">
        <v>2855</v>
      </c>
      <c r="R9">
        <v>1143</v>
      </c>
    </row>
    <row r="10" spans="1:18" x14ac:dyDescent="0.3">
      <c r="A10" t="s">
        <v>2477</v>
      </c>
      <c r="B10" s="45">
        <v>45589</v>
      </c>
      <c r="C10" t="s">
        <v>945</v>
      </c>
      <c r="D10" t="s">
        <v>97</v>
      </c>
      <c r="E10" t="s">
        <v>128</v>
      </c>
      <c r="F10">
        <v>3</v>
      </c>
      <c r="G10">
        <v>470</v>
      </c>
      <c r="H10">
        <v>14.2</v>
      </c>
      <c r="I10">
        <v>1209.78</v>
      </c>
      <c r="J10" t="s">
        <v>87</v>
      </c>
      <c r="K10" t="s">
        <v>88</v>
      </c>
      <c r="L10">
        <v>0</v>
      </c>
      <c r="M10" t="b">
        <v>0</v>
      </c>
      <c r="N10" t="s">
        <v>2839</v>
      </c>
      <c r="O10" t="s">
        <v>2507</v>
      </c>
      <c r="P10">
        <v>54</v>
      </c>
      <c r="Q10" t="s">
        <v>2879</v>
      </c>
      <c r="R10">
        <v>302</v>
      </c>
    </row>
    <row r="11" spans="1:18" x14ac:dyDescent="0.3">
      <c r="A11" t="s">
        <v>118</v>
      </c>
      <c r="B11" s="45">
        <v>45617</v>
      </c>
      <c r="C11" t="s">
        <v>119</v>
      </c>
      <c r="D11" t="s">
        <v>120</v>
      </c>
      <c r="E11" t="s">
        <v>121</v>
      </c>
      <c r="F11">
        <v>8</v>
      </c>
      <c r="G11">
        <v>1430</v>
      </c>
      <c r="H11">
        <v>2.4</v>
      </c>
      <c r="I11">
        <v>11165.44</v>
      </c>
      <c r="J11" t="s">
        <v>87</v>
      </c>
      <c r="K11" t="s">
        <v>117</v>
      </c>
      <c r="L11">
        <v>0</v>
      </c>
      <c r="M11" t="b">
        <v>1</v>
      </c>
      <c r="N11" t="s">
        <v>2784</v>
      </c>
      <c r="O11" t="s">
        <v>2509</v>
      </c>
      <c r="P11">
        <v>57</v>
      </c>
      <c r="Q11" t="s">
        <v>2871</v>
      </c>
      <c r="R11">
        <v>861</v>
      </c>
    </row>
    <row r="12" spans="1:18" x14ac:dyDescent="0.3">
      <c r="A12" t="s">
        <v>2467</v>
      </c>
      <c r="B12" s="45">
        <v>45586</v>
      </c>
      <c r="C12" t="s">
        <v>333</v>
      </c>
      <c r="D12" t="s">
        <v>659</v>
      </c>
      <c r="E12" t="s">
        <v>170</v>
      </c>
      <c r="F12">
        <v>3</v>
      </c>
      <c r="G12">
        <v>3560</v>
      </c>
      <c r="H12">
        <v>23.6</v>
      </c>
      <c r="I12">
        <v>8159.52</v>
      </c>
      <c r="J12" t="s">
        <v>87</v>
      </c>
      <c r="K12" t="s">
        <v>133</v>
      </c>
      <c r="L12">
        <v>0</v>
      </c>
      <c r="M12" t="b">
        <v>1</v>
      </c>
      <c r="N12" t="s">
        <v>2795</v>
      </c>
      <c r="O12" t="s">
        <v>2515</v>
      </c>
      <c r="P12">
        <v>65</v>
      </c>
      <c r="Q12" t="s">
        <v>2879</v>
      </c>
      <c r="R12">
        <v>2629</v>
      </c>
    </row>
    <row r="13" spans="1:18" x14ac:dyDescent="0.3">
      <c r="A13" t="s">
        <v>2459</v>
      </c>
      <c r="B13" s="45">
        <v>45598</v>
      </c>
      <c r="C13" t="s">
        <v>717</v>
      </c>
      <c r="D13" t="s">
        <v>264</v>
      </c>
      <c r="E13" t="s">
        <v>192</v>
      </c>
      <c r="F13">
        <v>10</v>
      </c>
      <c r="G13">
        <v>4070</v>
      </c>
      <c r="H13">
        <v>11.6</v>
      </c>
      <c r="I13">
        <v>35978.800000000003</v>
      </c>
      <c r="J13" t="s">
        <v>87</v>
      </c>
      <c r="K13" t="s">
        <v>94</v>
      </c>
      <c r="L13">
        <v>0</v>
      </c>
      <c r="M13" t="b">
        <v>1</v>
      </c>
      <c r="N13" t="s">
        <v>2806</v>
      </c>
      <c r="O13" t="s">
        <v>2507</v>
      </c>
      <c r="P13">
        <v>24</v>
      </c>
      <c r="Q13" t="s">
        <v>2871</v>
      </c>
      <c r="R13">
        <v>2027</v>
      </c>
    </row>
    <row r="14" spans="1:18" x14ac:dyDescent="0.3">
      <c r="A14" t="s">
        <v>2458</v>
      </c>
      <c r="B14" s="45">
        <v>45633</v>
      </c>
      <c r="C14" t="s">
        <v>613</v>
      </c>
      <c r="D14" t="s">
        <v>267</v>
      </c>
      <c r="E14" t="s">
        <v>128</v>
      </c>
      <c r="F14">
        <v>4</v>
      </c>
      <c r="G14">
        <v>1220</v>
      </c>
      <c r="H14">
        <v>2.7</v>
      </c>
      <c r="I14">
        <v>4748.24</v>
      </c>
      <c r="J14" t="s">
        <v>87</v>
      </c>
      <c r="K14" t="s">
        <v>112</v>
      </c>
      <c r="L14">
        <v>0</v>
      </c>
      <c r="M14" t="b">
        <v>1</v>
      </c>
      <c r="N14" t="s">
        <v>2784</v>
      </c>
      <c r="O14" t="s">
        <v>2507</v>
      </c>
      <c r="P14">
        <v>44</v>
      </c>
      <c r="Q14" t="s">
        <v>2879</v>
      </c>
      <c r="R14">
        <v>517</v>
      </c>
    </row>
    <row r="15" spans="1:18" x14ac:dyDescent="0.3">
      <c r="A15" t="s">
        <v>2452</v>
      </c>
      <c r="B15" s="45">
        <v>45618</v>
      </c>
      <c r="C15" t="s">
        <v>440</v>
      </c>
      <c r="D15" t="s">
        <v>187</v>
      </c>
      <c r="E15" t="s">
        <v>192</v>
      </c>
      <c r="F15">
        <v>6</v>
      </c>
      <c r="G15">
        <v>3570</v>
      </c>
      <c r="H15">
        <v>28.5</v>
      </c>
      <c r="I15">
        <v>15315.3</v>
      </c>
      <c r="J15" t="s">
        <v>140</v>
      </c>
      <c r="K15" t="s">
        <v>88</v>
      </c>
      <c r="L15">
        <v>0</v>
      </c>
      <c r="M15" t="b">
        <v>1</v>
      </c>
      <c r="N15" t="s">
        <v>2784</v>
      </c>
      <c r="O15" t="s">
        <v>2515</v>
      </c>
      <c r="P15">
        <v>30</v>
      </c>
      <c r="Q15" t="s">
        <v>2871</v>
      </c>
      <c r="R15">
        <v>1665</v>
      </c>
    </row>
    <row r="16" spans="1:18" x14ac:dyDescent="0.3">
      <c r="A16" t="s">
        <v>2446</v>
      </c>
      <c r="B16" s="45">
        <v>45592</v>
      </c>
      <c r="C16" t="s">
        <v>96</v>
      </c>
      <c r="D16" t="s">
        <v>282</v>
      </c>
      <c r="E16" t="s">
        <v>325</v>
      </c>
      <c r="F16">
        <v>3</v>
      </c>
      <c r="G16">
        <v>300</v>
      </c>
      <c r="H16">
        <v>24.8</v>
      </c>
      <c r="I16">
        <v>676.8</v>
      </c>
      <c r="J16" t="s">
        <v>87</v>
      </c>
      <c r="K16" t="s">
        <v>99</v>
      </c>
      <c r="L16">
        <v>0</v>
      </c>
      <c r="M16" t="b">
        <v>1</v>
      </c>
      <c r="N16" t="s">
        <v>2784</v>
      </c>
      <c r="O16" t="s">
        <v>2507</v>
      </c>
      <c r="P16">
        <v>52</v>
      </c>
      <c r="Q16" t="s">
        <v>2862</v>
      </c>
      <c r="R16">
        <v>128</v>
      </c>
    </row>
    <row r="17" spans="1:18" x14ac:dyDescent="0.3">
      <c r="A17" t="s">
        <v>2445</v>
      </c>
      <c r="B17" s="45">
        <v>45639</v>
      </c>
      <c r="C17" t="s">
        <v>781</v>
      </c>
      <c r="D17" t="s">
        <v>85</v>
      </c>
      <c r="E17" t="s">
        <v>204</v>
      </c>
      <c r="F17">
        <v>2</v>
      </c>
      <c r="G17">
        <v>3620</v>
      </c>
      <c r="H17">
        <v>15.6</v>
      </c>
      <c r="I17">
        <v>6110.56</v>
      </c>
      <c r="J17" t="s">
        <v>87</v>
      </c>
      <c r="K17" t="s">
        <v>99</v>
      </c>
      <c r="L17">
        <v>0</v>
      </c>
      <c r="M17" t="b">
        <v>1</v>
      </c>
      <c r="N17" t="s">
        <v>2795</v>
      </c>
      <c r="O17" t="s">
        <v>2515</v>
      </c>
      <c r="P17">
        <v>29</v>
      </c>
      <c r="Q17" t="s">
        <v>2862</v>
      </c>
      <c r="R17">
        <v>2509</v>
      </c>
    </row>
    <row r="18" spans="1:18" x14ac:dyDescent="0.3">
      <c r="A18" t="s">
        <v>2442</v>
      </c>
      <c r="B18" s="45">
        <v>45626</v>
      </c>
      <c r="C18" t="s">
        <v>561</v>
      </c>
      <c r="D18" t="s">
        <v>173</v>
      </c>
      <c r="E18" t="s">
        <v>121</v>
      </c>
      <c r="F18">
        <v>10</v>
      </c>
      <c r="G18">
        <v>2720</v>
      </c>
      <c r="H18">
        <v>3.4</v>
      </c>
      <c r="I18">
        <v>26275.200000000001</v>
      </c>
      <c r="J18" t="s">
        <v>87</v>
      </c>
      <c r="K18" t="s">
        <v>133</v>
      </c>
      <c r="L18">
        <v>0</v>
      </c>
      <c r="M18" t="b">
        <v>1</v>
      </c>
      <c r="N18" t="s">
        <v>2795</v>
      </c>
      <c r="O18" t="s">
        <v>2515</v>
      </c>
      <c r="P18">
        <v>43</v>
      </c>
      <c r="Q18" t="s">
        <v>2871</v>
      </c>
      <c r="R18">
        <v>1962</v>
      </c>
    </row>
    <row r="19" spans="1:18" x14ac:dyDescent="0.3">
      <c r="A19" t="s">
        <v>2433</v>
      </c>
      <c r="B19" s="45">
        <v>45633</v>
      </c>
      <c r="C19" t="s">
        <v>299</v>
      </c>
      <c r="D19" t="s">
        <v>182</v>
      </c>
      <c r="E19" t="s">
        <v>107</v>
      </c>
      <c r="F19">
        <v>9</v>
      </c>
      <c r="G19">
        <v>1010</v>
      </c>
      <c r="H19">
        <v>17.8</v>
      </c>
      <c r="I19">
        <v>7471.98</v>
      </c>
      <c r="J19" t="s">
        <v>87</v>
      </c>
      <c r="K19" t="s">
        <v>133</v>
      </c>
      <c r="L19">
        <v>0</v>
      </c>
      <c r="M19" t="b">
        <v>1</v>
      </c>
      <c r="N19" t="s">
        <v>2839</v>
      </c>
      <c r="O19" t="s">
        <v>2507</v>
      </c>
      <c r="P19">
        <v>29</v>
      </c>
      <c r="Q19" t="s">
        <v>2855</v>
      </c>
      <c r="R19">
        <v>516</v>
      </c>
    </row>
    <row r="20" spans="1:18" x14ac:dyDescent="0.3">
      <c r="A20" t="s">
        <v>2428</v>
      </c>
      <c r="B20" s="45">
        <v>45650</v>
      </c>
      <c r="C20" t="s">
        <v>956</v>
      </c>
      <c r="D20" t="s">
        <v>179</v>
      </c>
      <c r="E20" t="s">
        <v>98</v>
      </c>
      <c r="F20">
        <v>9</v>
      </c>
      <c r="G20">
        <v>3350</v>
      </c>
      <c r="H20">
        <v>5.0999999999999996</v>
      </c>
      <c r="I20">
        <v>28612.35</v>
      </c>
      <c r="J20" t="s">
        <v>87</v>
      </c>
      <c r="K20" t="s">
        <v>112</v>
      </c>
      <c r="L20">
        <v>0</v>
      </c>
      <c r="M20" t="b">
        <v>1</v>
      </c>
      <c r="N20" t="s">
        <v>2828</v>
      </c>
      <c r="O20" t="s">
        <v>2507</v>
      </c>
      <c r="P20">
        <v>49</v>
      </c>
      <c r="Q20" t="s">
        <v>2862</v>
      </c>
      <c r="R20">
        <v>1728</v>
      </c>
    </row>
    <row r="21" spans="1:18" x14ac:dyDescent="0.3">
      <c r="A21" t="s">
        <v>155</v>
      </c>
      <c r="B21" s="45">
        <v>45654</v>
      </c>
      <c r="C21" t="s">
        <v>156</v>
      </c>
      <c r="D21" t="s">
        <v>157</v>
      </c>
      <c r="E21" t="s">
        <v>158</v>
      </c>
      <c r="F21">
        <v>8</v>
      </c>
      <c r="G21">
        <v>3450</v>
      </c>
      <c r="H21">
        <v>18.5</v>
      </c>
      <c r="I21">
        <v>22494</v>
      </c>
      <c r="J21" t="s">
        <v>87</v>
      </c>
      <c r="K21" t="s">
        <v>133</v>
      </c>
      <c r="L21">
        <v>0</v>
      </c>
      <c r="M21" t="b">
        <v>1</v>
      </c>
      <c r="N21" t="s">
        <v>2828</v>
      </c>
      <c r="O21" t="s">
        <v>2509</v>
      </c>
      <c r="P21">
        <v>32</v>
      </c>
      <c r="Q21" t="s">
        <v>2871</v>
      </c>
      <c r="R21">
        <v>2420</v>
      </c>
    </row>
    <row r="22" spans="1:18" x14ac:dyDescent="0.3">
      <c r="A22" t="s">
        <v>159</v>
      </c>
      <c r="B22" s="45">
        <v>45626</v>
      </c>
      <c r="C22" t="s">
        <v>160</v>
      </c>
      <c r="D22" t="s">
        <v>161</v>
      </c>
      <c r="E22" t="s">
        <v>154</v>
      </c>
      <c r="F22">
        <v>5</v>
      </c>
      <c r="G22">
        <v>3450</v>
      </c>
      <c r="H22">
        <v>7.3</v>
      </c>
      <c r="I22">
        <v>15990.75</v>
      </c>
      <c r="J22" t="s">
        <v>87</v>
      </c>
      <c r="K22" t="s">
        <v>112</v>
      </c>
      <c r="L22">
        <v>0</v>
      </c>
      <c r="M22" t="b">
        <v>1</v>
      </c>
      <c r="N22" t="s">
        <v>2839</v>
      </c>
      <c r="O22" t="s">
        <v>2507</v>
      </c>
      <c r="P22">
        <v>54</v>
      </c>
      <c r="Q22" t="s">
        <v>2871</v>
      </c>
      <c r="R22">
        <v>2467</v>
      </c>
    </row>
    <row r="23" spans="1:18" x14ac:dyDescent="0.3">
      <c r="A23" t="s">
        <v>2419</v>
      </c>
      <c r="B23" s="45">
        <v>45634</v>
      </c>
      <c r="C23" t="s">
        <v>779</v>
      </c>
      <c r="D23" t="s">
        <v>279</v>
      </c>
      <c r="E23" t="s">
        <v>154</v>
      </c>
      <c r="F23">
        <v>5</v>
      </c>
      <c r="G23">
        <v>2660</v>
      </c>
      <c r="H23">
        <v>4.7</v>
      </c>
      <c r="I23">
        <v>12674.9</v>
      </c>
      <c r="J23" t="s">
        <v>87</v>
      </c>
      <c r="K23" t="s">
        <v>117</v>
      </c>
      <c r="L23">
        <v>0</v>
      </c>
      <c r="M23" t="b">
        <v>0</v>
      </c>
      <c r="N23" t="s">
        <v>2784</v>
      </c>
      <c r="O23" t="s">
        <v>2507</v>
      </c>
      <c r="P23">
        <v>27</v>
      </c>
      <c r="Q23" t="s">
        <v>2871</v>
      </c>
      <c r="R23">
        <v>1259</v>
      </c>
    </row>
    <row r="24" spans="1:18" x14ac:dyDescent="0.3">
      <c r="A24" t="s">
        <v>2415</v>
      </c>
      <c r="B24" s="45">
        <v>45600</v>
      </c>
      <c r="C24" t="s">
        <v>910</v>
      </c>
      <c r="D24" t="s">
        <v>234</v>
      </c>
      <c r="E24" t="s">
        <v>98</v>
      </c>
      <c r="F24">
        <v>1</v>
      </c>
      <c r="G24">
        <v>3780</v>
      </c>
      <c r="H24">
        <v>13.7</v>
      </c>
      <c r="I24">
        <v>3262.14</v>
      </c>
      <c r="J24" t="s">
        <v>87</v>
      </c>
      <c r="K24" t="s">
        <v>99</v>
      </c>
      <c r="L24">
        <v>0</v>
      </c>
      <c r="M24" t="b">
        <v>1</v>
      </c>
      <c r="N24" t="s">
        <v>2806</v>
      </c>
      <c r="O24" t="s">
        <v>2507</v>
      </c>
      <c r="P24">
        <v>55</v>
      </c>
      <c r="Q24" t="s">
        <v>2862</v>
      </c>
      <c r="R24">
        <v>2436</v>
      </c>
    </row>
    <row r="25" spans="1:18" x14ac:dyDescent="0.3">
      <c r="A25" t="s">
        <v>2410</v>
      </c>
      <c r="B25" s="45">
        <v>45610</v>
      </c>
      <c r="C25" t="s">
        <v>336</v>
      </c>
      <c r="D25" t="s">
        <v>115</v>
      </c>
      <c r="E25" t="s">
        <v>116</v>
      </c>
      <c r="F25">
        <v>9</v>
      </c>
      <c r="G25">
        <v>960</v>
      </c>
      <c r="H25">
        <v>29</v>
      </c>
      <c r="I25">
        <v>6134.4</v>
      </c>
      <c r="J25" t="s">
        <v>87</v>
      </c>
      <c r="K25" t="s">
        <v>112</v>
      </c>
      <c r="L25">
        <v>0</v>
      </c>
      <c r="M25" t="b">
        <v>1</v>
      </c>
      <c r="N25" t="s">
        <v>2839</v>
      </c>
      <c r="O25" t="s">
        <v>2507</v>
      </c>
      <c r="P25">
        <v>49</v>
      </c>
      <c r="Q25" t="s">
        <v>2879</v>
      </c>
      <c r="R25">
        <v>705</v>
      </c>
    </row>
    <row r="26" spans="1:18" x14ac:dyDescent="0.3">
      <c r="A26" t="s">
        <v>2406</v>
      </c>
      <c r="B26" s="45">
        <v>45625</v>
      </c>
      <c r="C26" t="s">
        <v>420</v>
      </c>
      <c r="D26" t="s">
        <v>110</v>
      </c>
      <c r="E26" t="s">
        <v>148</v>
      </c>
      <c r="F26">
        <v>9</v>
      </c>
      <c r="G26">
        <v>370</v>
      </c>
      <c r="H26">
        <v>13.8</v>
      </c>
      <c r="I26">
        <v>2870.46</v>
      </c>
      <c r="J26" t="s">
        <v>87</v>
      </c>
      <c r="K26" t="s">
        <v>99</v>
      </c>
      <c r="L26">
        <v>0</v>
      </c>
      <c r="M26" t="b">
        <v>1</v>
      </c>
      <c r="N26" t="s">
        <v>2817</v>
      </c>
      <c r="O26" t="s">
        <v>2507</v>
      </c>
      <c r="P26">
        <v>44</v>
      </c>
      <c r="Q26" t="s">
        <v>2855</v>
      </c>
      <c r="R26">
        <v>288</v>
      </c>
    </row>
    <row r="27" spans="1:18" x14ac:dyDescent="0.3">
      <c r="A27" t="s">
        <v>2397</v>
      </c>
      <c r="B27" s="45">
        <v>45580</v>
      </c>
      <c r="C27" t="s">
        <v>606</v>
      </c>
      <c r="D27" t="s">
        <v>367</v>
      </c>
      <c r="E27" t="s">
        <v>285</v>
      </c>
      <c r="F27">
        <v>10</v>
      </c>
      <c r="G27">
        <v>2380</v>
      </c>
      <c r="H27">
        <v>28.3</v>
      </c>
      <c r="I27">
        <v>17064.599999999999</v>
      </c>
      <c r="J27" t="s">
        <v>87</v>
      </c>
      <c r="K27" t="s">
        <v>112</v>
      </c>
      <c r="L27">
        <v>0</v>
      </c>
      <c r="M27" t="b">
        <v>1</v>
      </c>
      <c r="N27" t="s">
        <v>2806</v>
      </c>
      <c r="O27" t="s">
        <v>2507</v>
      </c>
      <c r="P27">
        <v>52</v>
      </c>
      <c r="Q27" t="s">
        <v>2871</v>
      </c>
      <c r="R27">
        <v>1182</v>
      </c>
    </row>
    <row r="28" spans="1:18" x14ac:dyDescent="0.3">
      <c r="A28" t="s">
        <v>2395</v>
      </c>
      <c r="B28" s="45">
        <v>45622</v>
      </c>
      <c r="C28" t="s">
        <v>673</v>
      </c>
      <c r="D28" t="s">
        <v>200</v>
      </c>
      <c r="E28" t="s">
        <v>139</v>
      </c>
      <c r="F28">
        <v>1</v>
      </c>
      <c r="G28">
        <v>2760</v>
      </c>
      <c r="H28">
        <v>2.5</v>
      </c>
      <c r="I28">
        <v>2691</v>
      </c>
      <c r="J28" t="s">
        <v>140</v>
      </c>
      <c r="K28" t="s">
        <v>112</v>
      </c>
      <c r="L28">
        <v>0</v>
      </c>
      <c r="M28" t="b">
        <v>1</v>
      </c>
      <c r="N28" t="s">
        <v>2806</v>
      </c>
      <c r="O28" t="s">
        <v>2507</v>
      </c>
      <c r="P28">
        <v>35</v>
      </c>
      <c r="Q28" t="s">
        <v>2855</v>
      </c>
      <c r="R28">
        <v>1435</v>
      </c>
    </row>
    <row r="29" spans="1:18" x14ac:dyDescent="0.3">
      <c r="A29" t="s">
        <v>180</v>
      </c>
      <c r="B29" s="45">
        <v>45570</v>
      </c>
      <c r="C29" t="s">
        <v>181</v>
      </c>
      <c r="D29" t="s">
        <v>182</v>
      </c>
      <c r="E29" t="s">
        <v>121</v>
      </c>
      <c r="F29">
        <v>2</v>
      </c>
      <c r="G29">
        <v>1010</v>
      </c>
      <c r="H29">
        <v>16.5</v>
      </c>
      <c r="I29">
        <v>1686.7</v>
      </c>
      <c r="J29" t="s">
        <v>140</v>
      </c>
      <c r="K29" t="s">
        <v>99</v>
      </c>
      <c r="L29">
        <v>0</v>
      </c>
      <c r="M29" t="b">
        <v>1</v>
      </c>
      <c r="N29" t="s">
        <v>2839</v>
      </c>
      <c r="O29" t="s">
        <v>2507</v>
      </c>
      <c r="P29">
        <v>31</v>
      </c>
      <c r="Q29" t="s">
        <v>2871</v>
      </c>
      <c r="R29">
        <v>516</v>
      </c>
    </row>
    <row r="30" spans="1:18" x14ac:dyDescent="0.3">
      <c r="A30" t="s">
        <v>2390</v>
      </c>
      <c r="B30" s="45">
        <v>45640</v>
      </c>
      <c r="C30" t="s">
        <v>266</v>
      </c>
      <c r="D30" t="s">
        <v>102</v>
      </c>
      <c r="E30" t="s">
        <v>132</v>
      </c>
      <c r="F30">
        <v>1</v>
      </c>
      <c r="G30">
        <v>3660</v>
      </c>
      <c r="H30">
        <v>1.5</v>
      </c>
      <c r="I30">
        <v>3605.1</v>
      </c>
      <c r="J30" t="s">
        <v>93</v>
      </c>
      <c r="K30" t="s">
        <v>99</v>
      </c>
      <c r="L30">
        <v>0</v>
      </c>
      <c r="M30" t="b">
        <v>0</v>
      </c>
      <c r="N30" t="s">
        <v>2806</v>
      </c>
      <c r="O30" t="s">
        <v>2509</v>
      </c>
      <c r="P30">
        <v>55</v>
      </c>
      <c r="Q30" t="s">
        <v>2862</v>
      </c>
      <c r="R30">
        <v>2214</v>
      </c>
    </row>
    <row r="31" spans="1:18" x14ac:dyDescent="0.3">
      <c r="A31" t="s">
        <v>2389</v>
      </c>
      <c r="B31" s="45">
        <v>45603</v>
      </c>
      <c r="C31" t="s">
        <v>281</v>
      </c>
      <c r="D31" t="s">
        <v>282</v>
      </c>
      <c r="E31" t="s">
        <v>92</v>
      </c>
      <c r="F31">
        <v>10</v>
      </c>
      <c r="G31">
        <v>300</v>
      </c>
      <c r="H31">
        <v>23.9</v>
      </c>
      <c r="I31">
        <v>2283</v>
      </c>
      <c r="J31" t="s">
        <v>87</v>
      </c>
      <c r="K31" t="s">
        <v>88</v>
      </c>
      <c r="L31">
        <v>0</v>
      </c>
      <c r="M31" t="b">
        <v>1</v>
      </c>
      <c r="N31" t="s">
        <v>2784</v>
      </c>
      <c r="O31" t="s">
        <v>2507</v>
      </c>
      <c r="P31">
        <v>25</v>
      </c>
      <c r="Q31" t="s">
        <v>2855</v>
      </c>
      <c r="R31">
        <v>128</v>
      </c>
    </row>
    <row r="32" spans="1:18" x14ac:dyDescent="0.3">
      <c r="A32" t="s">
        <v>2388</v>
      </c>
      <c r="B32" s="45">
        <v>45621</v>
      </c>
      <c r="C32" t="s">
        <v>1038</v>
      </c>
      <c r="D32" t="s">
        <v>151</v>
      </c>
      <c r="E32" t="s">
        <v>252</v>
      </c>
      <c r="F32">
        <v>4</v>
      </c>
      <c r="G32">
        <v>2400</v>
      </c>
      <c r="H32">
        <v>16.600000000000001</v>
      </c>
      <c r="I32">
        <v>8006.4</v>
      </c>
      <c r="J32" t="s">
        <v>93</v>
      </c>
      <c r="K32" t="s">
        <v>117</v>
      </c>
      <c r="L32">
        <v>0</v>
      </c>
      <c r="M32" t="b">
        <v>1</v>
      </c>
      <c r="N32" t="s">
        <v>2839</v>
      </c>
      <c r="O32" t="s">
        <v>2509</v>
      </c>
      <c r="P32">
        <v>55</v>
      </c>
      <c r="Q32" t="s">
        <v>2862</v>
      </c>
      <c r="R32">
        <v>974</v>
      </c>
    </row>
    <row r="33" spans="1:18" x14ac:dyDescent="0.3">
      <c r="A33" t="s">
        <v>2381</v>
      </c>
      <c r="B33" s="45">
        <v>45622</v>
      </c>
      <c r="C33" t="s">
        <v>2382</v>
      </c>
      <c r="D33" t="s">
        <v>338</v>
      </c>
      <c r="E33" t="s">
        <v>229</v>
      </c>
      <c r="F33">
        <v>3</v>
      </c>
      <c r="G33">
        <v>2210</v>
      </c>
      <c r="H33">
        <v>8.5</v>
      </c>
      <c r="I33">
        <v>6066.45</v>
      </c>
      <c r="J33" t="s">
        <v>87</v>
      </c>
      <c r="K33" t="s">
        <v>99</v>
      </c>
      <c r="L33">
        <v>0</v>
      </c>
      <c r="M33" t="b">
        <v>1</v>
      </c>
      <c r="N33" t="s">
        <v>2806</v>
      </c>
      <c r="O33" t="e">
        <v>#N/A</v>
      </c>
      <c r="P33" t="e">
        <v>#N/A</v>
      </c>
      <c r="Q33" t="s">
        <v>2879</v>
      </c>
      <c r="R33">
        <v>1010</v>
      </c>
    </row>
    <row r="34" spans="1:18" x14ac:dyDescent="0.3">
      <c r="A34" t="s">
        <v>196</v>
      </c>
      <c r="B34" s="45">
        <v>45569</v>
      </c>
      <c r="C34" t="s">
        <v>197</v>
      </c>
      <c r="D34" t="s">
        <v>127</v>
      </c>
      <c r="E34" t="s">
        <v>103</v>
      </c>
      <c r="F34">
        <v>7</v>
      </c>
      <c r="G34">
        <v>970</v>
      </c>
      <c r="H34">
        <v>29.8</v>
      </c>
      <c r="I34">
        <v>4766.58</v>
      </c>
      <c r="J34" t="s">
        <v>87</v>
      </c>
      <c r="K34" t="s">
        <v>88</v>
      </c>
      <c r="L34">
        <v>0</v>
      </c>
      <c r="M34" t="b">
        <v>1</v>
      </c>
      <c r="N34" t="s">
        <v>2806</v>
      </c>
      <c r="O34" t="s">
        <v>2509</v>
      </c>
      <c r="P34">
        <v>47</v>
      </c>
      <c r="Q34" t="s">
        <v>2855</v>
      </c>
      <c r="R34">
        <v>434</v>
      </c>
    </row>
    <row r="35" spans="1:18" x14ac:dyDescent="0.3">
      <c r="A35" t="s">
        <v>198</v>
      </c>
      <c r="B35" s="45">
        <v>45641</v>
      </c>
      <c r="C35" t="s">
        <v>199</v>
      </c>
      <c r="D35" t="s">
        <v>200</v>
      </c>
      <c r="E35" t="s">
        <v>201</v>
      </c>
      <c r="F35">
        <v>4</v>
      </c>
      <c r="G35">
        <v>2760</v>
      </c>
      <c r="H35">
        <v>5.9</v>
      </c>
      <c r="I35">
        <v>10388.64</v>
      </c>
      <c r="J35" t="s">
        <v>87</v>
      </c>
      <c r="K35" t="s">
        <v>133</v>
      </c>
      <c r="L35">
        <v>0</v>
      </c>
      <c r="M35" t="b">
        <v>1</v>
      </c>
      <c r="N35" t="s">
        <v>2806</v>
      </c>
      <c r="O35" t="s">
        <v>2507</v>
      </c>
      <c r="P35">
        <v>53</v>
      </c>
      <c r="Q35" t="s">
        <v>2879</v>
      </c>
      <c r="R35">
        <v>1435</v>
      </c>
    </row>
    <row r="36" spans="1:18" x14ac:dyDescent="0.3">
      <c r="A36" t="s">
        <v>2377</v>
      </c>
      <c r="B36" s="45">
        <v>45588</v>
      </c>
      <c r="C36" t="s">
        <v>528</v>
      </c>
      <c r="D36" t="s">
        <v>110</v>
      </c>
      <c r="E36" t="s">
        <v>297</v>
      </c>
      <c r="F36">
        <v>1</v>
      </c>
      <c r="G36">
        <v>370</v>
      </c>
      <c r="H36">
        <v>27</v>
      </c>
      <c r="I36">
        <v>270.10000000000002</v>
      </c>
      <c r="J36" t="s">
        <v>93</v>
      </c>
      <c r="K36" t="s">
        <v>112</v>
      </c>
      <c r="L36">
        <v>0</v>
      </c>
      <c r="M36" t="b">
        <v>1</v>
      </c>
      <c r="N36" t="s">
        <v>2817</v>
      </c>
      <c r="O36" t="s">
        <v>2507</v>
      </c>
      <c r="P36">
        <v>44</v>
      </c>
      <c r="Q36" t="s">
        <v>2855</v>
      </c>
      <c r="R36">
        <v>288</v>
      </c>
    </row>
    <row r="37" spans="1:18" x14ac:dyDescent="0.3">
      <c r="A37" t="s">
        <v>205</v>
      </c>
      <c r="B37" s="45">
        <v>45576</v>
      </c>
      <c r="C37" t="s">
        <v>206</v>
      </c>
      <c r="D37" t="s">
        <v>143</v>
      </c>
      <c r="E37" t="s">
        <v>121</v>
      </c>
      <c r="F37">
        <v>1</v>
      </c>
      <c r="G37">
        <v>3250</v>
      </c>
      <c r="H37">
        <v>10.7</v>
      </c>
      <c r="I37">
        <v>2902.25</v>
      </c>
      <c r="J37" t="s">
        <v>87</v>
      </c>
      <c r="K37" t="s">
        <v>133</v>
      </c>
      <c r="L37">
        <v>0</v>
      </c>
      <c r="M37" t="b">
        <v>1</v>
      </c>
      <c r="N37" t="s">
        <v>2817</v>
      </c>
      <c r="O37" t="s">
        <v>2515</v>
      </c>
      <c r="P37">
        <v>40</v>
      </c>
      <c r="Q37" t="s">
        <v>2871</v>
      </c>
      <c r="R37">
        <v>1556</v>
      </c>
    </row>
    <row r="38" spans="1:18" x14ac:dyDescent="0.3">
      <c r="A38" t="s">
        <v>2376</v>
      </c>
      <c r="B38" s="45">
        <v>45629</v>
      </c>
      <c r="C38" t="s">
        <v>225</v>
      </c>
      <c r="D38" t="s">
        <v>245</v>
      </c>
      <c r="E38" t="s">
        <v>297</v>
      </c>
      <c r="F38">
        <v>4</v>
      </c>
      <c r="G38">
        <v>2270</v>
      </c>
      <c r="H38">
        <v>15.8</v>
      </c>
      <c r="I38">
        <v>7645.36</v>
      </c>
      <c r="J38" t="s">
        <v>87</v>
      </c>
      <c r="K38" t="s">
        <v>94</v>
      </c>
      <c r="L38">
        <v>0</v>
      </c>
      <c r="M38" t="b">
        <v>1</v>
      </c>
      <c r="N38" t="s">
        <v>2806</v>
      </c>
      <c r="O38" t="s">
        <v>2507</v>
      </c>
      <c r="P38">
        <v>37</v>
      </c>
      <c r="Q38" t="s">
        <v>2855</v>
      </c>
      <c r="R38">
        <v>1412</v>
      </c>
    </row>
    <row r="39" spans="1:18" x14ac:dyDescent="0.3">
      <c r="A39" t="s">
        <v>2373</v>
      </c>
      <c r="B39" s="45">
        <v>45645</v>
      </c>
      <c r="C39" t="s">
        <v>403</v>
      </c>
      <c r="D39" t="s">
        <v>659</v>
      </c>
      <c r="E39" t="s">
        <v>116</v>
      </c>
      <c r="F39">
        <v>5</v>
      </c>
      <c r="G39">
        <v>3560</v>
      </c>
      <c r="H39">
        <v>24</v>
      </c>
      <c r="I39">
        <v>13528</v>
      </c>
      <c r="J39" t="s">
        <v>87</v>
      </c>
      <c r="K39" t="s">
        <v>117</v>
      </c>
      <c r="L39">
        <v>0</v>
      </c>
      <c r="M39" t="b">
        <v>1</v>
      </c>
      <c r="N39" t="s">
        <v>2795</v>
      </c>
      <c r="O39" t="s">
        <v>2507</v>
      </c>
      <c r="P39">
        <v>59</v>
      </c>
      <c r="Q39" t="s">
        <v>2879</v>
      </c>
      <c r="R39">
        <v>2629</v>
      </c>
    </row>
    <row r="40" spans="1:18" x14ac:dyDescent="0.3">
      <c r="A40" t="s">
        <v>211</v>
      </c>
      <c r="B40" s="45">
        <v>45646</v>
      </c>
      <c r="C40" t="s">
        <v>212</v>
      </c>
      <c r="D40" t="s">
        <v>124</v>
      </c>
      <c r="E40" t="s">
        <v>204</v>
      </c>
      <c r="F40">
        <v>2</v>
      </c>
      <c r="G40">
        <v>5490</v>
      </c>
      <c r="H40">
        <v>21.1</v>
      </c>
      <c r="I40">
        <v>8663.2199999999993</v>
      </c>
      <c r="J40" t="s">
        <v>140</v>
      </c>
      <c r="K40" t="s">
        <v>112</v>
      </c>
      <c r="L40">
        <v>0</v>
      </c>
      <c r="M40" t="b">
        <v>1</v>
      </c>
      <c r="N40" t="s">
        <v>2817</v>
      </c>
      <c r="O40" t="s">
        <v>2515</v>
      </c>
      <c r="P40">
        <v>36</v>
      </c>
      <c r="Q40" t="s">
        <v>2862</v>
      </c>
      <c r="R40">
        <v>2549</v>
      </c>
    </row>
    <row r="41" spans="1:18" x14ac:dyDescent="0.3">
      <c r="A41" t="s">
        <v>2369</v>
      </c>
      <c r="B41" s="45">
        <v>45644</v>
      </c>
      <c r="C41" t="s">
        <v>1816</v>
      </c>
      <c r="D41" t="s">
        <v>367</v>
      </c>
      <c r="E41" t="s">
        <v>188</v>
      </c>
      <c r="F41">
        <v>9</v>
      </c>
      <c r="G41">
        <v>2380</v>
      </c>
      <c r="H41">
        <v>8.1</v>
      </c>
      <c r="I41">
        <v>19684.98</v>
      </c>
      <c r="J41" t="s">
        <v>140</v>
      </c>
      <c r="K41" t="s">
        <v>99</v>
      </c>
      <c r="L41">
        <v>0</v>
      </c>
      <c r="M41" t="b">
        <v>1</v>
      </c>
      <c r="N41" t="s">
        <v>2806</v>
      </c>
      <c r="O41" t="s">
        <v>2507</v>
      </c>
      <c r="P41">
        <v>62</v>
      </c>
      <c r="Q41" t="s">
        <v>2862</v>
      </c>
      <c r="R41">
        <v>1182</v>
      </c>
    </row>
    <row r="42" spans="1:18" x14ac:dyDescent="0.3">
      <c r="A42" t="s">
        <v>2367</v>
      </c>
      <c r="B42" s="45">
        <v>45623</v>
      </c>
      <c r="C42" t="s">
        <v>411</v>
      </c>
      <c r="D42" t="s">
        <v>226</v>
      </c>
      <c r="E42" t="s">
        <v>204</v>
      </c>
      <c r="F42">
        <v>3</v>
      </c>
      <c r="G42">
        <v>3730</v>
      </c>
      <c r="H42">
        <v>18.100000000000001</v>
      </c>
      <c r="I42">
        <v>9164.61</v>
      </c>
      <c r="J42" t="s">
        <v>87</v>
      </c>
      <c r="K42" t="s">
        <v>112</v>
      </c>
      <c r="L42">
        <v>0</v>
      </c>
      <c r="M42" t="b">
        <v>1</v>
      </c>
      <c r="N42" t="s">
        <v>2817</v>
      </c>
      <c r="O42" t="s">
        <v>2507</v>
      </c>
      <c r="P42">
        <v>61</v>
      </c>
      <c r="Q42" t="s">
        <v>2862</v>
      </c>
      <c r="R42">
        <v>2135</v>
      </c>
    </row>
    <row r="43" spans="1:18" x14ac:dyDescent="0.3">
      <c r="A43" t="s">
        <v>218</v>
      </c>
      <c r="B43" s="45">
        <v>45599</v>
      </c>
      <c r="C43" t="s">
        <v>219</v>
      </c>
      <c r="D43" t="s">
        <v>176</v>
      </c>
      <c r="E43" t="s">
        <v>154</v>
      </c>
      <c r="F43">
        <v>9</v>
      </c>
      <c r="G43">
        <v>1650</v>
      </c>
      <c r="H43">
        <v>11.6</v>
      </c>
      <c r="I43">
        <v>13127.4</v>
      </c>
      <c r="J43" t="s">
        <v>87</v>
      </c>
      <c r="K43" t="s">
        <v>99</v>
      </c>
      <c r="L43">
        <v>0</v>
      </c>
      <c r="M43" t="b">
        <v>1</v>
      </c>
      <c r="N43" t="s">
        <v>2828</v>
      </c>
      <c r="O43" t="s">
        <v>2515</v>
      </c>
      <c r="P43">
        <v>50</v>
      </c>
      <c r="Q43" t="s">
        <v>2871</v>
      </c>
      <c r="R43">
        <v>1222</v>
      </c>
    </row>
    <row r="44" spans="1:18" x14ac:dyDescent="0.3">
      <c r="A44" t="s">
        <v>220</v>
      </c>
      <c r="B44" s="45">
        <v>45606</v>
      </c>
      <c r="C44" t="s">
        <v>221</v>
      </c>
      <c r="D44" t="s">
        <v>124</v>
      </c>
      <c r="E44" t="s">
        <v>103</v>
      </c>
      <c r="F44">
        <v>4</v>
      </c>
      <c r="G44">
        <v>5490</v>
      </c>
      <c r="H44">
        <v>12.8</v>
      </c>
      <c r="I44">
        <v>19149.12</v>
      </c>
      <c r="J44" t="s">
        <v>140</v>
      </c>
      <c r="K44" t="s">
        <v>94</v>
      </c>
      <c r="L44">
        <v>0</v>
      </c>
      <c r="M44" t="b">
        <v>1</v>
      </c>
      <c r="N44" t="s">
        <v>2817</v>
      </c>
      <c r="O44" t="e">
        <v>#N/A</v>
      </c>
      <c r="P44" t="e">
        <v>#N/A</v>
      </c>
      <c r="Q44" t="s">
        <v>2855</v>
      </c>
      <c r="R44">
        <v>2549</v>
      </c>
    </row>
    <row r="45" spans="1:18" x14ac:dyDescent="0.3">
      <c r="A45" t="s">
        <v>2364</v>
      </c>
      <c r="B45" s="45">
        <v>45648</v>
      </c>
      <c r="C45" t="s">
        <v>1350</v>
      </c>
      <c r="D45" t="s">
        <v>351</v>
      </c>
      <c r="E45" t="s">
        <v>297</v>
      </c>
      <c r="F45">
        <v>2</v>
      </c>
      <c r="G45">
        <v>4060</v>
      </c>
      <c r="H45">
        <v>11.3</v>
      </c>
      <c r="I45">
        <v>7202.44</v>
      </c>
      <c r="J45" t="s">
        <v>87</v>
      </c>
      <c r="K45" t="s">
        <v>112</v>
      </c>
      <c r="L45">
        <v>0</v>
      </c>
      <c r="M45" t="b">
        <v>1</v>
      </c>
      <c r="N45" t="s">
        <v>2806</v>
      </c>
      <c r="O45" t="s">
        <v>2507</v>
      </c>
      <c r="P45">
        <v>38</v>
      </c>
      <c r="Q45" t="s">
        <v>2855</v>
      </c>
      <c r="R45">
        <v>2911</v>
      </c>
    </row>
    <row r="46" spans="1:18" x14ac:dyDescent="0.3">
      <c r="A46" t="s">
        <v>2362</v>
      </c>
      <c r="B46" s="45">
        <v>45627</v>
      </c>
      <c r="C46" t="s">
        <v>528</v>
      </c>
      <c r="D46" t="s">
        <v>173</v>
      </c>
      <c r="E46" t="s">
        <v>215</v>
      </c>
      <c r="F46">
        <v>6</v>
      </c>
      <c r="G46">
        <v>2720</v>
      </c>
      <c r="H46">
        <v>25.1</v>
      </c>
      <c r="I46">
        <v>12223.68</v>
      </c>
      <c r="J46" t="s">
        <v>140</v>
      </c>
      <c r="K46" t="s">
        <v>112</v>
      </c>
      <c r="L46">
        <v>0</v>
      </c>
      <c r="M46" t="b">
        <v>1</v>
      </c>
      <c r="N46" t="s">
        <v>2795</v>
      </c>
      <c r="O46" t="s">
        <v>2507</v>
      </c>
      <c r="P46">
        <v>44</v>
      </c>
      <c r="Q46" t="s">
        <v>2855</v>
      </c>
      <c r="R46">
        <v>1962</v>
      </c>
    </row>
    <row r="47" spans="1:18" x14ac:dyDescent="0.3">
      <c r="A47" t="s">
        <v>2361</v>
      </c>
      <c r="B47" s="45">
        <v>45634</v>
      </c>
      <c r="C47" t="s">
        <v>686</v>
      </c>
      <c r="D47" t="s">
        <v>195</v>
      </c>
      <c r="E47" t="s">
        <v>98</v>
      </c>
      <c r="F47">
        <v>4</v>
      </c>
      <c r="G47">
        <v>2860</v>
      </c>
      <c r="H47">
        <v>14.3</v>
      </c>
      <c r="I47">
        <v>9804.08</v>
      </c>
      <c r="J47" t="s">
        <v>87</v>
      </c>
      <c r="K47" t="s">
        <v>112</v>
      </c>
      <c r="L47">
        <v>0</v>
      </c>
      <c r="M47" t="b">
        <v>1</v>
      </c>
      <c r="N47" t="s">
        <v>2839</v>
      </c>
      <c r="O47" t="s">
        <v>2507</v>
      </c>
      <c r="P47">
        <v>35</v>
      </c>
      <c r="Q47" t="s">
        <v>2862</v>
      </c>
      <c r="R47">
        <v>2028</v>
      </c>
    </row>
    <row r="48" spans="1:18" x14ac:dyDescent="0.3">
      <c r="A48" t="s">
        <v>2356</v>
      </c>
      <c r="B48" s="45">
        <v>45652</v>
      </c>
      <c r="C48" t="s">
        <v>741</v>
      </c>
      <c r="D48" t="s">
        <v>151</v>
      </c>
      <c r="E48" t="s">
        <v>343</v>
      </c>
      <c r="F48">
        <v>3</v>
      </c>
      <c r="G48">
        <v>2400</v>
      </c>
      <c r="H48">
        <v>20.7</v>
      </c>
      <c r="I48">
        <v>5709.6</v>
      </c>
      <c r="J48" t="s">
        <v>87</v>
      </c>
      <c r="K48" t="s">
        <v>133</v>
      </c>
      <c r="L48">
        <v>0</v>
      </c>
      <c r="M48" t="b">
        <v>1</v>
      </c>
      <c r="N48" t="s">
        <v>2839</v>
      </c>
      <c r="O48" t="s">
        <v>2515</v>
      </c>
      <c r="P48">
        <v>29</v>
      </c>
      <c r="Q48" t="s">
        <v>2879</v>
      </c>
      <c r="R48">
        <v>974</v>
      </c>
    </row>
    <row r="49" spans="1:18" x14ac:dyDescent="0.3">
      <c r="A49" t="s">
        <v>2351</v>
      </c>
      <c r="B49" s="45">
        <v>45650</v>
      </c>
      <c r="C49" t="s">
        <v>541</v>
      </c>
      <c r="D49" t="s">
        <v>267</v>
      </c>
      <c r="E49" t="s">
        <v>238</v>
      </c>
      <c r="F49">
        <v>5</v>
      </c>
      <c r="G49">
        <v>1220</v>
      </c>
      <c r="H49">
        <v>18.7</v>
      </c>
      <c r="I49">
        <v>4959.3</v>
      </c>
      <c r="J49" t="s">
        <v>87</v>
      </c>
      <c r="K49" t="s">
        <v>94</v>
      </c>
      <c r="L49">
        <v>0</v>
      </c>
      <c r="M49" t="b">
        <v>1</v>
      </c>
      <c r="N49" t="s">
        <v>2784</v>
      </c>
      <c r="O49" t="s">
        <v>2509</v>
      </c>
      <c r="P49">
        <v>34</v>
      </c>
      <c r="Q49" t="s">
        <v>2871</v>
      </c>
      <c r="R49">
        <v>517</v>
      </c>
    </row>
    <row r="50" spans="1:18" x14ac:dyDescent="0.3">
      <c r="A50" t="s">
        <v>2350</v>
      </c>
      <c r="B50" s="45">
        <v>45605</v>
      </c>
      <c r="C50" t="s">
        <v>142</v>
      </c>
      <c r="D50" t="s">
        <v>264</v>
      </c>
      <c r="E50" t="s">
        <v>132</v>
      </c>
      <c r="F50">
        <v>6</v>
      </c>
      <c r="G50">
        <v>4070</v>
      </c>
      <c r="H50">
        <v>28.9</v>
      </c>
      <c r="I50">
        <v>17362.62</v>
      </c>
      <c r="J50" t="s">
        <v>87</v>
      </c>
      <c r="K50" t="s">
        <v>88</v>
      </c>
      <c r="L50">
        <v>0</v>
      </c>
      <c r="M50" t="b">
        <v>1</v>
      </c>
      <c r="N50" t="s">
        <v>2806</v>
      </c>
      <c r="O50" t="s">
        <v>2515</v>
      </c>
      <c r="P50">
        <v>39</v>
      </c>
      <c r="Q50" t="s">
        <v>2862</v>
      </c>
      <c r="R50">
        <v>2027</v>
      </c>
    </row>
    <row r="51" spans="1:18" x14ac:dyDescent="0.3">
      <c r="A51" t="s">
        <v>2347</v>
      </c>
      <c r="B51" s="45">
        <v>45569</v>
      </c>
      <c r="C51" t="s">
        <v>856</v>
      </c>
      <c r="D51" t="s">
        <v>270</v>
      </c>
      <c r="E51" t="s">
        <v>238</v>
      </c>
      <c r="F51">
        <v>7</v>
      </c>
      <c r="G51">
        <v>4610</v>
      </c>
      <c r="H51">
        <v>0.9</v>
      </c>
      <c r="I51">
        <v>31979.57</v>
      </c>
      <c r="J51" t="s">
        <v>87</v>
      </c>
      <c r="K51" t="s">
        <v>88</v>
      </c>
      <c r="L51">
        <v>0</v>
      </c>
      <c r="M51" t="b">
        <v>1</v>
      </c>
      <c r="N51" t="s">
        <v>2817</v>
      </c>
      <c r="O51" t="s">
        <v>2515</v>
      </c>
      <c r="P51">
        <v>59</v>
      </c>
      <c r="Q51" t="s">
        <v>2871</v>
      </c>
      <c r="R51">
        <v>1850</v>
      </c>
    </row>
    <row r="52" spans="1:18" x14ac:dyDescent="0.3">
      <c r="A52" t="s">
        <v>2339</v>
      </c>
      <c r="B52" s="45">
        <v>45605</v>
      </c>
      <c r="C52" t="s">
        <v>1816</v>
      </c>
      <c r="D52" t="s">
        <v>143</v>
      </c>
      <c r="E52" t="s">
        <v>111</v>
      </c>
      <c r="F52">
        <v>3</v>
      </c>
      <c r="G52">
        <v>3250</v>
      </c>
      <c r="H52">
        <v>19.600000000000001</v>
      </c>
      <c r="I52">
        <v>7839</v>
      </c>
      <c r="J52" t="s">
        <v>93</v>
      </c>
      <c r="K52" t="s">
        <v>99</v>
      </c>
      <c r="L52">
        <v>0</v>
      </c>
      <c r="M52" t="b">
        <v>1</v>
      </c>
      <c r="N52" t="s">
        <v>2817</v>
      </c>
      <c r="O52" t="s">
        <v>2507</v>
      </c>
      <c r="P52">
        <v>62</v>
      </c>
      <c r="Q52" t="s">
        <v>2879</v>
      </c>
      <c r="R52">
        <v>1556</v>
      </c>
    </row>
    <row r="53" spans="1:18" x14ac:dyDescent="0.3">
      <c r="A53" t="s">
        <v>2335</v>
      </c>
      <c r="B53" s="45">
        <v>45647</v>
      </c>
      <c r="C53" t="s">
        <v>945</v>
      </c>
      <c r="D53" t="s">
        <v>355</v>
      </c>
      <c r="E53" t="s">
        <v>103</v>
      </c>
      <c r="F53">
        <v>2</v>
      </c>
      <c r="G53">
        <v>2510</v>
      </c>
      <c r="H53">
        <v>28.2</v>
      </c>
      <c r="I53">
        <v>3604.36</v>
      </c>
      <c r="J53" t="s">
        <v>87</v>
      </c>
      <c r="K53" t="s">
        <v>88</v>
      </c>
      <c r="L53">
        <v>0</v>
      </c>
      <c r="M53" t="b">
        <v>0</v>
      </c>
      <c r="N53" t="s">
        <v>2795</v>
      </c>
      <c r="O53" t="s">
        <v>2507</v>
      </c>
      <c r="P53">
        <v>54</v>
      </c>
      <c r="Q53" t="s">
        <v>2855</v>
      </c>
      <c r="R53">
        <v>1075</v>
      </c>
    </row>
    <row r="54" spans="1:18" x14ac:dyDescent="0.3">
      <c r="A54" t="s">
        <v>2332</v>
      </c>
      <c r="B54" s="45">
        <v>45593</v>
      </c>
      <c r="C54" t="s">
        <v>582</v>
      </c>
      <c r="D54" t="s">
        <v>355</v>
      </c>
      <c r="E54" t="s">
        <v>192</v>
      </c>
      <c r="F54">
        <v>4</v>
      </c>
      <c r="G54">
        <v>2510</v>
      </c>
      <c r="H54">
        <v>23.2</v>
      </c>
      <c r="I54">
        <v>7710.72</v>
      </c>
      <c r="J54" t="s">
        <v>87</v>
      </c>
      <c r="K54" t="s">
        <v>94</v>
      </c>
      <c r="L54">
        <v>0</v>
      </c>
      <c r="M54" t="b">
        <v>0</v>
      </c>
      <c r="N54" t="s">
        <v>2795</v>
      </c>
      <c r="O54" t="s">
        <v>2515</v>
      </c>
      <c r="P54">
        <v>59</v>
      </c>
      <c r="Q54" t="s">
        <v>2871</v>
      </c>
      <c r="R54">
        <v>1075</v>
      </c>
    </row>
    <row r="55" spans="1:18" x14ac:dyDescent="0.3">
      <c r="A55" t="s">
        <v>2330</v>
      </c>
      <c r="B55" s="45">
        <v>45633</v>
      </c>
      <c r="C55" t="s">
        <v>895</v>
      </c>
      <c r="D55" t="s">
        <v>195</v>
      </c>
      <c r="E55" t="s">
        <v>139</v>
      </c>
      <c r="F55">
        <v>6</v>
      </c>
      <c r="G55">
        <v>2860</v>
      </c>
      <c r="H55">
        <v>10.5</v>
      </c>
      <c r="I55">
        <v>15358.2</v>
      </c>
      <c r="J55" t="s">
        <v>140</v>
      </c>
      <c r="K55" t="s">
        <v>117</v>
      </c>
      <c r="L55">
        <v>0</v>
      </c>
      <c r="M55" t="b">
        <v>1</v>
      </c>
      <c r="N55" t="s">
        <v>2839</v>
      </c>
      <c r="O55" t="s">
        <v>2507</v>
      </c>
      <c r="P55">
        <v>46</v>
      </c>
      <c r="Q55" t="s">
        <v>2855</v>
      </c>
      <c r="R55">
        <v>2028</v>
      </c>
    </row>
    <row r="56" spans="1:18" x14ac:dyDescent="0.3">
      <c r="A56" t="s">
        <v>251</v>
      </c>
      <c r="B56" s="45">
        <v>45616</v>
      </c>
      <c r="C56" t="s">
        <v>105</v>
      </c>
      <c r="D56" t="s">
        <v>234</v>
      </c>
      <c r="E56" t="s">
        <v>252</v>
      </c>
      <c r="F56">
        <v>5</v>
      </c>
      <c r="G56">
        <v>3780</v>
      </c>
      <c r="H56">
        <v>18.5</v>
      </c>
      <c r="I56">
        <v>15403.5</v>
      </c>
      <c r="J56" t="s">
        <v>87</v>
      </c>
      <c r="K56" t="s">
        <v>94</v>
      </c>
      <c r="L56">
        <v>0</v>
      </c>
      <c r="M56" t="b">
        <v>1</v>
      </c>
      <c r="N56" t="s">
        <v>2806</v>
      </c>
      <c r="O56" t="s">
        <v>2507</v>
      </c>
      <c r="P56">
        <v>36</v>
      </c>
      <c r="Q56" t="s">
        <v>2862</v>
      </c>
      <c r="R56">
        <v>2436</v>
      </c>
    </row>
    <row r="57" spans="1:18" x14ac:dyDescent="0.3">
      <c r="A57" t="s">
        <v>2321</v>
      </c>
      <c r="B57" s="45">
        <v>45614</v>
      </c>
      <c r="C57" t="s">
        <v>333</v>
      </c>
      <c r="D57" t="s">
        <v>164</v>
      </c>
      <c r="E57" t="s">
        <v>170</v>
      </c>
      <c r="F57">
        <v>5</v>
      </c>
      <c r="G57">
        <v>1080</v>
      </c>
      <c r="H57">
        <v>6</v>
      </c>
      <c r="I57">
        <v>5076</v>
      </c>
      <c r="J57" t="s">
        <v>87</v>
      </c>
      <c r="K57" t="s">
        <v>133</v>
      </c>
      <c r="L57">
        <v>0</v>
      </c>
      <c r="M57" t="b">
        <v>1</v>
      </c>
      <c r="N57" t="s">
        <v>2817</v>
      </c>
      <c r="O57" t="s">
        <v>2515</v>
      </c>
      <c r="P57">
        <v>65</v>
      </c>
      <c r="Q57" t="s">
        <v>2879</v>
      </c>
      <c r="R57">
        <v>519</v>
      </c>
    </row>
    <row r="58" spans="1:18" x14ac:dyDescent="0.3">
      <c r="A58" t="s">
        <v>2316</v>
      </c>
      <c r="B58" s="45">
        <v>45643</v>
      </c>
      <c r="C58" t="s">
        <v>602</v>
      </c>
      <c r="D58" t="s">
        <v>135</v>
      </c>
      <c r="E58" t="s">
        <v>215</v>
      </c>
      <c r="F58">
        <v>8</v>
      </c>
      <c r="G58">
        <v>2640</v>
      </c>
      <c r="H58">
        <v>22.3</v>
      </c>
      <c r="I58">
        <v>16410.240000000002</v>
      </c>
      <c r="J58" t="s">
        <v>87</v>
      </c>
      <c r="K58" t="s">
        <v>94</v>
      </c>
      <c r="L58">
        <v>0</v>
      </c>
      <c r="M58" t="b">
        <v>1</v>
      </c>
      <c r="N58" t="s">
        <v>2784</v>
      </c>
      <c r="O58" t="s">
        <v>2507</v>
      </c>
      <c r="P58">
        <v>61</v>
      </c>
      <c r="Q58" t="s">
        <v>2855</v>
      </c>
      <c r="R58">
        <v>1149</v>
      </c>
    </row>
    <row r="59" spans="1:18" x14ac:dyDescent="0.3">
      <c r="A59" t="s">
        <v>257</v>
      </c>
      <c r="B59" s="45">
        <v>45649</v>
      </c>
      <c r="C59" t="s">
        <v>258</v>
      </c>
      <c r="D59" t="s">
        <v>259</v>
      </c>
      <c r="E59" t="s">
        <v>154</v>
      </c>
      <c r="F59">
        <v>4</v>
      </c>
      <c r="G59">
        <v>1540</v>
      </c>
      <c r="H59">
        <v>28.8</v>
      </c>
      <c r="I59">
        <v>4385.92</v>
      </c>
      <c r="J59" t="s">
        <v>87</v>
      </c>
      <c r="K59" t="s">
        <v>99</v>
      </c>
      <c r="L59">
        <v>0</v>
      </c>
      <c r="M59" t="b">
        <v>0</v>
      </c>
      <c r="N59" t="s">
        <v>2828</v>
      </c>
      <c r="O59" t="s">
        <v>2515</v>
      </c>
      <c r="P59">
        <v>55</v>
      </c>
      <c r="Q59" t="s">
        <v>2871</v>
      </c>
      <c r="R59">
        <v>647</v>
      </c>
    </row>
    <row r="60" spans="1:18" x14ac:dyDescent="0.3">
      <c r="A60" t="s">
        <v>260</v>
      </c>
      <c r="B60" s="45">
        <v>45616</v>
      </c>
      <c r="C60" t="s">
        <v>261</v>
      </c>
      <c r="D60" t="s">
        <v>164</v>
      </c>
      <c r="E60" t="s">
        <v>238</v>
      </c>
      <c r="F60">
        <v>1</v>
      </c>
      <c r="G60">
        <v>1080</v>
      </c>
      <c r="H60">
        <v>23</v>
      </c>
      <c r="I60">
        <v>831.6</v>
      </c>
      <c r="J60" t="s">
        <v>140</v>
      </c>
      <c r="K60" t="s">
        <v>99</v>
      </c>
      <c r="L60">
        <v>0</v>
      </c>
      <c r="M60" t="b">
        <v>1</v>
      </c>
      <c r="N60" t="s">
        <v>2817</v>
      </c>
      <c r="O60" t="s">
        <v>2507</v>
      </c>
      <c r="P60">
        <v>54</v>
      </c>
      <c r="Q60" t="s">
        <v>2871</v>
      </c>
      <c r="R60">
        <v>519</v>
      </c>
    </row>
    <row r="61" spans="1:18" x14ac:dyDescent="0.3">
      <c r="A61" t="s">
        <v>262</v>
      </c>
      <c r="B61" s="45">
        <v>45573</v>
      </c>
      <c r="C61" t="s">
        <v>263</v>
      </c>
      <c r="D61" t="s">
        <v>264</v>
      </c>
      <c r="E61" t="s">
        <v>86</v>
      </c>
      <c r="F61">
        <v>1</v>
      </c>
      <c r="G61">
        <v>4070</v>
      </c>
      <c r="H61">
        <v>6.7</v>
      </c>
      <c r="I61">
        <v>3797.31</v>
      </c>
      <c r="J61" t="s">
        <v>87</v>
      </c>
      <c r="K61" t="s">
        <v>133</v>
      </c>
      <c r="L61">
        <v>0</v>
      </c>
      <c r="M61" t="b">
        <v>1</v>
      </c>
      <c r="N61" t="s">
        <v>2806</v>
      </c>
      <c r="O61" t="s">
        <v>2507</v>
      </c>
      <c r="P61">
        <v>53</v>
      </c>
      <c r="Q61" t="s">
        <v>2855</v>
      </c>
      <c r="R61">
        <v>2027</v>
      </c>
    </row>
    <row r="62" spans="1:18" x14ac:dyDescent="0.3">
      <c r="A62" t="s">
        <v>2310</v>
      </c>
      <c r="B62" s="45">
        <v>45629</v>
      </c>
      <c r="C62" t="s">
        <v>142</v>
      </c>
      <c r="D62" t="s">
        <v>167</v>
      </c>
      <c r="E62" t="s">
        <v>201</v>
      </c>
      <c r="F62">
        <v>7</v>
      </c>
      <c r="G62">
        <v>2480</v>
      </c>
      <c r="H62">
        <v>17.3</v>
      </c>
      <c r="I62">
        <v>14356.72</v>
      </c>
      <c r="J62" t="s">
        <v>87</v>
      </c>
      <c r="K62" t="s">
        <v>88</v>
      </c>
      <c r="L62">
        <v>0</v>
      </c>
      <c r="M62" t="b">
        <v>1</v>
      </c>
      <c r="N62" t="s">
        <v>2795</v>
      </c>
      <c r="O62" t="s">
        <v>2515</v>
      </c>
      <c r="P62">
        <v>39</v>
      </c>
      <c r="Q62" t="s">
        <v>2879</v>
      </c>
      <c r="R62">
        <v>1173</v>
      </c>
    </row>
    <row r="63" spans="1:18" x14ac:dyDescent="0.3">
      <c r="A63" t="s">
        <v>2309</v>
      </c>
      <c r="B63" s="45">
        <v>45600</v>
      </c>
      <c r="C63" t="s">
        <v>231</v>
      </c>
      <c r="D63" t="s">
        <v>276</v>
      </c>
      <c r="E63" t="s">
        <v>346</v>
      </c>
      <c r="F63">
        <v>8</v>
      </c>
      <c r="G63">
        <v>3020</v>
      </c>
      <c r="H63">
        <v>14.5</v>
      </c>
      <c r="I63">
        <v>20656.8</v>
      </c>
      <c r="J63" t="s">
        <v>87</v>
      </c>
      <c r="K63" t="s">
        <v>117</v>
      </c>
      <c r="L63">
        <v>0</v>
      </c>
      <c r="M63" t="b">
        <v>1</v>
      </c>
      <c r="N63" t="s">
        <v>2828</v>
      </c>
      <c r="O63" t="s">
        <v>2515</v>
      </c>
      <c r="P63">
        <v>64</v>
      </c>
      <c r="Q63" t="s">
        <v>2862</v>
      </c>
      <c r="R63">
        <v>1626</v>
      </c>
    </row>
    <row r="64" spans="1:18" x14ac:dyDescent="0.3">
      <c r="A64" t="s">
        <v>271</v>
      </c>
      <c r="B64" s="45">
        <v>45589</v>
      </c>
      <c r="C64" t="s">
        <v>272</v>
      </c>
      <c r="D64" t="s">
        <v>164</v>
      </c>
      <c r="E64" t="s">
        <v>273</v>
      </c>
      <c r="F64">
        <v>8</v>
      </c>
      <c r="G64">
        <v>1080</v>
      </c>
      <c r="H64">
        <v>28.4</v>
      </c>
      <c r="I64">
        <v>6186.24</v>
      </c>
      <c r="J64" t="s">
        <v>87</v>
      </c>
      <c r="K64" t="s">
        <v>94</v>
      </c>
      <c r="L64">
        <v>0</v>
      </c>
      <c r="M64" t="b">
        <v>1</v>
      </c>
      <c r="N64" t="s">
        <v>2817</v>
      </c>
      <c r="O64" t="s">
        <v>2515</v>
      </c>
      <c r="P64">
        <v>55</v>
      </c>
      <c r="Q64" t="s">
        <v>2862</v>
      </c>
      <c r="R64">
        <v>519</v>
      </c>
    </row>
    <row r="65" spans="1:18" x14ac:dyDescent="0.3">
      <c r="A65" t="s">
        <v>2299</v>
      </c>
      <c r="B65" s="45">
        <v>45578</v>
      </c>
      <c r="C65" t="s">
        <v>206</v>
      </c>
      <c r="D65" t="s">
        <v>234</v>
      </c>
      <c r="E65" t="s">
        <v>92</v>
      </c>
      <c r="F65">
        <v>10</v>
      </c>
      <c r="G65">
        <v>3780</v>
      </c>
      <c r="H65">
        <v>23.7</v>
      </c>
      <c r="I65">
        <v>28841.4</v>
      </c>
      <c r="J65" t="s">
        <v>87</v>
      </c>
      <c r="K65" t="s">
        <v>133</v>
      </c>
      <c r="L65">
        <v>0</v>
      </c>
      <c r="M65" t="b">
        <v>1</v>
      </c>
      <c r="N65" t="s">
        <v>2806</v>
      </c>
      <c r="O65" t="s">
        <v>2515</v>
      </c>
      <c r="P65">
        <v>40</v>
      </c>
      <c r="Q65" t="s">
        <v>2855</v>
      </c>
      <c r="R65">
        <v>2436</v>
      </c>
    </row>
    <row r="66" spans="1:18" x14ac:dyDescent="0.3">
      <c r="A66" t="s">
        <v>2295</v>
      </c>
      <c r="B66" s="45">
        <v>45634</v>
      </c>
      <c r="C66" t="s">
        <v>602</v>
      </c>
      <c r="D66" t="s">
        <v>176</v>
      </c>
      <c r="E66" t="s">
        <v>343</v>
      </c>
      <c r="F66">
        <v>9</v>
      </c>
      <c r="G66">
        <v>1650</v>
      </c>
      <c r="H66">
        <v>26.8</v>
      </c>
      <c r="I66">
        <v>10870.2</v>
      </c>
      <c r="J66" t="s">
        <v>87</v>
      </c>
      <c r="K66" t="s">
        <v>94</v>
      </c>
      <c r="L66">
        <v>0</v>
      </c>
      <c r="M66" t="b">
        <v>1</v>
      </c>
      <c r="N66" t="s">
        <v>2828</v>
      </c>
      <c r="O66" t="s">
        <v>2507</v>
      </c>
      <c r="P66">
        <v>61</v>
      </c>
      <c r="Q66" t="s">
        <v>2879</v>
      </c>
      <c r="R66">
        <v>1222</v>
      </c>
    </row>
    <row r="67" spans="1:18" x14ac:dyDescent="0.3">
      <c r="A67" t="s">
        <v>280</v>
      </c>
      <c r="B67" s="45">
        <v>45599</v>
      </c>
      <c r="C67" t="s">
        <v>281</v>
      </c>
      <c r="D67" t="s">
        <v>282</v>
      </c>
      <c r="E67" t="s">
        <v>148</v>
      </c>
      <c r="F67">
        <v>9</v>
      </c>
      <c r="G67">
        <v>300</v>
      </c>
      <c r="H67">
        <v>25.3</v>
      </c>
      <c r="I67">
        <v>2016.9</v>
      </c>
      <c r="J67" t="s">
        <v>87</v>
      </c>
      <c r="K67" t="s">
        <v>88</v>
      </c>
      <c r="L67">
        <v>0</v>
      </c>
      <c r="M67" t="b">
        <v>1</v>
      </c>
      <c r="N67" t="s">
        <v>2784</v>
      </c>
      <c r="O67" t="s">
        <v>2507</v>
      </c>
      <c r="P67">
        <v>25</v>
      </c>
      <c r="Q67" t="s">
        <v>2855</v>
      </c>
      <c r="R67">
        <v>128</v>
      </c>
    </row>
    <row r="68" spans="1:18" x14ac:dyDescent="0.3">
      <c r="A68" t="s">
        <v>2292</v>
      </c>
      <c r="B68" s="45">
        <v>45580</v>
      </c>
      <c r="C68" t="s">
        <v>1664</v>
      </c>
      <c r="D68" t="s">
        <v>237</v>
      </c>
      <c r="E68" t="s">
        <v>158</v>
      </c>
      <c r="F68">
        <v>1</v>
      </c>
      <c r="G68">
        <v>3640</v>
      </c>
      <c r="H68">
        <v>15.8</v>
      </c>
      <c r="I68">
        <v>3064.88</v>
      </c>
      <c r="J68" t="s">
        <v>87</v>
      </c>
      <c r="K68" t="s">
        <v>117</v>
      </c>
      <c r="L68">
        <v>0</v>
      </c>
      <c r="M68" t="b">
        <v>1</v>
      </c>
      <c r="N68" t="s">
        <v>2795</v>
      </c>
      <c r="O68" t="s">
        <v>2507</v>
      </c>
      <c r="P68">
        <v>48</v>
      </c>
      <c r="Q68" t="s">
        <v>2871</v>
      </c>
      <c r="R68">
        <v>2611</v>
      </c>
    </row>
    <row r="69" spans="1:18" x14ac:dyDescent="0.3">
      <c r="A69" t="s">
        <v>2290</v>
      </c>
      <c r="B69" s="45">
        <v>45600</v>
      </c>
      <c r="C69" t="s">
        <v>390</v>
      </c>
      <c r="D69" t="s">
        <v>279</v>
      </c>
      <c r="E69" t="s">
        <v>92</v>
      </c>
      <c r="F69">
        <v>6</v>
      </c>
      <c r="G69">
        <v>2660</v>
      </c>
      <c r="H69">
        <v>14.9</v>
      </c>
      <c r="I69">
        <v>13581.96</v>
      </c>
      <c r="J69" t="s">
        <v>87</v>
      </c>
      <c r="K69" t="s">
        <v>88</v>
      </c>
      <c r="L69">
        <v>0</v>
      </c>
      <c r="M69" t="b">
        <v>0</v>
      </c>
      <c r="N69" t="s">
        <v>2784</v>
      </c>
      <c r="O69" t="s">
        <v>2515</v>
      </c>
      <c r="P69">
        <v>54</v>
      </c>
      <c r="Q69" t="s">
        <v>2855</v>
      </c>
      <c r="R69">
        <v>1259</v>
      </c>
    </row>
    <row r="70" spans="1:18" x14ac:dyDescent="0.3">
      <c r="A70" t="s">
        <v>2283</v>
      </c>
      <c r="B70" s="45">
        <v>45610</v>
      </c>
      <c r="C70" t="s">
        <v>563</v>
      </c>
      <c r="D70" t="s">
        <v>102</v>
      </c>
      <c r="E70" t="s">
        <v>86</v>
      </c>
      <c r="F70">
        <v>9</v>
      </c>
      <c r="G70">
        <v>3660</v>
      </c>
      <c r="H70">
        <v>9.3000000000000007</v>
      </c>
      <c r="I70">
        <v>29876.58</v>
      </c>
      <c r="J70" t="s">
        <v>140</v>
      </c>
      <c r="K70" t="s">
        <v>88</v>
      </c>
      <c r="L70">
        <v>0</v>
      </c>
      <c r="M70" t="b">
        <v>0</v>
      </c>
      <c r="N70" t="s">
        <v>2806</v>
      </c>
      <c r="O70" t="s">
        <v>2515</v>
      </c>
      <c r="P70">
        <v>24</v>
      </c>
      <c r="Q70" t="s">
        <v>2855</v>
      </c>
      <c r="R70">
        <v>2214</v>
      </c>
    </row>
    <row r="71" spans="1:18" x14ac:dyDescent="0.3">
      <c r="A71" t="s">
        <v>2280</v>
      </c>
      <c r="B71" s="45">
        <v>45606</v>
      </c>
      <c r="C71" t="s">
        <v>1350</v>
      </c>
      <c r="D71" t="s">
        <v>179</v>
      </c>
      <c r="E71" t="s">
        <v>297</v>
      </c>
      <c r="F71">
        <v>10</v>
      </c>
      <c r="G71">
        <v>3350</v>
      </c>
      <c r="H71">
        <v>12.1</v>
      </c>
      <c r="I71">
        <v>29446.5</v>
      </c>
      <c r="J71" t="s">
        <v>87</v>
      </c>
      <c r="K71" t="s">
        <v>112</v>
      </c>
      <c r="L71">
        <v>0</v>
      </c>
      <c r="M71" t="b">
        <v>1</v>
      </c>
      <c r="N71" t="s">
        <v>2828</v>
      </c>
      <c r="O71" t="s">
        <v>2507</v>
      </c>
      <c r="P71">
        <v>38</v>
      </c>
      <c r="Q71" t="s">
        <v>2855</v>
      </c>
      <c r="R71">
        <v>1728</v>
      </c>
    </row>
    <row r="72" spans="1:18" x14ac:dyDescent="0.3">
      <c r="A72" t="s">
        <v>2278</v>
      </c>
      <c r="B72" s="45">
        <v>45644</v>
      </c>
      <c r="C72" t="s">
        <v>795</v>
      </c>
      <c r="D72" t="s">
        <v>135</v>
      </c>
      <c r="E72" t="s">
        <v>238</v>
      </c>
      <c r="F72">
        <v>3</v>
      </c>
      <c r="G72">
        <v>2640</v>
      </c>
      <c r="H72">
        <v>10.199999999999999</v>
      </c>
      <c r="I72">
        <v>7112.16</v>
      </c>
      <c r="J72" t="s">
        <v>140</v>
      </c>
      <c r="K72" t="s">
        <v>94</v>
      </c>
      <c r="L72">
        <v>0</v>
      </c>
      <c r="M72" t="b">
        <v>1</v>
      </c>
      <c r="N72" t="s">
        <v>2784</v>
      </c>
      <c r="O72" t="s">
        <v>2507</v>
      </c>
      <c r="P72">
        <v>22</v>
      </c>
      <c r="Q72" t="s">
        <v>2871</v>
      </c>
      <c r="R72">
        <v>1149</v>
      </c>
    </row>
    <row r="73" spans="1:18" x14ac:dyDescent="0.3">
      <c r="A73" t="s">
        <v>2275</v>
      </c>
      <c r="B73" s="45">
        <v>45571</v>
      </c>
      <c r="C73" t="s">
        <v>328</v>
      </c>
      <c r="D73" t="s">
        <v>355</v>
      </c>
      <c r="E73" t="s">
        <v>297</v>
      </c>
      <c r="F73">
        <v>5</v>
      </c>
      <c r="G73">
        <v>2510</v>
      </c>
      <c r="H73">
        <v>22.2</v>
      </c>
      <c r="I73">
        <v>9763.9</v>
      </c>
      <c r="J73" t="s">
        <v>87</v>
      </c>
      <c r="K73" t="s">
        <v>94</v>
      </c>
      <c r="L73">
        <v>0</v>
      </c>
      <c r="M73" t="b">
        <v>0</v>
      </c>
      <c r="N73" t="s">
        <v>2795</v>
      </c>
      <c r="O73" t="s">
        <v>2507</v>
      </c>
      <c r="P73">
        <v>28</v>
      </c>
      <c r="Q73" t="s">
        <v>2855</v>
      </c>
      <c r="R73">
        <v>1075</v>
      </c>
    </row>
    <row r="74" spans="1:18" x14ac:dyDescent="0.3">
      <c r="A74" t="s">
        <v>2270</v>
      </c>
      <c r="B74" s="45">
        <v>45580</v>
      </c>
      <c r="C74" t="s">
        <v>507</v>
      </c>
      <c r="D74" t="s">
        <v>110</v>
      </c>
      <c r="E74" t="s">
        <v>128</v>
      </c>
      <c r="F74">
        <v>2</v>
      </c>
      <c r="G74">
        <v>370</v>
      </c>
      <c r="H74">
        <v>24</v>
      </c>
      <c r="I74">
        <v>562.4</v>
      </c>
      <c r="J74" t="s">
        <v>87</v>
      </c>
      <c r="K74" t="s">
        <v>88</v>
      </c>
      <c r="L74">
        <v>0</v>
      </c>
      <c r="M74" t="b">
        <v>1</v>
      </c>
      <c r="N74" t="s">
        <v>2817</v>
      </c>
      <c r="O74" t="s">
        <v>2507</v>
      </c>
      <c r="P74">
        <v>59</v>
      </c>
      <c r="Q74" t="s">
        <v>2879</v>
      </c>
      <c r="R74">
        <v>288</v>
      </c>
    </row>
    <row r="75" spans="1:18" x14ac:dyDescent="0.3">
      <c r="A75" t="s">
        <v>2269</v>
      </c>
      <c r="B75" s="45">
        <v>45633</v>
      </c>
      <c r="C75" t="s">
        <v>602</v>
      </c>
      <c r="D75" t="s">
        <v>97</v>
      </c>
      <c r="E75" t="s">
        <v>343</v>
      </c>
      <c r="F75">
        <v>3</v>
      </c>
      <c r="G75">
        <v>470</v>
      </c>
      <c r="H75">
        <v>18.600000000000001</v>
      </c>
      <c r="I75">
        <v>1147.74</v>
      </c>
      <c r="J75" t="s">
        <v>87</v>
      </c>
      <c r="K75" t="s">
        <v>94</v>
      </c>
      <c r="L75">
        <v>0</v>
      </c>
      <c r="M75" t="b">
        <v>0</v>
      </c>
      <c r="N75" t="s">
        <v>2839</v>
      </c>
      <c r="O75" t="s">
        <v>2507</v>
      </c>
      <c r="P75">
        <v>61</v>
      </c>
      <c r="Q75" t="s">
        <v>2879</v>
      </c>
      <c r="R75">
        <v>302</v>
      </c>
    </row>
    <row r="76" spans="1:18" x14ac:dyDescent="0.3">
      <c r="A76" t="s">
        <v>2268</v>
      </c>
      <c r="B76" s="45">
        <v>45609</v>
      </c>
      <c r="C76" t="s">
        <v>403</v>
      </c>
      <c r="D76" t="s">
        <v>200</v>
      </c>
      <c r="E76" t="s">
        <v>215</v>
      </c>
      <c r="F76">
        <v>3</v>
      </c>
      <c r="G76">
        <v>2760</v>
      </c>
      <c r="H76">
        <v>2.4</v>
      </c>
      <c r="I76">
        <v>8081.28</v>
      </c>
      <c r="J76" t="s">
        <v>87</v>
      </c>
      <c r="K76" t="s">
        <v>117</v>
      </c>
      <c r="L76">
        <v>0</v>
      </c>
      <c r="M76" t="b">
        <v>1</v>
      </c>
      <c r="N76" t="s">
        <v>2806</v>
      </c>
      <c r="O76" t="s">
        <v>2507</v>
      </c>
      <c r="P76">
        <v>59</v>
      </c>
      <c r="Q76" t="s">
        <v>2855</v>
      </c>
      <c r="R76">
        <v>1435</v>
      </c>
    </row>
    <row r="77" spans="1:18" x14ac:dyDescent="0.3">
      <c r="A77" t="s">
        <v>302</v>
      </c>
      <c r="B77" s="45">
        <v>45585</v>
      </c>
      <c r="C77" t="s">
        <v>258</v>
      </c>
      <c r="D77" t="s">
        <v>110</v>
      </c>
      <c r="E77" t="s">
        <v>303</v>
      </c>
      <c r="F77">
        <v>1</v>
      </c>
      <c r="G77">
        <v>370</v>
      </c>
      <c r="H77">
        <v>28.9</v>
      </c>
      <c r="I77">
        <v>263.07</v>
      </c>
      <c r="J77" t="s">
        <v>87</v>
      </c>
      <c r="K77" t="s">
        <v>99</v>
      </c>
      <c r="L77">
        <v>0</v>
      </c>
      <c r="M77" t="b">
        <v>1</v>
      </c>
      <c r="N77" t="s">
        <v>2817</v>
      </c>
      <c r="O77" t="s">
        <v>2515</v>
      </c>
      <c r="P77">
        <v>55</v>
      </c>
      <c r="Q77" t="s">
        <v>2871</v>
      </c>
      <c r="R77">
        <v>288</v>
      </c>
    </row>
    <row r="78" spans="1:18" x14ac:dyDescent="0.3">
      <c r="A78" t="s">
        <v>2265</v>
      </c>
      <c r="B78" s="45">
        <v>45597</v>
      </c>
      <c r="C78" t="s">
        <v>986</v>
      </c>
      <c r="D78" t="s">
        <v>282</v>
      </c>
      <c r="E78" t="s">
        <v>215</v>
      </c>
      <c r="F78">
        <v>3</v>
      </c>
      <c r="G78">
        <v>300</v>
      </c>
      <c r="H78">
        <v>7.5</v>
      </c>
      <c r="I78">
        <v>832.5</v>
      </c>
      <c r="J78" t="s">
        <v>144</v>
      </c>
      <c r="K78" t="s">
        <v>94</v>
      </c>
      <c r="L78">
        <v>0</v>
      </c>
      <c r="M78" t="b">
        <v>1</v>
      </c>
      <c r="N78" t="s">
        <v>2784</v>
      </c>
      <c r="O78" t="s">
        <v>2509</v>
      </c>
      <c r="P78">
        <v>52</v>
      </c>
      <c r="Q78" t="s">
        <v>2855</v>
      </c>
      <c r="R78">
        <v>128</v>
      </c>
    </row>
    <row r="79" spans="1:18" x14ac:dyDescent="0.3">
      <c r="A79" t="s">
        <v>2254</v>
      </c>
      <c r="B79" s="45">
        <v>45617</v>
      </c>
      <c r="C79" t="s">
        <v>258</v>
      </c>
      <c r="D79" t="s">
        <v>367</v>
      </c>
      <c r="E79" t="s">
        <v>285</v>
      </c>
      <c r="F79">
        <v>8</v>
      </c>
      <c r="G79">
        <v>2380</v>
      </c>
      <c r="H79">
        <v>3.8</v>
      </c>
      <c r="I79">
        <v>18316.48</v>
      </c>
      <c r="J79" t="s">
        <v>87</v>
      </c>
      <c r="K79" t="s">
        <v>99</v>
      </c>
      <c r="L79">
        <v>0</v>
      </c>
      <c r="M79" t="b">
        <v>1</v>
      </c>
      <c r="N79" t="s">
        <v>2806</v>
      </c>
      <c r="O79" t="s">
        <v>2515</v>
      </c>
      <c r="P79">
        <v>55</v>
      </c>
      <c r="Q79" t="s">
        <v>2871</v>
      </c>
      <c r="R79">
        <v>1182</v>
      </c>
    </row>
    <row r="80" spans="1:18" x14ac:dyDescent="0.3">
      <c r="A80" t="s">
        <v>2249</v>
      </c>
      <c r="B80" s="45">
        <v>45587</v>
      </c>
      <c r="C80" t="s">
        <v>1261</v>
      </c>
      <c r="D80" t="s">
        <v>164</v>
      </c>
      <c r="E80" t="s">
        <v>98</v>
      </c>
      <c r="F80">
        <v>7</v>
      </c>
      <c r="G80">
        <v>1080</v>
      </c>
      <c r="H80">
        <v>12.9</v>
      </c>
      <c r="I80">
        <v>6584.76</v>
      </c>
      <c r="J80" t="s">
        <v>87</v>
      </c>
      <c r="K80" t="s">
        <v>117</v>
      </c>
      <c r="L80">
        <v>0</v>
      </c>
      <c r="M80" t="b">
        <v>1</v>
      </c>
      <c r="N80" t="s">
        <v>2817</v>
      </c>
      <c r="O80" t="s">
        <v>2507</v>
      </c>
      <c r="P80">
        <v>54</v>
      </c>
      <c r="Q80" t="s">
        <v>2862</v>
      </c>
      <c r="R80">
        <v>519</v>
      </c>
    </row>
    <row r="81" spans="1:18" x14ac:dyDescent="0.3">
      <c r="A81" t="s">
        <v>2242</v>
      </c>
      <c r="B81" s="45">
        <v>45651</v>
      </c>
      <c r="C81" t="s">
        <v>697</v>
      </c>
      <c r="D81" t="s">
        <v>184</v>
      </c>
      <c r="E81" t="s">
        <v>325</v>
      </c>
      <c r="F81">
        <v>5</v>
      </c>
      <c r="G81">
        <v>4880</v>
      </c>
      <c r="H81">
        <v>22.9</v>
      </c>
      <c r="I81">
        <v>18812.400000000001</v>
      </c>
      <c r="J81" t="s">
        <v>87</v>
      </c>
      <c r="K81" t="s">
        <v>133</v>
      </c>
      <c r="L81">
        <v>0</v>
      </c>
      <c r="M81" t="b">
        <v>1</v>
      </c>
      <c r="N81" t="s">
        <v>2828</v>
      </c>
      <c r="O81" t="s">
        <v>2507</v>
      </c>
      <c r="P81">
        <v>65</v>
      </c>
      <c r="Q81" t="s">
        <v>2862</v>
      </c>
      <c r="R81">
        <v>2768</v>
      </c>
    </row>
    <row r="82" spans="1:18" x14ac:dyDescent="0.3">
      <c r="A82" t="s">
        <v>311</v>
      </c>
      <c r="B82" s="45">
        <v>45615</v>
      </c>
      <c r="C82" t="s">
        <v>312</v>
      </c>
      <c r="D82" t="s">
        <v>138</v>
      </c>
      <c r="E82" t="s">
        <v>128</v>
      </c>
      <c r="F82">
        <v>2</v>
      </c>
      <c r="G82">
        <v>2600</v>
      </c>
      <c r="H82">
        <v>1.9</v>
      </c>
      <c r="I82">
        <v>5101.2</v>
      </c>
      <c r="J82" t="s">
        <v>93</v>
      </c>
      <c r="K82" t="s">
        <v>133</v>
      </c>
      <c r="L82">
        <v>0</v>
      </c>
      <c r="M82" t="b">
        <v>1</v>
      </c>
      <c r="N82" t="s">
        <v>2784</v>
      </c>
      <c r="O82" t="s">
        <v>2507</v>
      </c>
      <c r="P82">
        <v>46</v>
      </c>
      <c r="Q82" t="s">
        <v>2879</v>
      </c>
      <c r="R82">
        <v>1052</v>
      </c>
    </row>
    <row r="83" spans="1:18" x14ac:dyDescent="0.3">
      <c r="A83" t="s">
        <v>2240</v>
      </c>
      <c r="B83" s="45">
        <v>45602</v>
      </c>
      <c r="C83" t="s">
        <v>247</v>
      </c>
      <c r="D83" t="s">
        <v>143</v>
      </c>
      <c r="E83" t="s">
        <v>215</v>
      </c>
      <c r="F83">
        <v>5</v>
      </c>
      <c r="G83">
        <v>3250</v>
      </c>
      <c r="H83">
        <v>19.899999999999999</v>
      </c>
      <c r="I83">
        <v>13016.25</v>
      </c>
      <c r="J83" t="s">
        <v>87</v>
      </c>
      <c r="K83" t="s">
        <v>117</v>
      </c>
      <c r="L83">
        <v>0</v>
      </c>
      <c r="M83" t="b">
        <v>1</v>
      </c>
      <c r="N83" t="s">
        <v>2817</v>
      </c>
      <c r="O83" t="s">
        <v>2507</v>
      </c>
      <c r="P83">
        <v>34</v>
      </c>
      <c r="Q83" t="s">
        <v>2855</v>
      </c>
      <c r="R83">
        <v>1556</v>
      </c>
    </row>
    <row r="84" spans="1:18" x14ac:dyDescent="0.3">
      <c r="A84" t="s">
        <v>2236</v>
      </c>
      <c r="B84" s="45">
        <v>45596</v>
      </c>
      <c r="C84" t="s">
        <v>1234</v>
      </c>
      <c r="D84" t="s">
        <v>167</v>
      </c>
      <c r="E84" t="s">
        <v>158</v>
      </c>
      <c r="F84">
        <v>3</v>
      </c>
      <c r="G84">
        <v>2480</v>
      </c>
      <c r="H84">
        <v>28.7</v>
      </c>
      <c r="I84">
        <v>5304.72</v>
      </c>
      <c r="J84" t="s">
        <v>93</v>
      </c>
      <c r="K84" t="s">
        <v>112</v>
      </c>
      <c r="L84">
        <v>0</v>
      </c>
      <c r="M84" t="b">
        <v>1</v>
      </c>
      <c r="N84" t="s">
        <v>2795</v>
      </c>
      <c r="O84" t="s">
        <v>2507</v>
      </c>
      <c r="P84">
        <v>29</v>
      </c>
      <c r="Q84" t="s">
        <v>2871</v>
      </c>
      <c r="R84">
        <v>1173</v>
      </c>
    </row>
    <row r="85" spans="1:18" x14ac:dyDescent="0.3">
      <c r="A85" t="s">
        <v>2229</v>
      </c>
      <c r="B85" s="45">
        <v>45614</v>
      </c>
      <c r="C85" t="s">
        <v>440</v>
      </c>
      <c r="D85" t="s">
        <v>264</v>
      </c>
      <c r="E85" t="s">
        <v>192</v>
      </c>
      <c r="F85">
        <v>1</v>
      </c>
      <c r="G85">
        <v>4070</v>
      </c>
      <c r="H85">
        <v>9.3000000000000007</v>
      </c>
      <c r="I85">
        <v>3691.49</v>
      </c>
      <c r="J85" t="s">
        <v>144</v>
      </c>
      <c r="K85" t="s">
        <v>88</v>
      </c>
      <c r="L85">
        <v>0</v>
      </c>
      <c r="M85" t="b">
        <v>1</v>
      </c>
      <c r="N85" t="s">
        <v>2806</v>
      </c>
      <c r="O85" t="s">
        <v>2515</v>
      </c>
      <c r="P85">
        <v>30</v>
      </c>
      <c r="Q85" t="s">
        <v>2871</v>
      </c>
      <c r="R85">
        <v>2027</v>
      </c>
    </row>
    <row r="86" spans="1:18" x14ac:dyDescent="0.3">
      <c r="A86" t="s">
        <v>2228</v>
      </c>
      <c r="B86" s="45">
        <v>45617</v>
      </c>
      <c r="C86" t="s">
        <v>244</v>
      </c>
      <c r="D86" t="s">
        <v>295</v>
      </c>
      <c r="E86" t="s">
        <v>201</v>
      </c>
      <c r="F86">
        <v>5</v>
      </c>
      <c r="G86">
        <v>2030</v>
      </c>
      <c r="H86">
        <v>0.9</v>
      </c>
      <c r="I86">
        <v>10058.65</v>
      </c>
      <c r="J86" t="s">
        <v>140</v>
      </c>
      <c r="K86" t="s">
        <v>94</v>
      </c>
      <c r="L86">
        <v>0</v>
      </c>
      <c r="M86" t="b">
        <v>1</v>
      </c>
      <c r="N86" t="s">
        <v>2817</v>
      </c>
      <c r="O86" t="s">
        <v>2509</v>
      </c>
      <c r="P86">
        <v>52</v>
      </c>
      <c r="Q86" t="s">
        <v>2879</v>
      </c>
      <c r="R86">
        <v>1143</v>
      </c>
    </row>
    <row r="87" spans="1:18" x14ac:dyDescent="0.3">
      <c r="A87" t="s">
        <v>2226</v>
      </c>
      <c r="B87" s="45">
        <v>45576</v>
      </c>
      <c r="C87" t="s">
        <v>447</v>
      </c>
      <c r="D87" t="s">
        <v>270</v>
      </c>
      <c r="E87" t="s">
        <v>325</v>
      </c>
      <c r="F87">
        <v>8</v>
      </c>
      <c r="G87">
        <v>4610</v>
      </c>
      <c r="H87">
        <v>24.5</v>
      </c>
      <c r="I87">
        <v>27844.400000000001</v>
      </c>
      <c r="J87" t="s">
        <v>87</v>
      </c>
      <c r="K87" t="s">
        <v>112</v>
      </c>
      <c r="L87">
        <v>0</v>
      </c>
      <c r="M87" t="b">
        <v>1</v>
      </c>
      <c r="N87" t="s">
        <v>2817</v>
      </c>
      <c r="O87" t="s">
        <v>2507</v>
      </c>
      <c r="P87">
        <v>41</v>
      </c>
      <c r="Q87" t="s">
        <v>2862</v>
      </c>
      <c r="R87">
        <v>1850</v>
      </c>
    </row>
    <row r="88" spans="1:18" x14ac:dyDescent="0.3">
      <c r="A88" t="s">
        <v>2218</v>
      </c>
      <c r="B88" s="45">
        <v>45589</v>
      </c>
      <c r="C88" t="s">
        <v>902</v>
      </c>
      <c r="D88" t="s">
        <v>200</v>
      </c>
      <c r="E88" t="s">
        <v>252</v>
      </c>
      <c r="F88">
        <v>1</v>
      </c>
      <c r="G88">
        <v>2760</v>
      </c>
      <c r="H88">
        <v>17.8</v>
      </c>
      <c r="I88">
        <v>2268.7199999999998</v>
      </c>
      <c r="J88" t="s">
        <v>144</v>
      </c>
      <c r="K88" t="s">
        <v>112</v>
      </c>
      <c r="L88">
        <v>0</v>
      </c>
      <c r="M88" t="b">
        <v>1</v>
      </c>
      <c r="N88" t="s">
        <v>2806</v>
      </c>
      <c r="O88" t="s">
        <v>2507</v>
      </c>
      <c r="P88">
        <v>37</v>
      </c>
      <c r="Q88" t="s">
        <v>2862</v>
      </c>
      <c r="R88">
        <v>1435</v>
      </c>
    </row>
    <row r="89" spans="1:18" x14ac:dyDescent="0.3">
      <c r="A89" t="s">
        <v>2217</v>
      </c>
      <c r="B89" s="45">
        <v>45647</v>
      </c>
      <c r="C89" t="s">
        <v>895</v>
      </c>
      <c r="D89" t="s">
        <v>191</v>
      </c>
      <c r="E89" t="s">
        <v>343</v>
      </c>
      <c r="F89">
        <v>10</v>
      </c>
      <c r="G89">
        <v>5100</v>
      </c>
      <c r="H89">
        <v>12.7</v>
      </c>
      <c r="I89">
        <v>44523</v>
      </c>
      <c r="J89" t="s">
        <v>87</v>
      </c>
      <c r="K89" t="s">
        <v>117</v>
      </c>
      <c r="L89">
        <v>0</v>
      </c>
      <c r="M89" t="b">
        <v>1</v>
      </c>
      <c r="N89" t="s">
        <v>2828</v>
      </c>
      <c r="O89" t="s">
        <v>2507</v>
      </c>
      <c r="P89">
        <v>46</v>
      </c>
      <c r="Q89" t="s">
        <v>2879</v>
      </c>
      <c r="R89">
        <v>2237</v>
      </c>
    </row>
    <row r="90" spans="1:18" x14ac:dyDescent="0.3">
      <c r="A90" t="s">
        <v>327</v>
      </c>
      <c r="B90" s="45">
        <v>45600</v>
      </c>
      <c r="C90" t="s">
        <v>328</v>
      </c>
      <c r="D90" t="s">
        <v>97</v>
      </c>
      <c r="E90" t="s">
        <v>201</v>
      </c>
      <c r="F90">
        <v>2</v>
      </c>
      <c r="G90">
        <v>470</v>
      </c>
      <c r="H90">
        <v>5.4</v>
      </c>
      <c r="I90">
        <v>889.24</v>
      </c>
      <c r="J90" t="s">
        <v>87</v>
      </c>
      <c r="K90" t="s">
        <v>94</v>
      </c>
      <c r="L90">
        <v>0</v>
      </c>
      <c r="M90" t="b">
        <v>0</v>
      </c>
      <c r="N90" t="s">
        <v>2839</v>
      </c>
      <c r="O90" t="s">
        <v>2507</v>
      </c>
      <c r="P90">
        <v>28</v>
      </c>
      <c r="Q90" t="s">
        <v>2879</v>
      </c>
      <c r="R90">
        <v>302</v>
      </c>
    </row>
    <row r="91" spans="1:18" x14ac:dyDescent="0.3">
      <c r="A91" t="s">
        <v>329</v>
      </c>
      <c r="B91" s="45">
        <v>45587</v>
      </c>
      <c r="C91" t="s">
        <v>172</v>
      </c>
      <c r="D91" t="s">
        <v>120</v>
      </c>
      <c r="E91" t="s">
        <v>132</v>
      </c>
      <c r="F91">
        <v>3</v>
      </c>
      <c r="G91">
        <v>1430</v>
      </c>
      <c r="H91">
        <v>6.5</v>
      </c>
      <c r="I91">
        <v>4011.15</v>
      </c>
      <c r="J91" t="s">
        <v>87</v>
      </c>
      <c r="K91" t="s">
        <v>88</v>
      </c>
      <c r="L91">
        <v>0</v>
      </c>
      <c r="M91" t="b">
        <v>1</v>
      </c>
      <c r="N91" t="s">
        <v>2784</v>
      </c>
      <c r="O91" t="s">
        <v>2507</v>
      </c>
      <c r="P91">
        <v>50</v>
      </c>
      <c r="Q91" t="s">
        <v>2862</v>
      </c>
      <c r="R91">
        <v>861</v>
      </c>
    </row>
    <row r="92" spans="1:18" x14ac:dyDescent="0.3">
      <c r="A92" t="s">
        <v>2215</v>
      </c>
      <c r="B92" s="45">
        <v>45612</v>
      </c>
      <c r="C92" t="s">
        <v>561</v>
      </c>
      <c r="D92" t="s">
        <v>248</v>
      </c>
      <c r="E92" t="s">
        <v>252</v>
      </c>
      <c r="F92">
        <v>1</v>
      </c>
      <c r="G92">
        <v>3870</v>
      </c>
      <c r="H92">
        <v>27.3</v>
      </c>
      <c r="I92">
        <v>2813.49</v>
      </c>
      <c r="J92" t="s">
        <v>87</v>
      </c>
      <c r="K92" t="s">
        <v>133</v>
      </c>
      <c r="L92">
        <v>0</v>
      </c>
      <c r="M92" t="b">
        <v>1</v>
      </c>
      <c r="N92" t="s">
        <v>2784</v>
      </c>
      <c r="O92" t="s">
        <v>2515</v>
      </c>
      <c r="P92">
        <v>43</v>
      </c>
      <c r="Q92" t="s">
        <v>2862</v>
      </c>
      <c r="R92">
        <v>1559</v>
      </c>
    </row>
    <row r="93" spans="1:18" x14ac:dyDescent="0.3">
      <c r="A93" t="s">
        <v>2208</v>
      </c>
      <c r="B93" s="45">
        <v>45631</v>
      </c>
      <c r="C93" t="s">
        <v>565</v>
      </c>
      <c r="D93" t="s">
        <v>355</v>
      </c>
      <c r="E93" t="s">
        <v>98</v>
      </c>
      <c r="F93">
        <v>4</v>
      </c>
      <c r="G93">
        <v>2510</v>
      </c>
      <c r="H93">
        <v>26.6</v>
      </c>
      <c r="I93">
        <v>7369.36</v>
      </c>
      <c r="J93" t="s">
        <v>87</v>
      </c>
      <c r="K93" t="s">
        <v>112</v>
      </c>
      <c r="L93">
        <v>0</v>
      </c>
      <c r="M93" t="b">
        <v>0</v>
      </c>
      <c r="N93" t="s">
        <v>2795</v>
      </c>
      <c r="O93" t="s">
        <v>2515</v>
      </c>
      <c r="P93">
        <v>61</v>
      </c>
      <c r="Q93" t="s">
        <v>2862</v>
      </c>
      <c r="R93">
        <v>1075</v>
      </c>
    </row>
    <row r="94" spans="1:18" x14ac:dyDescent="0.3">
      <c r="A94" t="s">
        <v>334</v>
      </c>
      <c r="B94" s="45">
        <v>45622</v>
      </c>
      <c r="C94" t="s">
        <v>305</v>
      </c>
      <c r="D94" t="s">
        <v>245</v>
      </c>
      <c r="E94" t="s">
        <v>132</v>
      </c>
      <c r="F94">
        <v>6</v>
      </c>
      <c r="G94">
        <v>2270</v>
      </c>
      <c r="H94">
        <v>2</v>
      </c>
      <c r="I94">
        <v>13347.6</v>
      </c>
      <c r="J94" t="s">
        <v>87</v>
      </c>
      <c r="K94" t="s">
        <v>133</v>
      </c>
      <c r="L94">
        <v>0</v>
      </c>
      <c r="M94" t="b">
        <v>1</v>
      </c>
      <c r="N94" t="s">
        <v>2806</v>
      </c>
      <c r="O94" t="s">
        <v>2509</v>
      </c>
      <c r="P94">
        <v>46</v>
      </c>
      <c r="Q94" t="s">
        <v>2862</v>
      </c>
      <c r="R94">
        <v>1412</v>
      </c>
    </row>
    <row r="95" spans="1:18" x14ac:dyDescent="0.3">
      <c r="A95" t="s">
        <v>2207</v>
      </c>
      <c r="B95" s="45">
        <v>45600</v>
      </c>
      <c r="C95" t="s">
        <v>299</v>
      </c>
      <c r="D95" t="s">
        <v>179</v>
      </c>
      <c r="E95" t="s">
        <v>111</v>
      </c>
      <c r="F95">
        <v>7</v>
      </c>
      <c r="G95">
        <v>3350</v>
      </c>
      <c r="H95">
        <v>13.4</v>
      </c>
      <c r="I95">
        <v>20307.7</v>
      </c>
      <c r="J95" t="s">
        <v>93</v>
      </c>
      <c r="K95" t="s">
        <v>133</v>
      </c>
      <c r="L95">
        <v>0</v>
      </c>
      <c r="M95" t="b">
        <v>1</v>
      </c>
      <c r="N95" t="s">
        <v>2828</v>
      </c>
      <c r="O95" t="s">
        <v>2507</v>
      </c>
      <c r="P95">
        <v>29</v>
      </c>
      <c r="Q95" t="s">
        <v>2879</v>
      </c>
      <c r="R95">
        <v>1728</v>
      </c>
    </row>
    <row r="96" spans="1:18" x14ac:dyDescent="0.3">
      <c r="A96" t="s">
        <v>2205</v>
      </c>
      <c r="B96" s="45">
        <v>45603</v>
      </c>
      <c r="C96" t="s">
        <v>366</v>
      </c>
      <c r="D96" t="s">
        <v>351</v>
      </c>
      <c r="E96" t="s">
        <v>148</v>
      </c>
      <c r="F96">
        <v>10</v>
      </c>
      <c r="G96">
        <v>4060</v>
      </c>
      <c r="H96">
        <v>2.2999999999999998</v>
      </c>
      <c r="I96">
        <v>39666.199999999997</v>
      </c>
      <c r="J96" t="s">
        <v>87</v>
      </c>
      <c r="K96" t="s">
        <v>112</v>
      </c>
      <c r="L96">
        <v>0</v>
      </c>
      <c r="M96" t="b">
        <v>1</v>
      </c>
      <c r="N96" t="s">
        <v>2806</v>
      </c>
      <c r="O96" t="s">
        <v>2507</v>
      </c>
      <c r="P96">
        <v>25</v>
      </c>
      <c r="Q96" t="s">
        <v>2855</v>
      </c>
      <c r="R96">
        <v>2911</v>
      </c>
    </row>
    <row r="97" spans="1:18" x14ac:dyDescent="0.3">
      <c r="A97" t="s">
        <v>339</v>
      </c>
      <c r="B97" s="45">
        <v>45648</v>
      </c>
      <c r="C97" t="s">
        <v>340</v>
      </c>
      <c r="D97" t="s">
        <v>147</v>
      </c>
      <c r="E97" t="s">
        <v>201</v>
      </c>
      <c r="F97">
        <v>6</v>
      </c>
      <c r="G97">
        <v>190</v>
      </c>
      <c r="H97">
        <v>19.2</v>
      </c>
      <c r="I97">
        <v>921.12</v>
      </c>
      <c r="J97" t="s">
        <v>87</v>
      </c>
      <c r="K97" t="s">
        <v>88</v>
      </c>
      <c r="L97">
        <v>0</v>
      </c>
      <c r="M97" t="b">
        <v>1</v>
      </c>
      <c r="N97" t="s">
        <v>2839</v>
      </c>
      <c r="O97" t="s">
        <v>2507</v>
      </c>
      <c r="P97">
        <v>25</v>
      </c>
      <c r="Q97" t="s">
        <v>2879</v>
      </c>
      <c r="R97">
        <v>147</v>
      </c>
    </row>
    <row r="98" spans="1:18" x14ac:dyDescent="0.3">
      <c r="A98" t="s">
        <v>341</v>
      </c>
      <c r="B98" s="45">
        <v>45607</v>
      </c>
      <c r="C98" t="s">
        <v>342</v>
      </c>
      <c r="D98" t="s">
        <v>191</v>
      </c>
      <c r="E98" t="s">
        <v>343</v>
      </c>
      <c r="F98">
        <v>10</v>
      </c>
      <c r="G98">
        <v>5100</v>
      </c>
      <c r="H98">
        <v>25.4</v>
      </c>
      <c r="I98">
        <v>38046</v>
      </c>
      <c r="J98" t="s">
        <v>144</v>
      </c>
      <c r="K98" t="s">
        <v>94</v>
      </c>
      <c r="L98">
        <v>0</v>
      </c>
      <c r="M98" t="b">
        <v>1</v>
      </c>
      <c r="N98" t="s">
        <v>2828</v>
      </c>
      <c r="O98" t="s">
        <v>2507</v>
      </c>
      <c r="P98">
        <v>26</v>
      </c>
      <c r="Q98" t="s">
        <v>2879</v>
      </c>
      <c r="R98">
        <v>2237</v>
      </c>
    </row>
    <row r="99" spans="1:18" x14ac:dyDescent="0.3">
      <c r="A99" t="s">
        <v>2204</v>
      </c>
      <c r="B99" s="45">
        <v>45622</v>
      </c>
      <c r="C99" t="s">
        <v>835</v>
      </c>
      <c r="D99" t="s">
        <v>138</v>
      </c>
      <c r="E99" t="s">
        <v>303</v>
      </c>
      <c r="F99">
        <v>1</v>
      </c>
      <c r="G99">
        <v>2600</v>
      </c>
      <c r="H99">
        <v>5.9</v>
      </c>
      <c r="I99">
        <v>2446.6</v>
      </c>
      <c r="J99" t="s">
        <v>87</v>
      </c>
      <c r="K99" t="s">
        <v>117</v>
      </c>
      <c r="L99">
        <v>0</v>
      </c>
      <c r="M99" t="b">
        <v>1</v>
      </c>
      <c r="N99" t="s">
        <v>2784</v>
      </c>
      <c r="O99" t="s">
        <v>2507</v>
      </c>
      <c r="P99">
        <v>52</v>
      </c>
      <c r="Q99" t="s">
        <v>2871</v>
      </c>
      <c r="R99">
        <v>1052</v>
      </c>
    </row>
    <row r="100" spans="1:18" x14ac:dyDescent="0.3">
      <c r="A100" t="s">
        <v>2201</v>
      </c>
      <c r="B100" s="45">
        <v>45566</v>
      </c>
      <c r="C100" t="s">
        <v>1172</v>
      </c>
      <c r="D100" t="s">
        <v>143</v>
      </c>
      <c r="E100" t="s">
        <v>121</v>
      </c>
      <c r="F100">
        <v>9</v>
      </c>
      <c r="G100">
        <v>3250</v>
      </c>
      <c r="H100">
        <v>25.9</v>
      </c>
      <c r="I100">
        <v>21674.25</v>
      </c>
      <c r="J100" t="s">
        <v>87</v>
      </c>
      <c r="K100" t="s">
        <v>88</v>
      </c>
      <c r="L100">
        <v>0</v>
      </c>
      <c r="M100" t="b">
        <v>1</v>
      </c>
      <c r="N100" t="s">
        <v>2817</v>
      </c>
      <c r="O100" t="s">
        <v>2507</v>
      </c>
      <c r="P100">
        <v>39</v>
      </c>
      <c r="Q100" t="s">
        <v>2871</v>
      </c>
      <c r="R100">
        <v>1556</v>
      </c>
    </row>
    <row r="101" spans="1:18" x14ac:dyDescent="0.3">
      <c r="A101" t="s">
        <v>2196</v>
      </c>
      <c r="B101" s="45">
        <v>45626</v>
      </c>
      <c r="C101" t="s">
        <v>561</v>
      </c>
      <c r="D101" t="s">
        <v>187</v>
      </c>
      <c r="E101" t="s">
        <v>201</v>
      </c>
      <c r="F101">
        <v>3</v>
      </c>
      <c r="G101">
        <v>3570</v>
      </c>
      <c r="H101">
        <v>18.399999999999999</v>
      </c>
      <c r="I101">
        <v>8739.36</v>
      </c>
      <c r="J101" t="s">
        <v>144</v>
      </c>
      <c r="K101" t="s">
        <v>133</v>
      </c>
      <c r="L101">
        <v>0</v>
      </c>
      <c r="M101" t="b">
        <v>1</v>
      </c>
      <c r="N101" t="s">
        <v>2784</v>
      </c>
      <c r="O101" t="s">
        <v>2515</v>
      </c>
      <c r="P101">
        <v>43</v>
      </c>
      <c r="Q101" t="s">
        <v>2879</v>
      </c>
      <c r="R101">
        <v>1665</v>
      </c>
    </row>
    <row r="102" spans="1:18" x14ac:dyDescent="0.3">
      <c r="A102" t="s">
        <v>2194</v>
      </c>
      <c r="B102" s="45">
        <v>45595</v>
      </c>
      <c r="C102" t="s">
        <v>181</v>
      </c>
      <c r="D102" t="s">
        <v>502</v>
      </c>
      <c r="E102" t="s">
        <v>121</v>
      </c>
      <c r="F102">
        <v>1</v>
      </c>
      <c r="G102">
        <v>1090</v>
      </c>
      <c r="H102">
        <v>23.5</v>
      </c>
      <c r="I102">
        <v>833.85</v>
      </c>
      <c r="J102" t="s">
        <v>87</v>
      </c>
      <c r="K102" t="s">
        <v>99</v>
      </c>
      <c r="L102">
        <v>0</v>
      </c>
      <c r="M102" t="b">
        <v>1</v>
      </c>
      <c r="N102" t="s">
        <v>2817</v>
      </c>
      <c r="O102" t="s">
        <v>2507</v>
      </c>
      <c r="P102">
        <v>31</v>
      </c>
      <c r="Q102" t="s">
        <v>2871</v>
      </c>
      <c r="R102">
        <v>464</v>
      </c>
    </row>
    <row r="103" spans="1:18" x14ac:dyDescent="0.3">
      <c r="A103" t="s">
        <v>2193</v>
      </c>
      <c r="B103" s="45">
        <v>45629</v>
      </c>
      <c r="C103" t="s">
        <v>1261</v>
      </c>
      <c r="D103" t="s">
        <v>267</v>
      </c>
      <c r="E103" t="s">
        <v>139</v>
      </c>
      <c r="F103">
        <v>7</v>
      </c>
      <c r="G103">
        <v>1220</v>
      </c>
      <c r="H103">
        <v>18.8</v>
      </c>
      <c r="I103">
        <v>6934.48</v>
      </c>
      <c r="J103" t="s">
        <v>93</v>
      </c>
      <c r="K103" t="s">
        <v>117</v>
      </c>
      <c r="L103">
        <v>0</v>
      </c>
      <c r="M103" t="b">
        <v>1</v>
      </c>
      <c r="N103" t="s">
        <v>2784</v>
      </c>
      <c r="O103" t="s">
        <v>2507</v>
      </c>
      <c r="P103">
        <v>54</v>
      </c>
      <c r="Q103" t="s">
        <v>2855</v>
      </c>
      <c r="R103">
        <v>517</v>
      </c>
    </row>
    <row r="104" spans="1:18" x14ac:dyDescent="0.3">
      <c r="A104" t="s">
        <v>2186</v>
      </c>
      <c r="B104" s="45">
        <v>45596</v>
      </c>
      <c r="C104" t="s">
        <v>551</v>
      </c>
      <c r="D104" t="s">
        <v>248</v>
      </c>
      <c r="E104" t="s">
        <v>229</v>
      </c>
      <c r="F104">
        <v>4</v>
      </c>
      <c r="G104">
        <v>3870</v>
      </c>
      <c r="H104">
        <v>15.9</v>
      </c>
      <c r="I104">
        <v>13018.68</v>
      </c>
      <c r="J104" t="s">
        <v>87</v>
      </c>
      <c r="K104" t="s">
        <v>112</v>
      </c>
      <c r="L104">
        <v>0</v>
      </c>
      <c r="M104" t="b">
        <v>1</v>
      </c>
      <c r="N104" t="s">
        <v>2784</v>
      </c>
      <c r="O104" t="s">
        <v>2509</v>
      </c>
      <c r="P104">
        <v>60</v>
      </c>
      <c r="Q104" t="s">
        <v>2879</v>
      </c>
      <c r="R104">
        <v>1559</v>
      </c>
    </row>
    <row r="105" spans="1:18" x14ac:dyDescent="0.3">
      <c r="A105" t="s">
        <v>2185</v>
      </c>
      <c r="B105" s="45">
        <v>45649</v>
      </c>
      <c r="C105" t="s">
        <v>228</v>
      </c>
      <c r="D105" t="s">
        <v>115</v>
      </c>
      <c r="E105" t="s">
        <v>111</v>
      </c>
      <c r="F105">
        <v>4</v>
      </c>
      <c r="G105">
        <v>960</v>
      </c>
      <c r="H105">
        <v>6.4</v>
      </c>
      <c r="I105">
        <v>3594.24</v>
      </c>
      <c r="J105" t="s">
        <v>140</v>
      </c>
      <c r="K105" t="s">
        <v>112</v>
      </c>
      <c r="L105">
        <v>0</v>
      </c>
      <c r="M105" t="b">
        <v>1</v>
      </c>
      <c r="N105" t="s">
        <v>2839</v>
      </c>
      <c r="O105" t="s">
        <v>2515</v>
      </c>
      <c r="P105">
        <v>54</v>
      </c>
      <c r="Q105" t="s">
        <v>2879</v>
      </c>
      <c r="R105">
        <v>705</v>
      </c>
    </row>
    <row r="106" spans="1:18" x14ac:dyDescent="0.3">
      <c r="A106" t="s">
        <v>2181</v>
      </c>
      <c r="B106" s="45">
        <v>45588</v>
      </c>
      <c r="C106" t="s">
        <v>559</v>
      </c>
      <c r="D106" t="s">
        <v>164</v>
      </c>
      <c r="E106" t="s">
        <v>111</v>
      </c>
      <c r="F106">
        <v>3</v>
      </c>
      <c r="G106">
        <v>1080</v>
      </c>
      <c r="H106">
        <v>26</v>
      </c>
      <c r="I106">
        <v>2397.6</v>
      </c>
      <c r="J106" t="s">
        <v>87</v>
      </c>
      <c r="K106" t="s">
        <v>88</v>
      </c>
      <c r="L106">
        <v>0</v>
      </c>
      <c r="M106" t="b">
        <v>1</v>
      </c>
      <c r="N106" t="s">
        <v>2817</v>
      </c>
      <c r="O106" t="s">
        <v>2507</v>
      </c>
      <c r="P106">
        <v>62</v>
      </c>
      <c r="Q106" t="s">
        <v>2879</v>
      </c>
      <c r="R106">
        <v>519</v>
      </c>
    </row>
    <row r="107" spans="1:18" x14ac:dyDescent="0.3">
      <c r="A107" t="s">
        <v>2180</v>
      </c>
      <c r="B107" s="45">
        <v>45578</v>
      </c>
      <c r="C107" t="s">
        <v>559</v>
      </c>
      <c r="D107" t="s">
        <v>360</v>
      </c>
      <c r="E107" t="s">
        <v>121</v>
      </c>
      <c r="F107">
        <v>7</v>
      </c>
      <c r="G107">
        <v>5410</v>
      </c>
      <c r="H107">
        <v>15.2</v>
      </c>
      <c r="I107">
        <v>32113.759999999998</v>
      </c>
      <c r="J107" t="s">
        <v>140</v>
      </c>
      <c r="K107" t="s">
        <v>88</v>
      </c>
      <c r="L107">
        <v>0</v>
      </c>
      <c r="M107" t="b">
        <v>1</v>
      </c>
      <c r="N107" t="s">
        <v>2839</v>
      </c>
      <c r="O107" t="s">
        <v>2507</v>
      </c>
      <c r="P107">
        <v>62</v>
      </c>
      <c r="Q107" t="s">
        <v>2871</v>
      </c>
      <c r="R107">
        <v>2265</v>
      </c>
    </row>
    <row r="108" spans="1:18" x14ac:dyDescent="0.3">
      <c r="A108" t="s">
        <v>2176</v>
      </c>
      <c r="B108" s="45">
        <v>45574</v>
      </c>
      <c r="C108" t="s">
        <v>757</v>
      </c>
      <c r="D108" t="s">
        <v>386</v>
      </c>
      <c r="E108" t="s">
        <v>201</v>
      </c>
      <c r="F108">
        <v>5</v>
      </c>
      <c r="G108">
        <v>2290</v>
      </c>
      <c r="H108">
        <v>27.6</v>
      </c>
      <c r="I108">
        <v>8289.7999999999993</v>
      </c>
      <c r="J108" t="s">
        <v>87</v>
      </c>
      <c r="K108" t="s">
        <v>117</v>
      </c>
      <c r="L108">
        <v>0</v>
      </c>
      <c r="M108" t="b">
        <v>1</v>
      </c>
      <c r="N108" t="s">
        <v>2828</v>
      </c>
      <c r="O108" t="s">
        <v>2509</v>
      </c>
      <c r="P108">
        <v>43</v>
      </c>
      <c r="Q108" t="s">
        <v>2879</v>
      </c>
      <c r="R108">
        <v>1219</v>
      </c>
    </row>
    <row r="109" spans="1:18" x14ac:dyDescent="0.3">
      <c r="A109" t="s">
        <v>365</v>
      </c>
      <c r="B109" s="45">
        <v>45640</v>
      </c>
      <c r="C109" t="s">
        <v>366</v>
      </c>
      <c r="D109" t="s">
        <v>367</v>
      </c>
      <c r="E109" t="s">
        <v>238</v>
      </c>
      <c r="F109">
        <v>4</v>
      </c>
      <c r="G109">
        <v>2380</v>
      </c>
      <c r="H109">
        <v>26.2</v>
      </c>
      <c r="I109">
        <v>7025.76</v>
      </c>
      <c r="J109" t="s">
        <v>87</v>
      </c>
      <c r="K109" t="s">
        <v>112</v>
      </c>
      <c r="L109">
        <v>0</v>
      </c>
      <c r="M109" t="b">
        <v>1</v>
      </c>
      <c r="N109" t="s">
        <v>2806</v>
      </c>
      <c r="O109" t="s">
        <v>2507</v>
      </c>
      <c r="P109">
        <v>25</v>
      </c>
      <c r="Q109" t="s">
        <v>2871</v>
      </c>
      <c r="R109">
        <v>1182</v>
      </c>
    </row>
    <row r="110" spans="1:18" x14ac:dyDescent="0.3">
      <c r="A110" t="s">
        <v>2172</v>
      </c>
      <c r="B110" s="45">
        <v>45598</v>
      </c>
      <c r="C110" t="s">
        <v>411</v>
      </c>
      <c r="D110" t="s">
        <v>367</v>
      </c>
      <c r="E110" t="s">
        <v>201</v>
      </c>
      <c r="F110">
        <v>4</v>
      </c>
      <c r="G110">
        <v>2380</v>
      </c>
      <c r="H110">
        <v>6.9</v>
      </c>
      <c r="I110">
        <v>8863.1200000000008</v>
      </c>
      <c r="J110" t="s">
        <v>87</v>
      </c>
      <c r="K110" t="s">
        <v>112</v>
      </c>
      <c r="L110">
        <v>0</v>
      </c>
      <c r="M110" t="b">
        <v>1</v>
      </c>
      <c r="N110" t="s">
        <v>2806</v>
      </c>
      <c r="O110" t="s">
        <v>2507</v>
      </c>
      <c r="P110">
        <v>61</v>
      </c>
      <c r="Q110" t="s">
        <v>2879</v>
      </c>
      <c r="R110">
        <v>1182</v>
      </c>
    </row>
    <row r="111" spans="1:18" x14ac:dyDescent="0.3">
      <c r="A111" t="s">
        <v>2168</v>
      </c>
      <c r="B111" s="45">
        <v>45566</v>
      </c>
      <c r="C111" t="s">
        <v>281</v>
      </c>
      <c r="D111" t="s">
        <v>106</v>
      </c>
      <c r="E111" t="s">
        <v>139</v>
      </c>
      <c r="F111">
        <v>3</v>
      </c>
      <c r="G111">
        <v>3160</v>
      </c>
      <c r="H111">
        <v>13.5</v>
      </c>
      <c r="I111">
        <v>8200.2000000000007</v>
      </c>
      <c r="J111" t="s">
        <v>87</v>
      </c>
      <c r="K111" t="s">
        <v>88</v>
      </c>
      <c r="L111">
        <v>0</v>
      </c>
      <c r="M111" t="b">
        <v>1</v>
      </c>
      <c r="N111" t="s">
        <v>2795</v>
      </c>
      <c r="O111" t="s">
        <v>2507</v>
      </c>
      <c r="P111">
        <v>25</v>
      </c>
      <c r="Q111" t="s">
        <v>2855</v>
      </c>
      <c r="R111">
        <v>1886</v>
      </c>
    </row>
    <row r="112" spans="1:18" x14ac:dyDescent="0.3">
      <c r="A112" t="s">
        <v>372</v>
      </c>
      <c r="B112" s="45">
        <v>45592</v>
      </c>
      <c r="C112" t="s">
        <v>373</v>
      </c>
      <c r="D112" t="s">
        <v>264</v>
      </c>
      <c r="E112" t="s">
        <v>252</v>
      </c>
      <c r="F112">
        <v>2</v>
      </c>
      <c r="G112">
        <v>4070</v>
      </c>
      <c r="H112">
        <v>29</v>
      </c>
      <c r="I112">
        <v>5779.4</v>
      </c>
      <c r="J112" t="s">
        <v>140</v>
      </c>
      <c r="K112" t="s">
        <v>88</v>
      </c>
      <c r="L112">
        <v>0</v>
      </c>
      <c r="M112" t="b">
        <v>1</v>
      </c>
      <c r="N112" t="s">
        <v>2806</v>
      </c>
      <c r="O112" t="s">
        <v>2507</v>
      </c>
      <c r="P112">
        <v>43</v>
      </c>
      <c r="Q112" t="s">
        <v>2862</v>
      </c>
      <c r="R112">
        <v>2027</v>
      </c>
    </row>
    <row r="113" spans="1:18" x14ac:dyDescent="0.3">
      <c r="A113" t="s">
        <v>2157</v>
      </c>
      <c r="B113" s="45">
        <v>45643</v>
      </c>
      <c r="C113" t="s">
        <v>299</v>
      </c>
      <c r="D113" t="s">
        <v>276</v>
      </c>
      <c r="E113" t="s">
        <v>229</v>
      </c>
      <c r="F113">
        <v>5</v>
      </c>
      <c r="G113">
        <v>3020</v>
      </c>
      <c r="H113">
        <v>26.2</v>
      </c>
      <c r="I113">
        <v>11143.8</v>
      </c>
      <c r="J113" t="s">
        <v>87</v>
      </c>
      <c r="K113" t="s">
        <v>133</v>
      </c>
      <c r="L113">
        <v>0</v>
      </c>
      <c r="M113" t="b">
        <v>1</v>
      </c>
      <c r="N113" t="s">
        <v>2828</v>
      </c>
      <c r="O113" t="s">
        <v>2507</v>
      </c>
      <c r="P113">
        <v>29</v>
      </c>
      <c r="Q113" t="s">
        <v>2879</v>
      </c>
      <c r="R113">
        <v>1626</v>
      </c>
    </row>
    <row r="114" spans="1:18" x14ac:dyDescent="0.3">
      <c r="A114" t="s">
        <v>2156</v>
      </c>
      <c r="B114" s="45">
        <v>45568</v>
      </c>
      <c r="C114" t="s">
        <v>510</v>
      </c>
      <c r="D114" t="s">
        <v>91</v>
      </c>
      <c r="E114" t="s">
        <v>238</v>
      </c>
      <c r="F114">
        <v>1</v>
      </c>
      <c r="G114">
        <v>820</v>
      </c>
      <c r="H114">
        <v>17.899999999999999</v>
      </c>
      <c r="I114">
        <v>673.22</v>
      </c>
      <c r="J114" t="s">
        <v>87</v>
      </c>
      <c r="K114" t="s">
        <v>117</v>
      </c>
      <c r="L114">
        <v>0</v>
      </c>
      <c r="M114" t="b">
        <v>1</v>
      </c>
      <c r="N114" t="s">
        <v>2795</v>
      </c>
      <c r="O114" t="s">
        <v>2515</v>
      </c>
      <c r="P114">
        <v>26</v>
      </c>
      <c r="Q114" t="s">
        <v>2871</v>
      </c>
      <c r="R114">
        <v>391</v>
      </c>
    </row>
    <row r="115" spans="1:18" x14ac:dyDescent="0.3">
      <c r="A115" t="s">
        <v>377</v>
      </c>
      <c r="B115" s="45">
        <v>45629</v>
      </c>
      <c r="C115" t="s">
        <v>378</v>
      </c>
      <c r="D115" t="s">
        <v>91</v>
      </c>
      <c r="E115" t="s">
        <v>103</v>
      </c>
      <c r="F115">
        <v>7</v>
      </c>
      <c r="G115">
        <v>820</v>
      </c>
      <c r="H115">
        <v>13.5</v>
      </c>
      <c r="I115">
        <v>4965.1000000000004</v>
      </c>
      <c r="J115" t="s">
        <v>140</v>
      </c>
      <c r="K115" t="s">
        <v>94</v>
      </c>
      <c r="L115">
        <v>0</v>
      </c>
      <c r="M115" t="b">
        <v>1</v>
      </c>
      <c r="N115" t="s">
        <v>2795</v>
      </c>
      <c r="O115" t="s">
        <v>2515</v>
      </c>
      <c r="P115">
        <v>53</v>
      </c>
      <c r="Q115" t="s">
        <v>2855</v>
      </c>
      <c r="R115">
        <v>391</v>
      </c>
    </row>
    <row r="116" spans="1:18" x14ac:dyDescent="0.3">
      <c r="A116" t="s">
        <v>2155</v>
      </c>
      <c r="B116" s="45">
        <v>45653</v>
      </c>
      <c r="C116" t="s">
        <v>247</v>
      </c>
      <c r="D116" t="s">
        <v>264</v>
      </c>
      <c r="E116" t="s">
        <v>132</v>
      </c>
      <c r="F116">
        <v>1</v>
      </c>
      <c r="G116">
        <v>4070</v>
      </c>
      <c r="H116">
        <v>29.1</v>
      </c>
      <c r="I116">
        <v>2885.63</v>
      </c>
      <c r="J116" t="s">
        <v>93</v>
      </c>
      <c r="K116" t="s">
        <v>117</v>
      </c>
      <c r="L116">
        <v>0</v>
      </c>
      <c r="M116" t="b">
        <v>1</v>
      </c>
      <c r="N116" t="s">
        <v>2806</v>
      </c>
      <c r="O116" t="s">
        <v>2507</v>
      </c>
      <c r="P116">
        <v>34</v>
      </c>
      <c r="Q116" t="s">
        <v>2862</v>
      </c>
      <c r="R116">
        <v>2027</v>
      </c>
    </row>
    <row r="117" spans="1:18" x14ac:dyDescent="0.3">
      <c r="A117" t="s">
        <v>2153</v>
      </c>
      <c r="B117" s="45">
        <v>45654</v>
      </c>
      <c r="C117" t="s">
        <v>472</v>
      </c>
      <c r="D117" t="s">
        <v>248</v>
      </c>
      <c r="E117" t="s">
        <v>325</v>
      </c>
      <c r="F117">
        <v>7</v>
      </c>
      <c r="G117">
        <v>3870</v>
      </c>
      <c r="H117">
        <v>5.9</v>
      </c>
      <c r="I117">
        <v>25491.69</v>
      </c>
      <c r="J117" t="s">
        <v>87</v>
      </c>
      <c r="K117" t="s">
        <v>94</v>
      </c>
      <c r="L117">
        <v>0</v>
      </c>
      <c r="M117" t="b">
        <v>1</v>
      </c>
      <c r="N117" t="s">
        <v>2784</v>
      </c>
      <c r="O117" t="s">
        <v>2509</v>
      </c>
      <c r="P117">
        <v>35</v>
      </c>
      <c r="Q117" t="s">
        <v>2862</v>
      </c>
      <c r="R117">
        <v>1559</v>
      </c>
    </row>
    <row r="118" spans="1:18" x14ac:dyDescent="0.3">
      <c r="A118" t="s">
        <v>2152</v>
      </c>
      <c r="B118" s="45">
        <v>45568</v>
      </c>
      <c r="C118" t="s">
        <v>539</v>
      </c>
      <c r="D118" t="s">
        <v>292</v>
      </c>
      <c r="E118" t="s">
        <v>346</v>
      </c>
      <c r="F118">
        <v>2</v>
      </c>
      <c r="G118">
        <v>620</v>
      </c>
      <c r="H118">
        <v>4.3</v>
      </c>
      <c r="I118">
        <v>1186.68</v>
      </c>
      <c r="J118" t="s">
        <v>87</v>
      </c>
      <c r="K118" t="s">
        <v>133</v>
      </c>
      <c r="L118">
        <v>0</v>
      </c>
      <c r="M118" t="b">
        <v>1</v>
      </c>
      <c r="N118" t="s">
        <v>2795</v>
      </c>
      <c r="O118" t="s">
        <v>2507</v>
      </c>
      <c r="P118">
        <v>38</v>
      </c>
      <c r="Q118" t="s">
        <v>2862</v>
      </c>
      <c r="R118">
        <v>396</v>
      </c>
    </row>
    <row r="119" spans="1:18" x14ac:dyDescent="0.3">
      <c r="A119" t="s">
        <v>384</v>
      </c>
      <c r="B119" s="45">
        <v>45597</v>
      </c>
      <c r="C119" t="s">
        <v>385</v>
      </c>
      <c r="D119" t="s">
        <v>386</v>
      </c>
      <c r="E119" t="s">
        <v>128</v>
      </c>
      <c r="F119">
        <v>8</v>
      </c>
      <c r="G119">
        <v>2290</v>
      </c>
      <c r="H119">
        <v>20.8</v>
      </c>
      <c r="I119">
        <v>14509.44</v>
      </c>
      <c r="J119" t="s">
        <v>87</v>
      </c>
      <c r="K119" t="s">
        <v>117</v>
      </c>
      <c r="L119">
        <v>0</v>
      </c>
      <c r="M119" t="b">
        <v>1</v>
      </c>
      <c r="N119" t="s">
        <v>2828</v>
      </c>
      <c r="O119" t="s">
        <v>2507</v>
      </c>
      <c r="P119">
        <v>23</v>
      </c>
      <c r="Q119" t="s">
        <v>2879</v>
      </c>
      <c r="R119">
        <v>1219</v>
      </c>
    </row>
    <row r="120" spans="1:18" x14ac:dyDescent="0.3">
      <c r="A120" t="s">
        <v>2149</v>
      </c>
      <c r="B120" s="45">
        <v>45597</v>
      </c>
      <c r="C120" t="s">
        <v>208</v>
      </c>
      <c r="D120" t="s">
        <v>367</v>
      </c>
      <c r="E120" t="s">
        <v>192</v>
      </c>
      <c r="F120">
        <v>5</v>
      </c>
      <c r="G120">
        <v>2380</v>
      </c>
      <c r="H120">
        <v>16.399999999999999</v>
      </c>
      <c r="I120">
        <v>9948.4</v>
      </c>
      <c r="J120" t="s">
        <v>87</v>
      </c>
      <c r="K120" t="s">
        <v>133</v>
      </c>
      <c r="L120">
        <v>0</v>
      </c>
      <c r="M120" t="b">
        <v>1</v>
      </c>
      <c r="N120" t="s">
        <v>2806</v>
      </c>
      <c r="O120" t="s">
        <v>2507</v>
      </c>
      <c r="P120">
        <v>26</v>
      </c>
      <c r="Q120" t="s">
        <v>2871</v>
      </c>
      <c r="R120">
        <v>1182</v>
      </c>
    </row>
    <row r="121" spans="1:18" x14ac:dyDescent="0.3">
      <c r="A121" t="s">
        <v>389</v>
      </c>
      <c r="B121" s="45">
        <v>45596</v>
      </c>
      <c r="C121" t="s">
        <v>390</v>
      </c>
      <c r="D121" t="s">
        <v>282</v>
      </c>
      <c r="E121" t="s">
        <v>98</v>
      </c>
      <c r="F121">
        <v>1</v>
      </c>
      <c r="G121">
        <v>300</v>
      </c>
      <c r="H121">
        <v>16.899999999999999</v>
      </c>
      <c r="I121">
        <v>249.3</v>
      </c>
      <c r="J121" t="s">
        <v>93</v>
      </c>
      <c r="K121" t="s">
        <v>88</v>
      </c>
      <c r="L121">
        <v>0</v>
      </c>
      <c r="M121" t="b">
        <v>1</v>
      </c>
      <c r="N121" t="s">
        <v>2784</v>
      </c>
      <c r="O121" t="s">
        <v>2515</v>
      </c>
      <c r="P121">
        <v>54</v>
      </c>
      <c r="Q121" t="s">
        <v>2862</v>
      </c>
      <c r="R121">
        <v>128</v>
      </c>
    </row>
    <row r="122" spans="1:18" x14ac:dyDescent="0.3">
      <c r="A122" t="s">
        <v>2147</v>
      </c>
      <c r="B122" s="45">
        <v>45625</v>
      </c>
      <c r="C122" t="s">
        <v>258</v>
      </c>
      <c r="D122" t="s">
        <v>248</v>
      </c>
      <c r="E122" t="s">
        <v>229</v>
      </c>
      <c r="F122">
        <v>8</v>
      </c>
      <c r="G122">
        <v>3870</v>
      </c>
      <c r="H122">
        <v>21.2</v>
      </c>
      <c r="I122">
        <v>24396.48</v>
      </c>
      <c r="J122" t="s">
        <v>93</v>
      </c>
      <c r="K122" t="s">
        <v>99</v>
      </c>
      <c r="L122">
        <v>0</v>
      </c>
      <c r="M122" t="b">
        <v>1</v>
      </c>
      <c r="N122" t="s">
        <v>2784</v>
      </c>
      <c r="O122" t="s">
        <v>2515</v>
      </c>
      <c r="P122">
        <v>55</v>
      </c>
      <c r="Q122" t="s">
        <v>2879</v>
      </c>
      <c r="R122">
        <v>1559</v>
      </c>
    </row>
    <row r="123" spans="1:18" x14ac:dyDescent="0.3">
      <c r="A123" t="s">
        <v>2136</v>
      </c>
      <c r="B123" s="45">
        <v>45624</v>
      </c>
      <c r="C123" t="s">
        <v>537</v>
      </c>
      <c r="D123" t="s">
        <v>184</v>
      </c>
      <c r="E123" t="s">
        <v>252</v>
      </c>
      <c r="F123">
        <v>2</v>
      </c>
      <c r="G123">
        <v>4880</v>
      </c>
      <c r="H123">
        <v>23.8</v>
      </c>
      <c r="I123">
        <v>7437.12</v>
      </c>
      <c r="J123" t="s">
        <v>87</v>
      </c>
      <c r="K123" t="s">
        <v>133</v>
      </c>
      <c r="L123">
        <v>0</v>
      </c>
      <c r="M123" t="b">
        <v>1</v>
      </c>
      <c r="N123" t="s">
        <v>2828</v>
      </c>
      <c r="O123" t="s">
        <v>2515</v>
      </c>
      <c r="P123">
        <v>48</v>
      </c>
      <c r="Q123" t="s">
        <v>2862</v>
      </c>
      <c r="R123">
        <v>2768</v>
      </c>
    </row>
    <row r="124" spans="1:18" x14ac:dyDescent="0.3">
      <c r="A124" t="s">
        <v>2129</v>
      </c>
      <c r="B124" s="45">
        <v>45577</v>
      </c>
      <c r="C124" t="s">
        <v>479</v>
      </c>
      <c r="D124" t="s">
        <v>102</v>
      </c>
      <c r="E124" t="s">
        <v>170</v>
      </c>
      <c r="F124">
        <v>9</v>
      </c>
      <c r="G124">
        <v>3660</v>
      </c>
      <c r="H124">
        <v>9</v>
      </c>
      <c r="I124">
        <v>29975.4</v>
      </c>
      <c r="J124" t="s">
        <v>87</v>
      </c>
      <c r="K124" t="s">
        <v>88</v>
      </c>
      <c r="L124">
        <v>0</v>
      </c>
      <c r="M124" t="b">
        <v>0</v>
      </c>
      <c r="N124" t="s">
        <v>2806</v>
      </c>
      <c r="O124" t="s">
        <v>2515</v>
      </c>
      <c r="P124">
        <v>49</v>
      </c>
      <c r="Q124" t="s">
        <v>2879</v>
      </c>
      <c r="R124">
        <v>2214</v>
      </c>
    </row>
    <row r="125" spans="1:18" x14ac:dyDescent="0.3">
      <c r="A125" t="s">
        <v>396</v>
      </c>
      <c r="B125" s="45">
        <v>45614</v>
      </c>
      <c r="C125" t="s">
        <v>397</v>
      </c>
      <c r="D125" t="s">
        <v>85</v>
      </c>
      <c r="E125" t="s">
        <v>297</v>
      </c>
      <c r="F125">
        <v>6</v>
      </c>
      <c r="G125">
        <v>3620</v>
      </c>
      <c r="H125">
        <v>10.8</v>
      </c>
      <c r="I125">
        <v>19374.240000000002</v>
      </c>
      <c r="J125" t="s">
        <v>87</v>
      </c>
      <c r="K125" t="s">
        <v>99</v>
      </c>
      <c r="L125">
        <v>0</v>
      </c>
      <c r="M125" t="b">
        <v>1</v>
      </c>
      <c r="N125" t="s">
        <v>2795</v>
      </c>
      <c r="O125" t="s">
        <v>2507</v>
      </c>
      <c r="P125">
        <v>30</v>
      </c>
      <c r="Q125" t="s">
        <v>2855</v>
      </c>
      <c r="R125">
        <v>2509</v>
      </c>
    </row>
    <row r="126" spans="1:18" x14ac:dyDescent="0.3">
      <c r="A126" t="s">
        <v>398</v>
      </c>
      <c r="B126" s="45">
        <v>45593</v>
      </c>
      <c r="C126" t="s">
        <v>399</v>
      </c>
      <c r="D126" t="s">
        <v>85</v>
      </c>
      <c r="E126" t="s">
        <v>92</v>
      </c>
      <c r="F126">
        <v>6</v>
      </c>
      <c r="G126">
        <v>3620</v>
      </c>
      <c r="H126">
        <v>21.7</v>
      </c>
      <c r="I126">
        <v>17006.759999999998</v>
      </c>
      <c r="J126" t="s">
        <v>87</v>
      </c>
      <c r="K126" t="s">
        <v>99</v>
      </c>
      <c r="L126">
        <v>0</v>
      </c>
      <c r="M126" t="b">
        <v>1</v>
      </c>
      <c r="N126" t="s">
        <v>2795</v>
      </c>
      <c r="O126" t="s">
        <v>2515</v>
      </c>
      <c r="P126">
        <v>53</v>
      </c>
      <c r="Q126" t="s">
        <v>2855</v>
      </c>
      <c r="R126">
        <v>2509</v>
      </c>
    </row>
    <row r="127" spans="1:18" x14ac:dyDescent="0.3">
      <c r="A127" t="s">
        <v>2127</v>
      </c>
      <c r="B127" s="45">
        <v>45574</v>
      </c>
      <c r="C127" t="s">
        <v>700</v>
      </c>
      <c r="D127" t="s">
        <v>452</v>
      </c>
      <c r="E127" t="s">
        <v>116</v>
      </c>
      <c r="F127">
        <v>3</v>
      </c>
      <c r="G127">
        <v>3450</v>
      </c>
      <c r="H127">
        <v>23</v>
      </c>
      <c r="I127">
        <v>7969.5</v>
      </c>
      <c r="J127" t="s">
        <v>93</v>
      </c>
      <c r="K127" t="s">
        <v>94</v>
      </c>
      <c r="L127">
        <v>0</v>
      </c>
      <c r="M127" t="b">
        <v>1</v>
      </c>
      <c r="N127" t="s">
        <v>2795</v>
      </c>
      <c r="O127" t="s">
        <v>2515</v>
      </c>
      <c r="P127">
        <v>46</v>
      </c>
      <c r="Q127" t="s">
        <v>2879</v>
      </c>
      <c r="R127">
        <v>1748</v>
      </c>
    </row>
    <row r="128" spans="1:18" x14ac:dyDescent="0.3">
      <c r="A128" t="s">
        <v>402</v>
      </c>
      <c r="B128" s="45">
        <v>45628</v>
      </c>
      <c r="C128" t="s">
        <v>403</v>
      </c>
      <c r="D128" t="s">
        <v>176</v>
      </c>
      <c r="E128" t="s">
        <v>111</v>
      </c>
      <c r="F128">
        <v>5</v>
      </c>
      <c r="G128">
        <v>1650</v>
      </c>
      <c r="H128">
        <v>4.9000000000000004</v>
      </c>
      <c r="I128">
        <v>7845.75</v>
      </c>
      <c r="J128" t="s">
        <v>87</v>
      </c>
      <c r="K128" t="s">
        <v>117</v>
      </c>
      <c r="L128">
        <v>0</v>
      </c>
      <c r="M128" t="b">
        <v>1</v>
      </c>
      <c r="N128" t="s">
        <v>2828</v>
      </c>
      <c r="O128" t="s">
        <v>2507</v>
      </c>
      <c r="P128">
        <v>59</v>
      </c>
      <c r="Q128" t="s">
        <v>2879</v>
      </c>
      <c r="R128">
        <v>1222</v>
      </c>
    </row>
    <row r="129" spans="1:18" x14ac:dyDescent="0.3">
      <c r="A129" t="s">
        <v>404</v>
      </c>
      <c r="B129" s="45">
        <v>45592</v>
      </c>
      <c r="C129" t="s">
        <v>405</v>
      </c>
      <c r="D129" t="s">
        <v>380</v>
      </c>
      <c r="E129" t="s">
        <v>132</v>
      </c>
      <c r="F129">
        <v>9</v>
      </c>
      <c r="G129">
        <v>960</v>
      </c>
      <c r="H129">
        <v>25.1</v>
      </c>
      <c r="I129">
        <v>6471.36</v>
      </c>
      <c r="J129" t="s">
        <v>144</v>
      </c>
      <c r="K129" t="s">
        <v>94</v>
      </c>
      <c r="L129">
        <v>0</v>
      </c>
      <c r="M129" t="b">
        <v>1</v>
      </c>
      <c r="N129" t="s">
        <v>2828</v>
      </c>
      <c r="O129" t="s">
        <v>2509</v>
      </c>
      <c r="P129">
        <v>24</v>
      </c>
      <c r="Q129" t="s">
        <v>2862</v>
      </c>
      <c r="R129">
        <v>675</v>
      </c>
    </row>
    <row r="130" spans="1:18" x14ac:dyDescent="0.3">
      <c r="A130" t="s">
        <v>2123</v>
      </c>
      <c r="B130" s="45">
        <v>45601</v>
      </c>
      <c r="C130" t="s">
        <v>291</v>
      </c>
      <c r="D130" t="s">
        <v>138</v>
      </c>
      <c r="E130" t="s">
        <v>92</v>
      </c>
      <c r="F130">
        <v>10</v>
      </c>
      <c r="G130">
        <v>2600</v>
      </c>
      <c r="H130">
        <v>29.4</v>
      </c>
      <c r="I130">
        <v>18356</v>
      </c>
      <c r="J130" t="s">
        <v>87</v>
      </c>
      <c r="K130" t="s">
        <v>99</v>
      </c>
      <c r="L130">
        <v>0</v>
      </c>
      <c r="M130" t="b">
        <v>1</v>
      </c>
      <c r="N130" t="s">
        <v>2784</v>
      </c>
      <c r="O130" t="s">
        <v>2507</v>
      </c>
      <c r="P130">
        <v>35</v>
      </c>
      <c r="Q130" t="s">
        <v>2855</v>
      </c>
      <c r="R130">
        <v>1052</v>
      </c>
    </row>
    <row r="131" spans="1:18" x14ac:dyDescent="0.3">
      <c r="A131" t="s">
        <v>409</v>
      </c>
      <c r="B131" s="45">
        <v>45612</v>
      </c>
      <c r="C131" t="s">
        <v>299</v>
      </c>
      <c r="D131" t="s">
        <v>127</v>
      </c>
      <c r="E131" t="s">
        <v>92</v>
      </c>
      <c r="F131">
        <v>7</v>
      </c>
      <c r="G131">
        <v>970</v>
      </c>
      <c r="H131">
        <v>21.6</v>
      </c>
      <c r="I131">
        <v>5323.36</v>
      </c>
      <c r="J131" t="s">
        <v>93</v>
      </c>
      <c r="K131" t="s">
        <v>133</v>
      </c>
      <c r="L131">
        <v>0</v>
      </c>
      <c r="M131" t="b">
        <v>1</v>
      </c>
      <c r="N131" t="s">
        <v>2806</v>
      </c>
      <c r="O131" t="s">
        <v>2507</v>
      </c>
      <c r="P131">
        <v>29</v>
      </c>
      <c r="Q131" t="s">
        <v>2855</v>
      </c>
      <c r="R131">
        <v>434</v>
      </c>
    </row>
    <row r="132" spans="1:18" x14ac:dyDescent="0.3">
      <c r="A132" t="s">
        <v>2122</v>
      </c>
      <c r="B132" s="45">
        <v>45631</v>
      </c>
      <c r="C132" t="s">
        <v>705</v>
      </c>
      <c r="D132" t="s">
        <v>461</v>
      </c>
      <c r="E132" t="s">
        <v>128</v>
      </c>
      <c r="F132">
        <v>1</v>
      </c>
      <c r="G132">
        <v>3780</v>
      </c>
      <c r="H132">
        <v>11.5</v>
      </c>
      <c r="I132">
        <v>3345.3</v>
      </c>
      <c r="J132" t="s">
        <v>87</v>
      </c>
      <c r="K132" t="s">
        <v>99</v>
      </c>
      <c r="L132">
        <v>0</v>
      </c>
      <c r="M132" t="b">
        <v>1</v>
      </c>
      <c r="N132" t="s">
        <v>2839</v>
      </c>
      <c r="O132" t="s">
        <v>2507</v>
      </c>
      <c r="P132">
        <v>53</v>
      </c>
      <c r="Q132" t="s">
        <v>2879</v>
      </c>
      <c r="R132">
        <v>1860</v>
      </c>
    </row>
    <row r="133" spans="1:18" x14ac:dyDescent="0.3">
      <c r="A133" t="s">
        <v>412</v>
      </c>
      <c r="B133" s="45">
        <v>45640</v>
      </c>
      <c r="C133" t="s">
        <v>413</v>
      </c>
      <c r="D133" t="s">
        <v>131</v>
      </c>
      <c r="E133" t="s">
        <v>158</v>
      </c>
      <c r="F133">
        <v>9</v>
      </c>
      <c r="G133">
        <v>2270</v>
      </c>
      <c r="H133">
        <v>13.2</v>
      </c>
      <c r="I133">
        <v>17733.240000000002</v>
      </c>
      <c r="J133" t="s">
        <v>93</v>
      </c>
      <c r="K133" t="s">
        <v>88</v>
      </c>
      <c r="L133">
        <v>0</v>
      </c>
      <c r="M133" t="b">
        <v>1</v>
      </c>
      <c r="N133" t="s">
        <v>2806</v>
      </c>
      <c r="O133" t="s">
        <v>2507</v>
      </c>
      <c r="P133">
        <v>22</v>
      </c>
      <c r="Q133" t="s">
        <v>2871</v>
      </c>
      <c r="R133">
        <v>1203</v>
      </c>
    </row>
    <row r="134" spans="1:18" x14ac:dyDescent="0.3">
      <c r="A134" t="s">
        <v>2121</v>
      </c>
      <c r="B134" s="45">
        <v>45628</v>
      </c>
      <c r="C134" t="s">
        <v>101</v>
      </c>
      <c r="D134" t="s">
        <v>338</v>
      </c>
      <c r="E134" t="s">
        <v>116</v>
      </c>
      <c r="F134">
        <v>7</v>
      </c>
      <c r="G134">
        <v>2210</v>
      </c>
      <c r="H134">
        <v>13.7</v>
      </c>
      <c r="I134">
        <v>13350.61</v>
      </c>
      <c r="J134" t="s">
        <v>144</v>
      </c>
      <c r="K134" t="s">
        <v>99</v>
      </c>
      <c r="L134">
        <v>0</v>
      </c>
      <c r="M134" t="b">
        <v>1</v>
      </c>
      <c r="N134" t="s">
        <v>2806</v>
      </c>
      <c r="O134" t="s">
        <v>2509</v>
      </c>
      <c r="P134">
        <v>46</v>
      </c>
      <c r="Q134" t="s">
        <v>2879</v>
      </c>
      <c r="R134">
        <v>1010</v>
      </c>
    </row>
    <row r="135" spans="1:18" x14ac:dyDescent="0.3">
      <c r="A135" t="s">
        <v>2117</v>
      </c>
      <c r="B135" s="45">
        <v>45584</v>
      </c>
      <c r="C135" t="s">
        <v>589</v>
      </c>
      <c r="D135" t="s">
        <v>245</v>
      </c>
      <c r="E135" t="s">
        <v>192</v>
      </c>
      <c r="F135">
        <v>7</v>
      </c>
      <c r="G135">
        <v>2270</v>
      </c>
      <c r="H135">
        <v>1.4</v>
      </c>
      <c r="I135">
        <v>15667.54</v>
      </c>
      <c r="J135" t="s">
        <v>87</v>
      </c>
      <c r="K135" t="s">
        <v>94</v>
      </c>
      <c r="L135">
        <v>0</v>
      </c>
      <c r="M135" t="b">
        <v>1</v>
      </c>
      <c r="N135" t="s">
        <v>2806</v>
      </c>
      <c r="O135" t="s">
        <v>2509</v>
      </c>
      <c r="P135">
        <v>30</v>
      </c>
      <c r="Q135" t="s">
        <v>2871</v>
      </c>
      <c r="R135">
        <v>1412</v>
      </c>
    </row>
    <row r="136" spans="1:18" x14ac:dyDescent="0.3">
      <c r="A136" t="s">
        <v>2115</v>
      </c>
      <c r="B136" s="45">
        <v>45648</v>
      </c>
      <c r="C136" t="s">
        <v>305</v>
      </c>
      <c r="D136" t="s">
        <v>203</v>
      </c>
      <c r="E136" t="s">
        <v>170</v>
      </c>
      <c r="F136">
        <v>10</v>
      </c>
      <c r="G136">
        <v>660</v>
      </c>
      <c r="H136">
        <v>7.5</v>
      </c>
      <c r="I136">
        <v>6105</v>
      </c>
      <c r="J136" t="s">
        <v>87</v>
      </c>
      <c r="K136" t="s">
        <v>133</v>
      </c>
      <c r="L136">
        <v>0</v>
      </c>
      <c r="M136" t="b">
        <v>1</v>
      </c>
      <c r="N136" t="s">
        <v>2817</v>
      </c>
      <c r="O136" t="s">
        <v>2509</v>
      </c>
      <c r="P136">
        <v>46</v>
      </c>
      <c r="Q136" t="s">
        <v>2879</v>
      </c>
      <c r="R136">
        <v>329</v>
      </c>
    </row>
    <row r="137" spans="1:18" x14ac:dyDescent="0.3">
      <c r="A137" t="s">
        <v>2112</v>
      </c>
      <c r="B137" s="45">
        <v>45642</v>
      </c>
      <c r="C137" t="s">
        <v>520</v>
      </c>
      <c r="D137" t="s">
        <v>364</v>
      </c>
      <c r="E137" t="s">
        <v>303</v>
      </c>
      <c r="F137">
        <v>3</v>
      </c>
      <c r="G137">
        <v>5330</v>
      </c>
      <c r="H137">
        <v>22.2</v>
      </c>
      <c r="I137">
        <v>12440.22</v>
      </c>
      <c r="J137" t="s">
        <v>87</v>
      </c>
      <c r="K137" t="s">
        <v>112</v>
      </c>
      <c r="L137">
        <v>0</v>
      </c>
      <c r="M137" t="b">
        <v>1</v>
      </c>
      <c r="N137" t="s">
        <v>2784</v>
      </c>
      <c r="O137" t="s">
        <v>2509</v>
      </c>
      <c r="P137">
        <v>35</v>
      </c>
      <c r="Q137" t="s">
        <v>2871</v>
      </c>
      <c r="R137">
        <v>2405</v>
      </c>
    </row>
    <row r="138" spans="1:18" x14ac:dyDescent="0.3">
      <c r="A138" t="s">
        <v>2108</v>
      </c>
      <c r="B138" s="45">
        <v>45636</v>
      </c>
      <c r="C138" t="s">
        <v>105</v>
      </c>
      <c r="D138" t="s">
        <v>200</v>
      </c>
      <c r="E138" t="s">
        <v>343</v>
      </c>
      <c r="F138">
        <v>8</v>
      </c>
      <c r="G138">
        <v>2760</v>
      </c>
      <c r="H138">
        <v>18</v>
      </c>
      <c r="I138">
        <v>18105.599999999999</v>
      </c>
      <c r="J138" t="s">
        <v>140</v>
      </c>
      <c r="K138" t="s">
        <v>94</v>
      </c>
      <c r="L138">
        <v>0</v>
      </c>
      <c r="M138" t="b">
        <v>1</v>
      </c>
      <c r="N138" t="s">
        <v>2806</v>
      </c>
      <c r="O138" t="s">
        <v>2507</v>
      </c>
      <c r="P138">
        <v>36</v>
      </c>
      <c r="Q138" t="s">
        <v>2879</v>
      </c>
      <c r="R138">
        <v>1435</v>
      </c>
    </row>
    <row r="139" spans="1:18" x14ac:dyDescent="0.3">
      <c r="A139" t="s">
        <v>2102</v>
      </c>
      <c r="B139" s="45">
        <v>45606</v>
      </c>
      <c r="C139" t="s">
        <v>1000</v>
      </c>
      <c r="D139" t="s">
        <v>143</v>
      </c>
      <c r="E139" t="s">
        <v>132</v>
      </c>
      <c r="F139">
        <v>8</v>
      </c>
      <c r="G139">
        <v>3250</v>
      </c>
      <c r="H139">
        <v>1.9</v>
      </c>
      <c r="I139">
        <v>25506</v>
      </c>
      <c r="J139" t="s">
        <v>87</v>
      </c>
      <c r="K139" t="s">
        <v>117</v>
      </c>
      <c r="L139">
        <v>0</v>
      </c>
      <c r="M139" t="b">
        <v>1</v>
      </c>
      <c r="N139" t="s">
        <v>2817</v>
      </c>
      <c r="O139" t="s">
        <v>2507</v>
      </c>
      <c r="P139">
        <v>27</v>
      </c>
      <c r="Q139" t="s">
        <v>2862</v>
      </c>
      <c r="R139">
        <v>1556</v>
      </c>
    </row>
    <row r="140" spans="1:18" x14ac:dyDescent="0.3">
      <c r="A140" t="s">
        <v>2101</v>
      </c>
      <c r="B140" s="45">
        <v>45643</v>
      </c>
      <c r="C140" t="s">
        <v>823</v>
      </c>
      <c r="D140" t="s">
        <v>115</v>
      </c>
      <c r="E140" t="s">
        <v>252</v>
      </c>
      <c r="F140">
        <v>7</v>
      </c>
      <c r="G140">
        <v>960</v>
      </c>
      <c r="H140">
        <v>22.9</v>
      </c>
      <c r="I140">
        <v>5181.12</v>
      </c>
      <c r="J140" t="s">
        <v>87</v>
      </c>
      <c r="K140" t="s">
        <v>94</v>
      </c>
      <c r="L140">
        <v>0</v>
      </c>
      <c r="M140" t="b">
        <v>1</v>
      </c>
      <c r="N140" t="s">
        <v>2839</v>
      </c>
      <c r="O140" t="s">
        <v>2507</v>
      </c>
      <c r="P140">
        <v>32</v>
      </c>
      <c r="Q140" t="s">
        <v>2862</v>
      </c>
      <c r="R140">
        <v>705</v>
      </c>
    </row>
    <row r="141" spans="1:18" x14ac:dyDescent="0.3">
      <c r="A141" t="s">
        <v>2100</v>
      </c>
      <c r="B141" s="45">
        <v>45581</v>
      </c>
      <c r="C141" t="s">
        <v>592</v>
      </c>
      <c r="D141" t="s">
        <v>120</v>
      </c>
      <c r="E141" t="s">
        <v>346</v>
      </c>
      <c r="F141">
        <v>10</v>
      </c>
      <c r="G141">
        <v>1430</v>
      </c>
      <c r="H141">
        <v>11.4</v>
      </c>
      <c r="I141">
        <v>12669.8</v>
      </c>
      <c r="J141" t="s">
        <v>140</v>
      </c>
      <c r="K141" t="s">
        <v>133</v>
      </c>
      <c r="L141">
        <v>0</v>
      </c>
      <c r="M141" t="b">
        <v>1</v>
      </c>
      <c r="N141" t="s">
        <v>2784</v>
      </c>
      <c r="O141" t="s">
        <v>2507</v>
      </c>
      <c r="P141">
        <v>22</v>
      </c>
      <c r="Q141" t="s">
        <v>2862</v>
      </c>
      <c r="R141">
        <v>861</v>
      </c>
    </row>
    <row r="142" spans="1:18" x14ac:dyDescent="0.3">
      <c r="A142" t="s">
        <v>2096</v>
      </c>
      <c r="B142" s="45">
        <v>45571</v>
      </c>
      <c r="C142" t="s">
        <v>870</v>
      </c>
      <c r="D142" t="s">
        <v>97</v>
      </c>
      <c r="E142" t="s">
        <v>343</v>
      </c>
      <c r="F142">
        <v>5</v>
      </c>
      <c r="G142">
        <v>470</v>
      </c>
      <c r="H142">
        <v>18.3</v>
      </c>
      <c r="I142">
        <v>1919.95</v>
      </c>
      <c r="J142" t="s">
        <v>144</v>
      </c>
      <c r="K142" t="s">
        <v>117</v>
      </c>
      <c r="L142">
        <v>0</v>
      </c>
      <c r="M142" t="b">
        <v>0</v>
      </c>
      <c r="N142" t="s">
        <v>2839</v>
      </c>
      <c r="O142" t="s">
        <v>2507</v>
      </c>
      <c r="P142">
        <v>47</v>
      </c>
      <c r="Q142" t="s">
        <v>2879</v>
      </c>
      <c r="R142">
        <v>302</v>
      </c>
    </row>
    <row r="143" spans="1:18" x14ac:dyDescent="0.3">
      <c r="A143" t="s">
        <v>2094</v>
      </c>
      <c r="B143" s="45">
        <v>45623</v>
      </c>
      <c r="C143" t="s">
        <v>785</v>
      </c>
      <c r="D143" t="s">
        <v>182</v>
      </c>
      <c r="E143" t="s">
        <v>215</v>
      </c>
      <c r="F143">
        <v>4</v>
      </c>
      <c r="G143">
        <v>1010</v>
      </c>
      <c r="H143">
        <v>3.3</v>
      </c>
      <c r="I143">
        <v>3906.68</v>
      </c>
      <c r="J143" t="s">
        <v>87</v>
      </c>
      <c r="K143" t="s">
        <v>88</v>
      </c>
      <c r="L143">
        <v>0</v>
      </c>
      <c r="M143" t="b">
        <v>1</v>
      </c>
      <c r="N143" t="s">
        <v>2839</v>
      </c>
      <c r="O143" t="s">
        <v>2507</v>
      </c>
      <c r="P143">
        <v>31</v>
      </c>
      <c r="Q143" t="s">
        <v>2855</v>
      </c>
      <c r="R143">
        <v>516</v>
      </c>
    </row>
    <row r="144" spans="1:18" x14ac:dyDescent="0.3">
      <c r="A144" t="s">
        <v>431</v>
      </c>
      <c r="B144" s="45">
        <v>45604</v>
      </c>
      <c r="C144" t="s">
        <v>371</v>
      </c>
      <c r="D144" t="s">
        <v>245</v>
      </c>
      <c r="E144" t="s">
        <v>121</v>
      </c>
      <c r="F144">
        <v>9</v>
      </c>
      <c r="G144">
        <v>2270</v>
      </c>
      <c r="H144">
        <v>20.8</v>
      </c>
      <c r="I144">
        <v>16180.56</v>
      </c>
      <c r="J144" t="s">
        <v>140</v>
      </c>
      <c r="K144" t="s">
        <v>112</v>
      </c>
      <c r="L144">
        <v>0</v>
      </c>
      <c r="M144" t="b">
        <v>1</v>
      </c>
      <c r="N144" t="s">
        <v>2806</v>
      </c>
      <c r="O144" t="s">
        <v>2507</v>
      </c>
      <c r="P144">
        <v>42</v>
      </c>
      <c r="Q144" t="s">
        <v>2871</v>
      </c>
      <c r="R144">
        <v>1412</v>
      </c>
    </row>
    <row r="145" spans="1:18" x14ac:dyDescent="0.3">
      <c r="A145" t="s">
        <v>2083</v>
      </c>
      <c r="B145" s="45">
        <v>45579</v>
      </c>
      <c r="C145" t="s">
        <v>886</v>
      </c>
      <c r="D145" t="s">
        <v>452</v>
      </c>
      <c r="E145" t="s">
        <v>92</v>
      </c>
      <c r="F145">
        <v>3</v>
      </c>
      <c r="G145">
        <v>3450</v>
      </c>
      <c r="H145">
        <v>11.6</v>
      </c>
      <c r="I145">
        <v>9149.4</v>
      </c>
      <c r="J145" t="s">
        <v>87</v>
      </c>
      <c r="K145" t="s">
        <v>94</v>
      </c>
      <c r="L145">
        <v>0</v>
      </c>
      <c r="M145" t="b">
        <v>1</v>
      </c>
      <c r="N145" t="s">
        <v>2795</v>
      </c>
      <c r="O145" t="s">
        <v>2509</v>
      </c>
      <c r="P145">
        <v>44</v>
      </c>
      <c r="Q145" t="s">
        <v>2855</v>
      </c>
      <c r="R145">
        <v>1748</v>
      </c>
    </row>
    <row r="146" spans="1:18" x14ac:dyDescent="0.3">
      <c r="A146" t="s">
        <v>2082</v>
      </c>
      <c r="B146" s="45">
        <v>45632</v>
      </c>
      <c r="C146" t="s">
        <v>797</v>
      </c>
      <c r="D146" t="s">
        <v>360</v>
      </c>
      <c r="E146" t="s">
        <v>111</v>
      </c>
      <c r="F146">
        <v>3</v>
      </c>
      <c r="G146">
        <v>5410</v>
      </c>
      <c r="H146">
        <v>20.3</v>
      </c>
      <c r="I146">
        <v>12935.31</v>
      </c>
      <c r="J146" t="s">
        <v>87</v>
      </c>
      <c r="K146" t="s">
        <v>99</v>
      </c>
      <c r="L146">
        <v>0</v>
      </c>
      <c r="M146" t="b">
        <v>1</v>
      </c>
      <c r="N146" t="s">
        <v>2839</v>
      </c>
      <c r="O146" t="s">
        <v>2507</v>
      </c>
      <c r="P146">
        <v>63</v>
      </c>
      <c r="Q146" t="s">
        <v>2879</v>
      </c>
      <c r="R146">
        <v>2265</v>
      </c>
    </row>
    <row r="147" spans="1:18" x14ac:dyDescent="0.3">
      <c r="A147" t="s">
        <v>2078</v>
      </c>
      <c r="B147" s="45">
        <v>45592</v>
      </c>
      <c r="C147" t="s">
        <v>316</v>
      </c>
      <c r="D147" t="s">
        <v>138</v>
      </c>
      <c r="E147" t="s">
        <v>303</v>
      </c>
      <c r="F147">
        <v>6</v>
      </c>
      <c r="G147">
        <v>2600</v>
      </c>
      <c r="H147">
        <v>5.0999999999999996</v>
      </c>
      <c r="I147">
        <v>14804.4</v>
      </c>
      <c r="J147" t="s">
        <v>87</v>
      </c>
      <c r="K147" t="s">
        <v>88</v>
      </c>
      <c r="L147">
        <v>0</v>
      </c>
      <c r="M147" t="b">
        <v>1</v>
      </c>
      <c r="N147" t="s">
        <v>2784</v>
      </c>
      <c r="O147" t="s">
        <v>2515</v>
      </c>
      <c r="P147">
        <v>60</v>
      </c>
      <c r="Q147" t="s">
        <v>2871</v>
      </c>
      <c r="R147">
        <v>1052</v>
      </c>
    </row>
    <row r="148" spans="1:18" x14ac:dyDescent="0.3">
      <c r="A148" t="s">
        <v>2077</v>
      </c>
      <c r="B148" s="45">
        <v>45588</v>
      </c>
      <c r="C148" t="s">
        <v>281</v>
      </c>
      <c r="D148" t="s">
        <v>245</v>
      </c>
      <c r="E148" t="s">
        <v>188</v>
      </c>
      <c r="F148">
        <v>8</v>
      </c>
      <c r="G148">
        <v>2270</v>
      </c>
      <c r="H148">
        <v>11.9</v>
      </c>
      <c r="I148">
        <v>15998.96</v>
      </c>
      <c r="J148" t="s">
        <v>93</v>
      </c>
      <c r="K148" t="s">
        <v>88</v>
      </c>
      <c r="L148">
        <v>0</v>
      </c>
      <c r="M148" t="b">
        <v>1</v>
      </c>
      <c r="N148" t="s">
        <v>2806</v>
      </c>
      <c r="O148" t="s">
        <v>2507</v>
      </c>
      <c r="P148">
        <v>25</v>
      </c>
      <c r="Q148" t="s">
        <v>2862</v>
      </c>
      <c r="R148">
        <v>1412</v>
      </c>
    </row>
    <row r="149" spans="1:18" x14ac:dyDescent="0.3">
      <c r="A149" t="s">
        <v>2076</v>
      </c>
      <c r="B149" s="45">
        <v>45645</v>
      </c>
      <c r="C149" t="s">
        <v>427</v>
      </c>
      <c r="D149" t="s">
        <v>245</v>
      </c>
      <c r="E149" t="s">
        <v>148</v>
      </c>
      <c r="F149">
        <v>6</v>
      </c>
      <c r="G149">
        <v>2270</v>
      </c>
      <c r="H149">
        <v>17.100000000000001</v>
      </c>
      <c r="I149">
        <v>11290.98</v>
      </c>
      <c r="J149" t="s">
        <v>87</v>
      </c>
      <c r="K149" t="s">
        <v>88</v>
      </c>
      <c r="L149">
        <v>0</v>
      </c>
      <c r="M149" t="b">
        <v>1</v>
      </c>
      <c r="N149" t="s">
        <v>2806</v>
      </c>
      <c r="O149" t="s">
        <v>2509</v>
      </c>
      <c r="P149">
        <v>48</v>
      </c>
      <c r="Q149" t="s">
        <v>2855</v>
      </c>
      <c r="R149">
        <v>1412</v>
      </c>
    </row>
    <row r="150" spans="1:18" x14ac:dyDescent="0.3">
      <c r="A150" t="s">
        <v>2072</v>
      </c>
      <c r="B150" s="45">
        <v>45625</v>
      </c>
      <c r="C150" t="s">
        <v>705</v>
      </c>
      <c r="D150" t="s">
        <v>267</v>
      </c>
      <c r="E150" t="s">
        <v>343</v>
      </c>
      <c r="F150">
        <v>4</v>
      </c>
      <c r="G150">
        <v>1220</v>
      </c>
      <c r="H150">
        <v>12.6</v>
      </c>
      <c r="I150">
        <v>4265.12</v>
      </c>
      <c r="J150" t="s">
        <v>87</v>
      </c>
      <c r="K150" t="s">
        <v>99</v>
      </c>
      <c r="L150">
        <v>0</v>
      </c>
      <c r="M150" t="b">
        <v>1</v>
      </c>
      <c r="N150" t="s">
        <v>2784</v>
      </c>
      <c r="O150" t="s">
        <v>2507</v>
      </c>
      <c r="P150">
        <v>53</v>
      </c>
      <c r="Q150" t="s">
        <v>2879</v>
      </c>
      <c r="R150">
        <v>517</v>
      </c>
    </row>
    <row r="151" spans="1:18" x14ac:dyDescent="0.3">
      <c r="A151" t="s">
        <v>2071</v>
      </c>
      <c r="B151" s="45">
        <v>45604</v>
      </c>
      <c r="C151" t="s">
        <v>878</v>
      </c>
      <c r="D151" t="s">
        <v>97</v>
      </c>
      <c r="E151" t="s">
        <v>132</v>
      </c>
      <c r="F151">
        <v>7</v>
      </c>
      <c r="G151">
        <v>470</v>
      </c>
      <c r="H151">
        <v>21.6</v>
      </c>
      <c r="I151">
        <v>2579.36</v>
      </c>
      <c r="J151" t="s">
        <v>87</v>
      </c>
      <c r="K151" t="s">
        <v>112</v>
      </c>
      <c r="L151">
        <v>0</v>
      </c>
      <c r="M151" t="b">
        <v>0</v>
      </c>
      <c r="N151" t="s">
        <v>2839</v>
      </c>
      <c r="O151" t="s">
        <v>2509</v>
      </c>
      <c r="P151">
        <v>62</v>
      </c>
      <c r="Q151" t="s">
        <v>2862</v>
      </c>
      <c r="R151">
        <v>302</v>
      </c>
    </row>
    <row r="152" spans="1:18" x14ac:dyDescent="0.3">
      <c r="A152" t="s">
        <v>2065</v>
      </c>
      <c r="B152" s="45">
        <v>45625</v>
      </c>
      <c r="C152" t="s">
        <v>1350</v>
      </c>
      <c r="D152" t="s">
        <v>200</v>
      </c>
      <c r="E152" t="s">
        <v>158</v>
      </c>
      <c r="F152">
        <v>10</v>
      </c>
      <c r="G152">
        <v>2760</v>
      </c>
      <c r="H152">
        <v>17.2</v>
      </c>
      <c r="I152">
        <v>22852.799999999999</v>
      </c>
      <c r="J152" t="s">
        <v>87</v>
      </c>
      <c r="K152" t="s">
        <v>112</v>
      </c>
      <c r="L152">
        <v>0</v>
      </c>
      <c r="M152" t="b">
        <v>1</v>
      </c>
      <c r="N152" t="s">
        <v>2806</v>
      </c>
      <c r="O152" t="s">
        <v>2507</v>
      </c>
      <c r="P152">
        <v>38</v>
      </c>
      <c r="Q152" t="s">
        <v>2871</v>
      </c>
      <c r="R152">
        <v>1435</v>
      </c>
    </row>
    <row r="153" spans="1:18" x14ac:dyDescent="0.3">
      <c r="A153" t="s">
        <v>2061</v>
      </c>
      <c r="B153" s="45">
        <v>45622</v>
      </c>
      <c r="C153" t="s">
        <v>465</v>
      </c>
      <c r="D153" t="s">
        <v>282</v>
      </c>
      <c r="E153" t="s">
        <v>192</v>
      </c>
      <c r="F153">
        <v>7</v>
      </c>
      <c r="G153">
        <v>300</v>
      </c>
      <c r="H153">
        <v>7.1</v>
      </c>
      <c r="I153">
        <v>1950.9</v>
      </c>
      <c r="J153" t="s">
        <v>87</v>
      </c>
      <c r="K153" t="s">
        <v>112</v>
      </c>
      <c r="L153">
        <v>0</v>
      </c>
      <c r="M153" t="b">
        <v>1</v>
      </c>
      <c r="N153" t="s">
        <v>2784</v>
      </c>
      <c r="O153" t="s">
        <v>2507</v>
      </c>
      <c r="P153">
        <v>61</v>
      </c>
      <c r="Q153" t="s">
        <v>2871</v>
      </c>
      <c r="R153">
        <v>128</v>
      </c>
    </row>
    <row r="154" spans="1:18" x14ac:dyDescent="0.3">
      <c r="A154" t="s">
        <v>2052</v>
      </c>
      <c r="B154" s="45">
        <v>45618</v>
      </c>
      <c r="C154" t="s">
        <v>2053</v>
      </c>
      <c r="D154" t="s">
        <v>195</v>
      </c>
      <c r="E154" t="s">
        <v>303</v>
      </c>
      <c r="F154">
        <v>3</v>
      </c>
      <c r="G154">
        <v>2860</v>
      </c>
      <c r="H154">
        <v>19.899999999999999</v>
      </c>
      <c r="I154">
        <v>6872.58</v>
      </c>
      <c r="J154" t="s">
        <v>87</v>
      </c>
      <c r="K154" t="s">
        <v>133</v>
      </c>
      <c r="L154">
        <v>0</v>
      </c>
      <c r="M154" t="b">
        <v>1</v>
      </c>
      <c r="N154" t="s">
        <v>2839</v>
      </c>
      <c r="O154" t="s">
        <v>2515</v>
      </c>
      <c r="P154">
        <v>39</v>
      </c>
      <c r="Q154" t="s">
        <v>2871</v>
      </c>
      <c r="R154">
        <v>2028</v>
      </c>
    </row>
    <row r="155" spans="1:18" x14ac:dyDescent="0.3">
      <c r="A155" t="s">
        <v>2044</v>
      </c>
      <c r="B155" s="45">
        <v>45621</v>
      </c>
      <c r="C155" t="s">
        <v>507</v>
      </c>
      <c r="D155" t="s">
        <v>408</v>
      </c>
      <c r="E155" t="s">
        <v>139</v>
      </c>
      <c r="F155">
        <v>4</v>
      </c>
      <c r="G155">
        <v>3970</v>
      </c>
      <c r="H155">
        <v>22.5</v>
      </c>
      <c r="I155">
        <v>12307</v>
      </c>
      <c r="J155" t="s">
        <v>87</v>
      </c>
      <c r="K155" t="s">
        <v>88</v>
      </c>
      <c r="L155">
        <v>0</v>
      </c>
      <c r="M155" t="b">
        <v>1</v>
      </c>
      <c r="N155" t="s">
        <v>2784</v>
      </c>
      <c r="O155" t="s">
        <v>2507</v>
      </c>
      <c r="P155">
        <v>59</v>
      </c>
      <c r="Q155" t="s">
        <v>2855</v>
      </c>
      <c r="R155">
        <v>2865</v>
      </c>
    </row>
    <row r="156" spans="1:18" x14ac:dyDescent="0.3">
      <c r="A156" t="s">
        <v>450</v>
      </c>
      <c r="B156" s="45">
        <v>45595</v>
      </c>
      <c r="C156" t="s">
        <v>451</v>
      </c>
      <c r="D156" t="s">
        <v>452</v>
      </c>
      <c r="E156" t="s">
        <v>188</v>
      </c>
      <c r="F156">
        <v>2</v>
      </c>
      <c r="G156">
        <v>3450</v>
      </c>
      <c r="H156">
        <v>1.2</v>
      </c>
      <c r="I156">
        <v>6817.2</v>
      </c>
      <c r="J156" t="s">
        <v>87</v>
      </c>
      <c r="K156" t="s">
        <v>99</v>
      </c>
      <c r="L156">
        <v>0</v>
      </c>
      <c r="M156" t="b">
        <v>1</v>
      </c>
      <c r="N156" t="s">
        <v>2795</v>
      </c>
      <c r="O156" t="s">
        <v>2515</v>
      </c>
      <c r="P156">
        <v>34</v>
      </c>
      <c r="Q156" t="s">
        <v>2862</v>
      </c>
      <c r="R156">
        <v>1748</v>
      </c>
    </row>
    <row r="157" spans="1:18" x14ac:dyDescent="0.3">
      <c r="A157" t="s">
        <v>2042</v>
      </c>
      <c r="B157" s="45">
        <v>45653</v>
      </c>
      <c r="C157" t="s">
        <v>305</v>
      </c>
      <c r="D157" t="s">
        <v>279</v>
      </c>
      <c r="E157" t="s">
        <v>325</v>
      </c>
      <c r="F157">
        <v>5</v>
      </c>
      <c r="G157">
        <v>2660</v>
      </c>
      <c r="H157">
        <v>20.399999999999999</v>
      </c>
      <c r="I157">
        <v>10586.8</v>
      </c>
      <c r="J157" t="s">
        <v>87</v>
      </c>
      <c r="K157" t="s">
        <v>133</v>
      </c>
      <c r="L157">
        <v>0</v>
      </c>
      <c r="M157" t="b">
        <v>0</v>
      </c>
      <c r="N157" t="s">
        <v>2784</v>
      </c>
      <c r="O157" t="s">
        <v>2509</v>
      </c>
      <c r="P157">
        <v>46</v>
      </c>
      <c r="Q157" t="s">
        <v>2862</v>
      </c>
      <c r="R157">
        <v>1259</v>
      </c>
    </row>
    <row r="158" spans="1:18" x14ac:dyDescent="0.3">
      <c r="A158" t="s">
        <v>455</v>
      </c>
      <c r="B158" s="45">
        <v>45644</v>
      </c>
      <c r="C158" t="s">
        <v>320</v>
      </c>
      <c r="D158" t="s">
        <v>143</v>
      </c>
      <c r="E158" t="s">
        <v>252</v>
      </c>
      <c r="F158">
        <v>2</v>
      </c>
      <c r="G158">
        <v>3250</v>
      </c>
      <c r="H158">
        <v>26.2</v>
      </c>
      <c r="I158">
        <v>4797</v>
      </c>
      <c r="J158" t="s">
        <v>87</v>
      </c>
      <c r="K158" t="s">
        <v>133</v>
      </c>
      <c r="L158">
        <v>0</v>
      </c>
      <c r="M158" t="b">
        <v>1</v>
      </c>
      <c r="N158" t="s">
        <v>2817</v>
      </c>
      <c r="O158" t="s">
        <v>2515</v>
      </c>
      <c r="P158">
        <v>36</v>
      </c>
      <c r="Q158" t="s">
        <v>2862</v>
      </c>
      <c r="R158">
        <v>1556</v>
      </c>
    </row>
    <row r="159" spans="1:18" x14ac:dyDescent="0.3">
      <c r="A159" t="s">
        <v>2038</v>
      </c>
      <c r="B159" s="45">
        <v>45599</v>
      </c>
      <c r="C159" t="s">
        <v>181</v>
      </c>
      <c r="D159" t="s">
        <v>386</v>
      </c>
      <c r="E159" t="s">
        <v>285</v>
      </c>
      <c r="F159">
        <v>4</v>
      </c>
      <c r="G159">
        <v>2290</v>
      </c>
      <c r="H159">
        <v>4.8</v>
      </c>
      <c r="I159">
        <v>8720.32</v>
      </c>
      <c r="J159" t="s">
        <v>93</v>
      </c>
      <c r="K159" t="s">
        <v>99</v>
      </c>
      <c r="L159">
        <v>0</v>
      </c>
      <c r="M159" t="b">
        <v>1</v>
      </c>
      <c r="N159" t="s">
        <v>2828</v>
      </c>
      <c r="O159" t="s">
        <v>2507</v>
      </c>
      <c r="P159">
        <v>31</v>
      </c>
      <c r="Q159" t="s">
        <v>2871</v>
      </c>
      <c r="R159">
        <v>1219</v>
      </c>
    </row>
    <row r="160" spans="1:18" x14ac:dyDescent="0.3">
      <c r="A160" t="s">
        <v>2031</v>
      </c>
      <c r="B160" s="45">
        <v>45616</v>
      </c>
      <c r="C160" t="s">
        <v>561</v>
      </c>
      <c r="D160" t="s">
        <v>245</v>
      </c>
      <c r="E160" t="s">
        <v>273</v>
      </c>
      <c r="F160">
        <v>3</v>
      </c>
      <c r="G160">
        <v>2270</v>
      </c>
      <c r="H160">
        <v>19.100000000000001</v>
      </c>
      <c r="I160">
        <v>5509.29</v>
      </c>
      <c r="J160" t="s">
        <v>140</v>
      </c>
      <c r="K160" t="s">
        <v>133</v>
      </c>
      <c r="L160">
        <v>0</v>
      </c>
      <c r="M160" t="b">
        <v>1</v>
      </c>
      <c r="N160" t="s">
        <v>2806</v>
      </c>
      <c r="O160" t="s">
        <v>2515</v>
      </c>
      <c r="P160">
        <v>43</v>
      </c>
      <c r="Q160" t="s">
        <v>2862</v>
      </c>
      <c r="R160">
        <v>1412</v>
      </c>
    </row>
    <row r="161" spans="1:18" x14ac:dyDescent="0.3">
      <c r="A161" t="s">
        <v>459</v>
      </c>
      <c r="B161" s="45">
        <v>45601</v>
      </c>
      <c r="C161" t="s">
        <v>460</v>
      </c>
      <c r="D161" t="s">
        <v>461</v>
      </c>
      <c r="E161" t="s">
        <v>285</v>
      </c>
      <c r="F161">
        <v>4</v>
      </c>
      <c r="G161">
        <v>3780</v>
      </c>
      <c r="H161">
        <v>3.5</v>
      </c>
      <c r="I161">
        <v>14590.8</v>
      </c>
      <c r="J161" t="s">
        <v>140</v>
      </c>
      <c r="K161" t="s">
        <v>88</v>
      </c>
      <c r="L161">
        <v>0</v>
      </c>
      <c r="M161" t="b">
        <v>1</v>
      </c>
      <c r="N161" t="s">
        <v>2839</v>
      </c>
      <c r="O161" t="s">
        <v>2509</v>
      </c>
      <c r="P161">
        <v>37</v>
      </c>
      <c r="Q161" t="s">
        <v>2871</v>
      </c>
      <c r="R161">
        <v>1860</v>
      </c>
    </row>
    <row r="162" spans="1:18" x14ac:dyDescent="0.3">
      <c r="A162" t="s">
        <v>2028</v>
      </c>
      <c r="B162" s="45">
        <v>45567</v>
      </c>
      <c r="C162" t="s">
        <v>294</v>
      </c>
      <c r="D162" t="s">
        <v>184</v>
      </c>
      <c r="E162" t="s">
        <v>111</v>
      </c>
      <c r="F162">
        <v>1</v>
      </c>
      <c r="G162">
        <v>4880</v>
      </c>
      <c r="H162">
        <v>26.8</v>
      </c>
      <c r="I162">
        <v>3572.16</v>
      </c>
      <c r="J162" t="s">
        <v>87</v>
      </c>
      <c r="K162" t="s">
        <v>133</v>
      </c>
      <c r="L162">
        <v>0</v>
      </c>
      <c r="M162" t="b">
        <v>1</v>
      </c>
      <c r="N162" t="s">
        <v>2828</v>
      </c>
      <c r="O162" t="s">
        <v>2515</v>
      </c>
      <c r="P162">
        <v>43</v>
      </c>
      <c r="Q162" t="s">
        <v>2879</v>
      </c>
      <c r="R162">
        <v>2768</v>
      </c>
    </row>
    <row r="163" spans="1:18" x14ac:dyDescent="0.3">
      <c r="A163" t="s">
        <v>2018</v>
      </c>
      <c r="B163" s="45">
        <v>45600</v>
      </c>
      <c r="C163" t="s">
        <v>729</v>
      </c>
      <c r="D163" t="s">
        <v>176</v>
      </c>
      <c r="E163" t="s">
        <v>285</v>
      </c>
      <c r="F163">
        <v>1</v>
      </c>
      <c r="G163">
        <v>1650</v>
      </c>
      <c r="H163">
        <v>18.8</v>
      </c>
      <c r="I163">
        <v>1339.8</v>
      </c>
      <c r="J163" t="s">
        <v>140</v>
      </c>
      <c r="K163" t="s">
        <v>112</v>
      </c>
      <c r="L163">
        <v>0</v>
      </c>
      <c r="M163" t="b">
        <v>1</v>
      </c>
      <c r="N163" t="s">
        <v>2828</v>
      </c>
      <c r="O163" t="s">
        <v>2507</v>
      </c>
      <c r="P163">
        <v>56</v>
      </c>
      <c r="Q163" t="s">
        <v>2871</v>
      </c>
      <c r="R163">
        <v>1222</v>
      </c>
    </row>
    <row r="164" spans="1:18" x14ac:dyDescent="0.3">
      <c r="A164" t="s">
        <v>2017</v>
      </c>
      <c r="B164" s="45">
        <v>45625</v>
      </c>
      <c r="C164" t="s">
        <v>635</v>
      </c>
      <c r="D164" t="s">
        <v>91</v>
      </c>
      <c r="E164" t="s">
        <v>252</v>
      </c>
      <c r="F164">
        <v>4</v>
      </c>
      <c r="G164">
        <v>820</v>
      </c>
      <c r="H164">
        <v>18.8</v>
      </c>
      <c r="I164">
        <v>2663.36</v>
      </c>
      <c r="J164" t="s">
        <v>140</v>
      </c>
      <c r="K164" t="s">
        <v>99</v>
      </c>
      <c r="L164">
        <v>0</v>
      </c>
      <c r="M164" t="b">
        <v>1</v>
      </c>
      <c r="N164" t="s">
        <v>2795</v>
      </c>
      <c r="O164" t="s">
        <v>2507</v>
      </c>
      <c r="P164">
        <v>49</v>
      </c>
      <c r="Q164" t="s">
        <v>2862</v>
      </c>
      <c r="R164">
        <v>391</v>
      </c>
    </row>
    <row r="165" spans="1:18" x14ac:dyDescent="0.3">
      <c r="A165" t="s">
        <v>467</v>
      </c>
      <c r="B165" s="45">
        <v>45579</v>
      </c>
      <c r="C165" t="s">
        <v>150</v>
      </c>
      <c r="D165" t="s">
        <v>127</v>
      </c>
      <c r="E165" t="s">
        <v>201</v>
      </c>
      <c r="F165">
        <v>9</v>
      </c>
      <c r="G165">
        <v>970</v>
      </c>
      <c r="H165">
        <v>18.2</v>
      </c>
      <c r="I165">
        <v>7141.14</v>
      </c>
      <c r="J165" t="s">
        <v>87</v>
      </c>
      <c r="K165" t="s">
        <v>88</v>
      </c>
      <c r="L165">
        <v>0</v>
      </c>
      <c r="M165" t="b">
        <v>1</v>
      </c>
      <c r="N165" t="s">
        <v>2806</v>
      </c>
      <c r="O165" t="s">
        <v>2507</v>
      </c>
      <c r="P165">
        <v>63</v>
      </c>
      <c r="Q165" t="s">
        <v>2879</v>
      </c>
      <c r="R165">
        <v>434</v>
      </c>
    </row>
    <row r="166" spans="1:18" x14ac:dyDescent="0.3">
      <c r="A166" t="s">
        <v>2013</v>
      </c>
      <c r="B166" s="45">
        <v>45614</v>
      </c>
      <c r="C166" t="s">
        <v>1234</v>
      </c>
      <c r="D166" t="s">
        <v>176</v>
      </c>
      <c r="E166" t="s">
        <v>132</v>
      </c>
      <c r="F166">
        <v>9</v>
      </c>
      <c r="G166">
        <v>1650</v>
      </c>
      <c r="H166">
        <v>19.5</v>
      </c>
      <c r="I166">
        <v>11954.25</v>
      </c>
      <c r="J166" t="s">
        <v>87</v>
      </c>
      <c r="K166" t="s">
        <v>112</v>
      </c>
      <c r="L166">
        <v>0</v>
      </c>
      <c r="M166" t="b">
        <v>1</v>
      </c>
      <c r="N166" t="s">
        <v>2828</v>
      </c>
      <c r="O166" t="s">
        <v>2507</v>
      </c>
      <c r="P166">
        <v>29</v>
      </c>
      <c r="Q166" t="s">
        <v>2862</v>
      </c>
      <c r="R166">
        <v>1222</v>
      </c>
    </row>
    <row r="167" spans="1:18" x14ac:dyDescent="0.3">
      <c r="A167" t="s">
        <v>2005</v>
      </c>
      <c r="B167" s="45">
        <v>45569</v>
      </c>
      <c r="C167" t="s">
        <v>256</v>
      </c>
      <c r="D167" t="s">
        <v>443</v>
      </c>
      <c r="E167" t="s">
        <v>92</v>
      </c>
      <c r="F167">
        <v>2</v>
      </c>
      <c r="G167">
        <v>5080</v>
      </c>
      <c r="H167">
        <v>11.1</v>
      </c>
      <c r="I167">
        <v>9032.24</v>
      </c>
      <c r="J167" t="s">
        <v>87</v>
      </c>
      <c r="K167" t="s">
        <v>133</v>
      </c>
      <c r="L167">
        <v>0</v>
      </c>
      <c r="M167" t="b">
        <v>1</v>
      </c>
      <c r="N167" t="s">
        <v>2817</v>
      </c>
      <c r="O167" t="s">
        <v>2507</v>
      </c>
      <c r="P167">
        <v>27</v>
      </c>
      <c r="Q167" t="s">
        <v>2855</v>
      </c>
      <c r="R167">
        <v>2459</v>
      </c>
    </row>
    <row r="168" spans="1:18" x14ac:dyDescent="0.3">
      <c r="A168" t="s">
        <v>2002</v>
      </c>
      <c r="B168" s="45">
        <v>45605</v>
      </c>
      <c r="C168" t="s">
        <v>856</v>
      </c>
      <c r="D168" t="s">
        <v>259</v>
      </c>
      <c r="E168" t="s">
        <v>111</v>
      </c>
      <c r="F168">
        <v>6</v>
      </c>
      <c r="G168">
        <v>1540</v>
      </c>
      <c r="H168">
        <v>17.100000000000001</v>
      </c>
      <c r="I168">
        <v>7659.96</v>
      </c>
      <c r="J168" t="s">
        <v>87</v>
      </c>
      <c r="K168" t="s">
        <v>88</v>
      </c>
      <c r="L168">
        <v>0</v>
      </c>
      <c r="M168" t="b">
        <v>0</v>
      </c>
      <c r="N168" t="s">
        <v>2828</v>
      </c>
      <c r="O168" t="s">
        <v>2515</v>
      </c>
      <c r="P168">
        <v>59</v>
      </c>
      <c r="Q168" t="s">
        <v>2879</v>
      </c>
      <c r="R168">
        <v>647</v>
      </c>
    </row>
    <row r="169" spans="1:18" x14ac:dyDescent="0.3">
      <c r="A169" t="s">
        <v>1987</v>
      </c>
      <c r="B169" s="45">
        <v>45601</v>
      </c>
      <c r="C169" t="s">
        <v>119</v>
      </c>
      <c r="D169" t="s">
        <v>184</v>
      </c>
      <c r="E169" t="s">
        <v>121</v>
      </c>
      <c r="F169">
        <v>2</v>
      </c>
      <c r="G169">
        <v>4880</v>
      </c>
      <c r="H169">
        <v>2</v>
      </c>
      <c r="I169">
        <v>9564.7999999999993</v>
      </c>
      <c r="J169" t="s">
        <v>140</v>
      </c>
      <c r="K169" t="s">
        <v>117</v>
      </c>
      <c r="L169">
        <v>0</v>
      </c>
      <c r="M169" t="b">
        <v>1</v>
      </c>
      <c r="N169" t="s">
        <v>2828</v>
      </c>
      <c r="O169" t="s">
        <v>2509</v>
      </c>
      <c r="P169">
        <v>57</v>
      </c>
      <c r="Q169" t="s">
        <v>2871</v>
      </c>
      <c r="R169">
        <v>2768</v>
      </c>
    </row>
    <row r="170" spans="1:18" x14ac:dyDescent="0.3">
      <c r="A170" t="s">
        <v>1985</v>
      </c>
      <c r="B170" s="45">
        <v>45566</v>
      </c>
      <c r="C170" t="s">
        <v>463</v>
      </c>
      <c r="D170" t="s">
        <v>147</v>
      </c>
      <c r="E170" t="s">
        <v>215</v>
      </c>
      <c r="F170">
        <v>2</v>
      </c>
      <c r="G170">
        <v>190</v>
      </c>
      <c r="H170">
        <v>9</v>
      </c>
      <c r="I170">
        <v>345.8</v>
      </c>
      <c r="J170" t="s">
        <v>87</v>
      </c>
      <c r="K170" t="s">
        <v>117</v>
      </c>
      <c r="L170">
        <v>0</v>
      </c>
      <c r="M170" t="b">
        <v>1</v>
      </c>
      <c r="N170" t="s">
        <v>2839</v>
      </c>
      <c r="O170" t="s">
        <v>2507</v>
      </c>
      <c r="P170">
        <v>55</v>
      </c>
      <c r="Q170" t="s">
        <v>2855</v>
      </c>
      <c r="R170">
        <v>147</v>
      </c>
    </row>
    <row r="171" spans="1:18" x14ac:dyDescent="0.3">
      <c r="A171" t="s">
        <v>1983</v>
      </c>
      <c r="B171" s="45">
        <v>45619</v>
      </c>
      <c r="C171" t="s">
        <v>524</v>
      </c>
      <c r="D171" t="s">
        <v>120</v>
      </c>
      <c r="E171" t="s">
        <v>121</v>
      </c>
      <c r="F171">
        <v>4</v>
      </c>
      <c r="G171">
        <v>1430</v>
      </c>
      <c r="H171">
        <v>25.6</v>
      </c>
      <c r="I171">
        <v>4255.68</v>
      </c>
      <c r="J171" t="s">
        <v>87</v>
      </c>
      <c r="K171" t="s">
        <v>112</v>
      </c>
      <c r="L171">
        <v>0</v>
      </c>
      <c r="M171" t="b">
        <v>1</v>
      </c>
      <c r="N171" t="s">
        <v>2784</v>
      </c>
      <c r="O171" t="s">
        <v>2509</v>
      </c>
      <c r="P171">
        <v>55</v>
      </c>
      <c r="Q171" t="s">
        <v>2871</v>
      </c>
      <c r="R171">
        <v>861</v>
      </c>
    </row>
    <row r="172" spans="1:18" x14ac:dyDescent="0.3">
      <c r="A172" t="s">
        <v>477</v>
      </c>
      <c r="B172" s="45">
        <v>45601</v>
      </c>
      <c r="C172" t="s">
        <v>150</v>
      </c>
      <c r="D172" t="s">
        <v>364</v>
      </c>
      <c r="E172" t="s">
        <v>86</v>
      </c>
      <c r="F172">
        <v>6</v>
      </c>
      <c r="G172">
        <v>5330</v>
      </c>
      <c r="H172">
        <v>17.899999999999999</v>
      </c>
      <c r="I172">
        <v>26255.58</v>
      </c>
      <c r="J172" t="s">
        <v>87</v>
      </c>
      <c r="K172" t="s">
        <v>88</v>
      </c>
      <c r="L172">
        <v>0</v>
      </c>
      <c r="M172" t="b">
        <v>1</v>
      </c>
      <c r="N172" t="s">
        <v>2784</v>
      </c>
      <c r="O172" t="s">
        <v>2507</v>
      </c>
      <c r="P172">
        <v>63</v>
      </c>
      <c r="Q172" t="s">
        <v>2855</v>
      </c>
      <c r="R172">
        <v>2405</v>
      </c>
    </row>
    <row r="173" spans="1:18" x14ac:dyDescent="0.3">
      <c r="A173" t="s">
        <v>1977</v>
      </c>
      <c r="B173" s="45">
        <v>45593</v>
      </c>
      <c r="C173" t="s">
        <v>1217</v>
      </c>
      <c r="D173" t="s">
        <v>97</v>
      </c>
      <c r="E173" t="s">
        <v>343</v>
      </c>
      <c r="F173">
        <v>4</v>
      </c>
      <c r="G173">
        <v>470</v>
      </c>
      <c r="H173">
        <v>19.100000000000001</v>
      </c>
      <c r="I173">
        <v>1520.92</v>
      </c>
      <c r="J173" t="s">
        <v>93</v>
      </c>
      <c r="K173" t="s">
        <v>112</v>
      </c>
      <c r="L173">
        <v>0</v>
      </c>
      <c r="M173" t="b">
        <v>0</v>
      </c>
      <c r="N173" t="s">
        <v>2839</v>
      </c>
      <c r="O173" t="s">
        <v>2507</v>
      </c>
      <c r="P173">
        <v>44</v>
      </c>
      <c r="Q173" t="s">
        <v>2879</v>
      </c>
      <c r="R173">
        <v>302</v>
      </c>
    </row>
    <row r="174" spans="1:18" x14ac:dyDescent="0.3">
      <c r="A174" t="s">
        <v>1965</v>
      </c>
      <c r="B174" s="45">
        <v>45577</v>
      </c>
      <c r="C174" t="s">
        <v>797</v>
      </c>
      <c r="D174" t="s">
        <v>203</v>
      </c>
      <c r="E174" t="s">
        <v>86</v>
      </c>
      <c r="F174">
        <v>9</v>
      </c>
      <c r="G174">
        <v>660</v>
      </c>
      <c r="H174">
        <v>29.3</v>
      </c>
      <c r="I174">
        <v>4199.58</v>
      </c>
      <c r="J174" t="s">
        <v>87</v>
      </c>
      <c r="K174" t="s">
        <v>99</v>
      </c>
      <c r="L174">
        <v>0</v>
      </c>
      <c r="M174" t="b">
        <v>1</v>
      </c>
      <c r="N174" t="s">
        <v>2817</v>
      </c>
      <c r="O174" t="s">
        <v>2507</v>
      </c>
      <c r="P174">
        <v>63</v>
      </c>
      <c r="Q174" t="s">
        <v>2855</v>
      </c>
      <c r="R174">
        <v>329</v>
      </c>
    </row>
    <row r="175" spans="1:18" x14ac:dyDescent="0.3">
      <c r="A175" t="s">
        <v>1961</v>
      </c>
      <c r="B175" s="45">
        <v>45632</v>
      </c>
      <c r="C175" t="s">
        <v>388</v>
      </c>
      <c r="D175" t="s">
        <v>187</v>
      </c>
      <c r="E175" t="s">
        <v>297</v>
      </c>
      <c r="F175">
        <v>6</v>
      </c>
      <c r="G175">
        <v>3570</v>
      </c>
      <c r="H175">
        <v>17.3</v>
      </c>
      <c r="I175">
        <v>17714.34</v>
      </c>
      <c r="J175" t="s">
        <v>87</v>
      </c>
      <c r="K175" t="s">
        <v>133</v>
      </c>
      <c r="L175">
        <v>0</v>
      </c>
      <c r="M175" t="b">
        <v>1</v>
      </c>
      <c r="N175" t="s">
        <v>2784</v>
      </c>
      <c r="O175" t="s">
        <v>2507</v>
      </c>
      <c r="P175">
        <v>44</v>
      </c>
      <c r="Q175" t="s">
        <v>2855</v>
      </c>
      <c r="R175">
        <v>1665</v>
      </c>
    </row>
    <row r="176" spans="1:18" x14ac:dyDescent="0.3">
      <c r="A176" t="s">
        <v>1957</v>
      </c>
      <c r="B176" s="45">
        <v>45628</v>
      </c>
      <c r="C176" t="s">
        <v>186</v>
      </c>
      <c r="D176" t="s">
        <v>120</v>
      </c>
      <c r="E176" t="s">
        <v>215</v>
      </c>
      <c r="F176">
        <v>3</v>
      </c>
      <c r="G176">
        <v>1430</v>
      </c>
      <c r="H176">
        <v>13.2</v>
      </c>
      <c r="I176">
        <v>3723.72</v>
      </c>
      <c r="J176" t="s">
        <v>87</v>
      </c>
      <c r="K176" t="s">
        <v>94</v>
      </c>
      <c r="L176">
        <v>0</v>
      </c>
      <c r="M176" t="b">
        <v>1</v>
      </c>
      <c r="N176" t="s">
        <v>2784</v>
      </c>
      <c r="O176" t="s">
        <v>2515</v>
      </c>
      <c r="P176">
        <v>52</v>
      </c>
      <c r="Q176" t="s">
        <v>2855</v>
      </c>
      <c r="R176">
        <v>861</v>
      </c>
    </row>
    <row r="177" spans="1:18" x14ac:dyDescent="0.3">
      <c r="A177" t="s">
        <v>1951</v>
      </c>
      <c r="B177" s="45">
        <v>45584</v>
      </c>
      <c r="C177" t="s">
        <v>563</v>
      </c>
      <c r="D177" t="s">
        <v>127</v>
      </c>
      <c r="E177" t="s">
        <v>111</v>
      </c>
      <c r="F177">
        <v>3</v>
      </c>
      <c r="G177">
        <v>970</v>
      </c>
      <c r="H177">
        <v>20.3</v>
      </c>
      <c r="I177">
        <v>2319.27</v>
      </c>
      <c r="J177" t="s">
        <v>93</v>
      </c>
      <c r="K177" t="s">
        <v>88</v>
      </c>
      <c r="L177">
        <v>0</v>
      </c>
      <c r="M177" t="b">
        <v>1</v>
      </c>
      <c r="N177" t="s">
        <v>2806</v>
      </c>
      <c r="O177" t="s">
        <v>2515</v>
      </c>
      <c r="P177">
        <v>24</v>
      </c>
      <c r="Q177" t="s">
        <v>2879</v>
      </c>
      <c r="R177">
        <v>434</v>
      </c>
    </row>
    <row r="178" spans="1:18" x14ac:dyDescent="0.3">
      <c r="A178" t="s">
        <v>1948</v>
      </c>
      <c r="B178" s="45">
        <v>45618</v>
      </c>
      <c r="C178" t="s">
        <v>1062</v>
      </c>
      <c r="D178" t="s">
        <v>110</v>
      </c>
      <c r="E178" t="s">
        <v>229</v>
      </c>
      <c r="F178">
        <v>9</v>
      </c>
      <c r="G178">
        <v>370</v>
      </c>
      <c r="H178">
        <v>25.4</v>
      </c>
      <c r="I178">
        <v>2484.1799999999998</v>
      </c>
      <c r="J178" t="s">
        <v>87</v>
      </c>
      <c r="K178" t="s">
        <v>112</v>
      </c>
      <c r="L178">
        <v>0</v>
      </c>
      <c r="M178" t="b">
        <v>1</v>
      </c>
      <c r="N178" t="s">
        <v>2817</v>
      </c>
      <c r="O178" t="s">
        <v>2515</v>
      </c>
      <c r="P178">
        <v>54</v>
      </c>
      <c r="Q178" t="s">
        <v>2879</v>
      </c>
      <c r="R178">
        <v>288</v>
      </c>
    </row>
    <row r="179" spans="1:18" x14ac:dyDescent="0.3">
      <c r="A179" t="s">
        <v>488</v>
      </c>
      <c r="B179" s="45">
        <v>45633</v>
      </c>
      <c r="C179" t="s">
        <v>312</v>
      </c>
      <c r="D179" t="s">
        <v>143</v>
      </c>
      <c r="E179" t="s">
        <v>303</v>
      </c>
      <c r="F179">
        <v>10</v>
      </c>
      <c r="G179">
        <v>3250</v>
      </c>
      <c r="H179">
        <v>21</v>
      </c>
      <c r="I179">
        <v>25675</v>
      </c>
      <c r="J179" t="s">
        <v>140</v>
      </c>
      <c r="K179" t="s">
        <v>133</v>
      </c>
      <c r="L179">
        <v>0</v>
      </c>
      <c r="M179" t="b">
        <v>1</v>
      </c>
      <c r="N179" t="s">
        <v>2817</v>
      </c>
      <c r="O179" t="s">
        <v>2507</v>
      </c>
      <c r="P179">
        <v>46</v>
      </c>
      <c r="Q179" t="s">
        <v>2871</v>
      </c>
      <c r="R179">
        <v>1556</v>
      </c>
    </row>
    <row r="180" spans="1:18" x14ac:dyDescent="0.3">
      <c r="A180" t="s">
        <v>489</v>
      </c>
      <c r="B180" s="45">
        <v>45649</v>
      </c>
      <c r="C180" t="s">
        <v>490</v>
      </c>
      <c r="D180" t="s">
        <v>443</v>
      </c>
      <c r="E180" t="s">
        <v>128</v>
      </c>
      <c r="F180">
        <v>6</v>
      </c>
      <c r="G180">
        <v>5080</v>
      </c>
      <c r="H180">
        <v>16.8</v>
      </c>
      <c r="I180">
        <v>25359.360000000001</v>
      </c>
      <c r="J180" t="s">
        <v>93</v>
      </c>
      <c r="K180" t="s">
        <v>99</v>
      </c>
      <c r="L180">
        <v>0</v>
      </c>
      <c r="M180" t="b">
        <v>1</v>
      </c>
      <c r="N180" t="s">
        <v>2817</v>
      </c>
      <c r="O180" t="s">
        <v>2507</v>
      </c>
      <c r="P180">
        <v>59</v>
      </c>
      <c r="Q180" t="s">
        <v>2879</v>
      </c>
      <c r="R180">
        <v>2459</v>
      </c>
    </row>
    <row r="181" spans="1:18" x14ac:dyDescent="0.3">
      <c r="A181" t="s">
        <v>1940</v>
      </c>
      <c r="B181" s="45">
        <v>45645</v>
      </c>
      <c r="C181" t="s">
        <v>407</v>
      </c>
      <c r="D181" t="s">
        <v>295</v>
      </c>
      <c r="E181" t="s">
        <v>111</v>
      </c>
      <c r="F181">
        <v>9</v>
      </c>
      <c r="G181">
        <v>2030</v>
      </c>
      <c r="H181">
        <v>3.4</v>
      </c>
      <c r="I181">
        <v>17648.82</v>
      </c>
      <c r="J181" t="s">
        <v>87</v>
      </c>
      <c r="K181" t="s">
        <v>88</v>
      </c>
      <c r="L181">
        <v>0</v>
      </c>
      <c r="M181" t="b">
        <v>1</v>
      </c>
      <c r="N181" t="s">
        <v>2817</v>
      </c>
      <c r="O181" t="s">
        <v>2515</v>
      </c>
      <c r="P181">
        <v>53</v>
      </c>
      <c r="Q181" t="s">
        <v>2879</v>
      </c>
      <c r="R181">
        <v>1143</v>
      </c>
    </row>
    <row r="182" spans="1:18" x14ac:dyDescent="0.3">
      <c r="A182" t="s">
        <v>1939</v>
      </c>
      <c r="B182" s="45">
        <v>45598</v>
      </c>
      <c r="C182" t="s">
        <v>447</v>
      </c>
      <c r="D182" t="s">
        <v>380</v>
      </c>
      <c r="E182" t="s">
        <v>121</v>
      </c>
      <c r="F182">
        <v>7</v>
      </c>
      <c r="G182">
        <v>960</v>
      </c>
      <c r="H182">
        <v>28.8</v>
      </c>
      <c r="I182">
        <v>4784.6400000000003</v>
      </c>
      <c r="J182" t="s">
        <v>144</v>
      </c>
      <c r="K182" t="s">
        <v>112</v>
      </c>
      <c r="L182">
        <v>0</v>
      </c>
      <c r="M182" t="b">
        <v>1</v>
      </c>
      <c r="N182" t="s">
        <v>2828</v>
      </c>
      <c r="O182" t="s">
        <v>2507</v>
      </c>
      <c r="P182">
        <v>41</v>
      </c>
      <c r="Q182" t="s">
        <v>2871</v>
      </c>
      <c r="R182">
        <v>675</v>
      </c>
    </row>
    <row r="183" spans="1:18" x14ac:dyDescent="0.3">
      <c r="A183" t="s">
        <v>1936</v>
      </c>
      <c r="B183" s="45">
        <v>45639</v>
      </c>
      <c r="C183" t="s">
        <v>990</v>
      </c>
      <c r="D183" t="s">
        <v>91</v>
      </c>
      <c r="E183" t="s">
        <v>325</v>
      </c>
      <c r="F183">
        <v>2</v>
      </c>
      <c r="G183">
        <v>820</v>
      </c>
      <c r="H183">
        <v>13.2</v>
      </c>
      <c r="I183">
        <v>1423.52</v>
      </c>
      <c r="J183" t="s">
        <v>93</v>
      </c>
      <c r="K183" t="s">
        <v>117</v>
      </c>
      <c r="L183">
        <v>0</v>
      </c>
      <c r="M183" t="b">
        <v>1</v>
      </c>
      <c r="N183" t="s">
        <v>2795</v>
      </c>
      <c r="O183" t="s">
        <v>2507</v>
      </c>
      <c r="P183">
        <v>61</v>
      </c>
      <c r="Q183" t="s">
        <v>2862</v>
      </c>
      <c r="R183">
        <v>391</v>
      </c>
    </row>
    <row r="184" spans="1:18" x14ac:dyDescent="0.3">
      <c r="A184" t="s">
        <v>1926</v>
      </c>
      <c r="B184" s="45">
        <v>45598</v>
      </c>
      <c r="C184" t="s">
        <v>841</v>
      </c>
      <c r="D184" t="s">
        <v>659</v>
      </c>
      <c r="E184" t="s">
        <v>297</v>
      </c>
      <c r="F184">
        <v>5</v>
      </c>
      <c r="G184">
        <v>3560</v>
      </c>
      <c r="H184">
        <v>19.399999999999999</v>
      </c>
      <c r="I184">
        <v>14346.8</v>
      </c>
      <c r="J184" t="s">
        <v>93</v>
      </c>
      <c r="K184" t="s">
        <v>117</v>
      </c>
      <c r="L184">
        <v>0</v>
      </c>
      <c r="M184" t="b">
        <v>1</v>
      </c>
      <c r="N184" t="s">
        <v>2795</v>
      </c>
      <c r="O184" t="s">
        <v>2509</v>
      </c>
      <c r="P184">
        <v>41</v>
      </c>
      <c r="Q184" t="s">
        <v>2855</v>
      </c>
      <c r="R184">
        <v>2629</v>
      </c>
    </row>
    <row r="185" spans="1:18" x14ac:dyDescent="0.3">
      <c r="A185" t="s">
        <v>1924</v>
      </c>
      <c r="B185" s="45">
        <v>45605</v>
      </c>
      <c r="C185" t="s">
        <v>1925</v>
      </c>
      <c r="D185" t="s">
        <v>502</v>
      </c>
      <c r="E185" t="s">
        <v>204</v>
      </c>
      <c r="F185">
        <v>8</v>
      </c>
      <c r="G185">
        <v>1090</v>
      </c>
      <c r="H185">
        <v>21.7</v>
      </c>
      <c r="I185">
        <v>6827.76</v>
      </c>
      <c r="J185" t="s">
        <v>87</v>
      </c>
      <c r="K185" t="s">
        <v>88</v>
      </c>
      <c r="L185">
        <v>0</v>
      </c>
      <c r="M185" t="b">
        <v>1</v>
      </c>
      <c r="N185" t="s">
        <v>2817</v>
      </c>
      <c r="O185" t="e">
        <v>#N/A</v>
      </c>
      <c r="P185" t="e">
        <v>#N/A</v>
      </c>
      <c r="Q185" t="s">
        <v>2862</v>
      </c>
      <c r="R185">
        <v>464</v>
      </c>
    </row>
    <row r="186" spans="1:18" x14ac:dyDescent="0.3">
      <c r="A186" t="s">
        <v>1923</v>
      </c>
      <c r="B186" s="45">
        <v>45600</v>
      </c>
      <c r="C186" t="s">
        <v>405</v>
      </c>
      <c r="D186" t="s">
        <v>338</v>
      </c>
      <c r="E186" t="s">
        <v>154</v>
      </c>
      <c r="F186">
        <v>7</v>
      </c>
      <c r="G186">
        <v>2210</v>
      </c>
      <c r="H186">
        <v>10.3</v>
      </c>
      <c r="I186">
        <v>13876.59</v>
      </c>
      <c r="J186" t="s">
        <v>87</v>
      </c>
      <c r="K186" t="s">
        <v>94</v>
      </c>
      <c r="L186">
        <v>0</v>
      </c>
      <c r="M186" t="b">
        <v>1</v>
      </c>
      <c r="N186" t="s">
        <v>2806</v>
      </c>
      <c r="O186" t="s">
        <v>2509</v>
      </c>
      <c r="P186">
        <v>24</v>
      </c>
      <c r="Q186" t="s">
        <v>2871</v>
      </c>
      <c r="R186">
        <v>1010</v>
      </c>
    </row>
    <row r="187" spans="1:18" x14ac:dyDescent="0.3">
      <c r="A187" t="s">
        <v>1921</v>
      </c>
      <c r="B187" s="45">
        <v>45579</v>
      </c>
      <c r="C187" t="s">
        <v>968</v>
      </c>
      <c r="D187" t="s">
        <v>124</v>
      </c>
      <c r="E187" t="s">
        <v>303</v>
      </c>
      <c r="F187">
        <v>6</v>
      </c>
      <c r="G187">
        <v>5490</v>
      </c>
      <c r="H187">
        <v>0.5</v>
      </c>
      <c r="I187">
        <v>32775.300000000003</v>
      </c>
      <c r="J187" t="s">
        <v>93</v>
      </c>
      <c r="K187" t="s">
        <v>99</v>
      </c>
      <c r="L187">
        <v>0</v>
      </c>
      <c r="M187" t="b">
        <v>1</v>
      </c>
      <c r="N187" t="s">
        <v>2817</v>
      </c>
      <c r="O187" t="s">
        <v>2507</v>
      </c>
      <c r="P187">
        <v>47</v>
      </c>
      <c r="Q187" t="s">
        <v>2871</v>
      </c>
      <c r="R187">
        <v>2549</v>
      </c>
    </row>
    <row r="188" spans="1:18" x14ac:dyDescent="0.3">
      <c r="A188" t="s">
        <v>1918</v>
      </c>
      <c r="B188" s="45">
        <v>45616</v>
      </c>
      <c r="C188" t="s">
        <v>105</v>
      </c>
      <c r="D188" t="s">
        <v>195</v>
      </c>
      <c r="E188" t="s">
        <v>204</v>
      </c>
      <c r="F188">
        <v>2</v>
      </c>
      <c r="G188">
        <v>2860</v>
      </c>
      <c r="H188">
        <v>13.7</v>
      </c>
      <c r="I188">
        <v>4936.3599999999997</v>
      </c>
      <c r="J188" t="s">
        <v>87</v>
      </c>
      <c r="K188" t="s">
        <v>94</v>
      </c>
      <c r="L188">
        <v>0</v>
      </c>
      <c r="M188" t="b">
        <v>1</v>
      </c>
      <c r="N188" t="s">
        <v>2839</v>
      </c>
      <c r="O188" t="s">
        <v>2507</v>
      </c>
      <c r="P188">
        <v>36</v>
      </c>
      <c r="Q188" t="s">
        <v>2862</v>
      </c>
      <c r="R188">
        <v>2028</v>
      </c>
    </row>
    <row r="189" spans="1:18" x14ac:dyDescent="0.3">
      <c r="A189" t="s">
        <v>1915</v>
      </c>
      <c r="B189" s="45">
        <v>45631</v>
      </c>
      <c r="C189" t="s">
        <v>359</v>
      </c>
      <c r="D189" t="s">
        <v>351</v>
      </c>
      <c r="E189" t="s">
        <v>132</v>
      </c>
      <c r="F189">
        <v>5</v>
      </c>
      <c r="G189">
        <v>4060</v>
      </c>
      <c r="H189">
        <v>2.7</v>
      </c>
      <c r="I189">
        <v>19751.900000000001</v>
      </c>
      <c r="J189" t="s">
        <v>87</v>
      </c>
      <c r="K189" t="s">
        <v>99</v>
      </c>
      <c r="L189">
        <v>0</v>
      </c>
      <c r="M189" t="b">
        <v>1</v>
      </c>
      <c r="N189" t="s">
        <v>2806</v>
      </c>
      <c r="O189" t="s">
        <v>2515</v>
      </c>
      <c r="P189">
        <v>28</v>
      </c>
      <c r="Q189" t="s">
        <v>2862</v>
      </c>
      <c r="R189">
        <v>2911</v>
      </c>
    </row>
    <row r="190" spans="1:18" x14ac:dyDescent="0.3">
      <c r="A190" t="s">
        <v>1912</v>
      </c>
      <c r="B190" s="45">
        <v>45643</v>
      </c>
      <c r="C190" t="s">
        <v>539</v>
      </c>
      <c r="D190" t="s">
        <v>187</v>
      </c>
      <c r="E190" t="s">
        <v>238</v>
      </c>
      <c r="F190">
        <v>2</v>
      </c>
      <c r="G190">
        <v>3570</v>
      </c>
      <c r="H190">
        <v>9</v>
      </c>
      <c r="I190">
        <v>6497.4</v>
      </c>
      <c r="J190" t="s">
        <v>87</v>
      </c>
      <c r="K190" t="s">
        <v>133</v>
      </c>
      <c r="L190">
        <v>0</v>
      </c>
      <c r="M190" t="b">
        <v>1</v>
      </c>
      <c r="N190" t="s">
        <v>2784</v>
      </c>
      <c r="O190" t="s">
        <v>2507</v>
      </c>
      <c r="P190">
        <v>38</v>
      </c>
      <c r="Q190" t="s">
        <v>2871</v>
      </c>
      <c r="R190">
        <v>1665</v>
      </c>
    </row>
    <row r="191" spans="1:18" x14ac:dyDescent="0.3">
      <c r="A191" t="s">
        <v>1908</v>
      </c>
      <c r="B191" s="45">
        <v>45611</v>
      </c>
      <c r="C191" t="s">
        <v>353</v>
      </c>
      <c r="D191" t="s">
        <v>241</v>
      </c>
      <c r="E191" t="s">
        <v>170</v>
      </c>
      <c r="F191">
        <v>1</v>
      </c>
      <c r="G191">
        <v>6080</v>
      </c>
      <c r="H191">
        <v>4.4000000000000004</v>
      </c>
      <c r="I191">
        <v>5812.48</v>
      </c>
      <c r="J191" t="s">
        <v>140</v>
      </c>
      <c r="K191" t="s">
        <v>94</v>
      </c>
      <c r="L191">
        <v>0</v>
      </c>
      <c r="M191" t="b">
        <v>1</v>
      </c>
      <c r="N191" t="s">
        <v>2828</v>
      </c>
      <c r="O191" t="s">
        <v>2507</v>
      </c>
      <c r="P191">
        <v>60</v>
      </c>
      <c r="Q191" t="s">
        <v>2879</v>
      </c>
      <c r="R191">
        <v>2617</v>
      </c>
    </row>
    <row r="192" spans="1:18" x14ac:dyDescent="0.3">
      <c r="A192" t="s">
        <v>506</v>
      </c>
      <c r="B192" s="45">
        <v>45605</v>
      </c>
      <c r="C192" t="s">
        <v>507</v>
      </c>
      <c r="D192" t="s">
        <v>245</v>
      </c>
      <c r="E192" t="s">
        <v>92</v>
      </c>
      <c r="F192">
        <v>4</v>
      </c>
      <c r="G192">
        <v>2270</v>
      </c>
      <c r="H192">
        <v>29</v>
      </c>
      <c r="I192">
        <v>6446.8</v>
      </c>
      <c r="J192" t="s">
        <v>87</v>
      </c>
      <c r="K192" t="s">
        <v>88</v>
      </c>
      <c r="L192">
        <v>0</v>
      </c>
      <c r="M192" t="b">
        <v>1</v>
      </c>
      <c r="N192" t="s">
        <v>2806</v>
      </c>
      <c r="O192" t="s">
        <v>2507</v>
      </c>
      <c r="P192">
        <v>59</v>
      </c>
      <c r="Q192" t="s">
        <v>2855</v>
      </c>
      <c r="R192">
        <v>1412</v>
      </c>
    </row>
    <row r="193" spans="1:18" x14ac:dyDescent="0.3">
      <c r="A193" t="s">
        <v>1907</v>
      </c>
      <c r="B193" s="45">
        <v>45572</v>
      </c>
      <c r="C193" t="s">
        <v>420</v>
      </c>
      <c r="D193" t="s">
        <v>226</v>
      </c>
      <c r="E193" t="s">
        <v>158</v>
      </c>
      <c r="F193">
        <v>9</v>
      </c>
      <c r="G193">
        <v>3730</v>
      </c>
      <c r="H193">
        <v>24.5</v>
      </c>
      <c r="I193">
        <v>25345.35</v>
      </c>
      <c r="J193" t="s">
        <v>144</v>
      </c>
      <c r="K193" t="s">
        <v>99</v>
      </c>
      <c r="L193">
        <v>0</v>
      </c>
      <c r="M193" t="b">
        <v>1</v>
      </c>
      <c r="N193" t="s">
        <v>2817</v>
      </c>
      <c r="O193" t="s">
        <v>2507</v>
      </c>
      <c r="P193">
        <v>44</v>
      </c>
      <c r="Q193" t="s">
        <v>2871</v>
      </c>
      <c r="R193">
        <v>2135</v>
      </c>
    </row>
    <row r="194" spans="1:18" x14ac:dyDescent="0.3">
      <c r="A194" t="s">
        <v>1898</v>
      </c>
      <c r="B194" s="45">
        <v>45640</v>
      </c>
      <c r="C194" t="s">
        <v>546</v>
      </c>
      <c r="D194" t="s">
        <v>237</v>
      </c>
      <c r="E194" t="s">
        <v>98</v>
      </c>
      <c r="F194">
        <v>7</v>
      </c>
      <c r="G194">
        <v>3640</v>
      </c>
      <c r="H194">
        <v>4.5999999999999996</v>
      </c>
      <c r="I194">
        <v>24307.919999999998</v>
      </c>
      <c r="J194" t="s">
        <v>87</v>
      </c>
      <c r="K194" t="s">
        <v>99</v>
      </c>
      <c r="L194">
        <v>0</v>
      </c>
      <c r="M194" t="b">
        <v>1</v>
      </c>
      <c r="N194" t="s">
        <v>2795</v>
      </c>
      <c r="O194" t="s">
        <v>2515</v>
      </c>
      <c r="P194">
        <v>29</v>
      </c>
      <c r="Q194" t="s">
        <v>2862</v>
      </c>
      <c r="R194">
        <v>2611</v>
      </c>
    </row>
    <row r="195" spans="1:18" x14ac:dyDescent="0.3">
      <c r="A195" t="s">
        <v>511</v>
      </c>
      <c r="B195" s="45">
        <v>45573</v>
      </c>
      <c r="C195" t="s">
        <v>512</v>
      </c>
      <c r="D195" t="s">
        <v>245</v>
      </c>
      <c r="E195" t="s">
        <v>139</v>
      </c>
      <c r="F195">
        <v>8</v>
      </c>
      <c r="G195">
        <v>2270</v>
      </c>
      <c r="H195">
        <v>15.6</v>
      </c>
      <c r="I195">
        <v>15327.04</v>
      </c>
      <c r="J195" t="s">
        <v>87</v>
      </c>
      <c r="K195" t="s">
        <v>133</v>
      </c>
      <c r="L195">
        <v>0</v>
      </c>
      <c r="M195" t="b">
        <v>1</v>
      </c>
      <c r="N195" t="s">
        <v>2806</v>
      </c>
      <c r="O195" t="s">
        <v>2507</v>
      </c>
      <c r="P195">
        <v>61</v>
      </c>
      <c r="Q195" t="s">
        <v>2855</v>
      </c>
      <c r="R195">
        <v>1412</v>
      </c>
    </row>
    <row r="196" spans="1:18" x14ac:dyDescent="0.3">
      <c r="A196" t="s">
        <v>1896</v>
      </c>
      <c r="B196" s="45">
        <v>45648</v>
      </c>
      <c r="C196" t="s">
        <v>1065</v>
      </c>
      <c r="D196" t="s">
        <v>85</v>
      </c>
      <c r="E196" t="s">
        <v>139</v>
      </c>
      <c r="F196">
        <v>4</v>
      </c>
      <c r="G196">
        <v>3620</v>
      </c>
      <c r="H196">
        <v>8</v>
      </c>
      <c r="I196">
        <v>13321.6</v>
      </c>
      <c r="J196" t="s">
        <v>93</v>
      </c>
      <c r="K196" t="s">
        <v>94</v>
      </c>
      <c r="L196">
        <v>0</v>
      </c>
      <c r="M196" t="b">
        <v>1</v>
      </c>
      <c r="N196" t="s">
        <v>2795</v>
      </c>
      <c r="O196" t="s">
        <v>2507</v>
      </c>
      <c r="P196">
        <v>49</v>
      </c>
      <c r="Q196" t="s">
        <v>2855</v>
      </c>
      <c r="R196">
        <v>2509</v>
      </c>
    </row>
    <row r="197" spans="1:18" x14ac:dyDescent="0.3">
      <c r="A197" t="s">
        <v>514</v>
      </c>
      <c r="B197" s="45">
        <v>45617</v>
      </c>
      <c r="C197" t="s">
        <v>153</v>
      </c>
      <c r="D197" t="s">
        <v>515</v>
      </c>
      <c r="E197" t="s">
        <v>170</v>
      </c>
      <c r="F197">
        <v>7</v>
      </c>
      <c r="G197">
        <v>6940</v>
      </c>
      <c r="H197">
        <v>8.5</v>
      </c>
      <c r="I197">
        <v>44450.7</v>
      </c>
      <c r="J197" t="s">
        <v>87</v>
      </c>
      <c r="K197" t="s">
        <v>117</v>
      </c>
      <c r="L197">
        <v>0</v>
      </c>
      <c r="M197" t="b">
        <v>1</v>
      </c>
      <c r="N197" t="s">
        <v>2839</v>
      </c>
      <c r="O197" t="s">
        <v>2515</v>
      </c>
      <c r="P197">
        <v>46</v>
      </c>
      <c r="Q197" t="s">
        <v>2879</v>
      </c>
      <c r="R197">
        <v>2827</v>
      </c>
    </row>
    <row r="198" spans="1:18" x14ac:dyDescent="0.3">
      <c r="A198" t="s">
        <v>1891</v>
      </c>
      <c r="B198" s="45">
        <v>45614</v>
      </c>
      <c r="C198" t="s">
        <v>457</v>
      </c>
      <c r="D198" t="s">
        <v>106</v>
      </c>
      <c r="E198" t="s">
        <v>111</v>
      </c>
      <c r="F198">
        <v>10</v>
      </c>
      <c r="G198">
        <v>3160</v>
      </c>
      <c r="H198">
        <v>13.6</v>
      </c>
      <c r="I198">
        <v>27302.400000000001</v>
      </c>
      <c r="J198" t="s">
        <v>87</v>
      </c>
      <c r="K198" t="s">
        <v>88</v>
      </c>
      <c r="L198">
        <v>0</v>
      </c>
      <c r="M198" t="b">
        <v>1</v>
      </c>
      <c r="N198" t="s">
        <v>2795</v>
      </c>
      <c r="O198" t="s">
        <v>2507</v>
      </c>
      <c r="P198">
        <v>29</v>
      </c>
      <c r="Q198" t="s">
        <v>2879</v>
      </c>
      <c r="R198">
        <v>1886</v>
      </c>
    </row>
    <row r="199" spans="1:18" x14ac:dyDescent="0.3">
      <c r="A199" t="s">
        <v>1887</v>
      </c>
      <c r="B199" s="45">
        <v>45645</v>
      </c>
      <c r="C199" t="s">
        <v>570</v>
      </c>
      <c r="D199" t="s">
        <v>157</v>
      </c>
      <c r="E199" t="s">
        <v>170</v>
      </c>
      <c r="F199">
        <v>10</v>
      </c>
      <c r="G199">
        <v>3450</v>
      </c>
      <c r="H199">
        <v>26.5</v>
      </c>
      <c r="I199">
        <v>25357.5</v>
      </c>
      <c r="J199" t="s">
        <v>144</v>
      </c>
      <c r="K199" t="s">
        <v>99</v>
      </c>
      <c r="L199">
        <v>0</v>
      </c>
      <c r="M199" t="b">
        <v>1</v>
      </c>
      <c r="N199" t="s">
        <v>2828</v>
      </c>
      <c r="O199" t="s">
        <v>2509</v>
      </c>
      <c r="P199">
        <v>47</v>
      </c>
      <c r="Q199" t="s">
        <v>2879</v>
      </c>
      <c r="R199">
        <v>2420</v>
      </c>
    </row>
    <row r="200" spans="1:18" x14ac:dyDescent="0.3">
      <c r="A200" t="s">
        <v>1885</v>
      </c>
      <c r="B200" s="45">
        <v>45633</v>
      </c>
      <c r="C200" t="s">
        <v>206</v>
      </c>
      <c r="D200" t="s">
        <v>443</v>
      </c>
      <c r="E200" t="s">
        <v>116</v>
      </c>
      <c r="F200">
        <v>10</v>
      </c>
      <c r="G200">
        <v>5080</v>
      </c>
      <c r="H200">
        <v>2.1</v>
      </c>
      <c r="I200">
        <v>49733.2</v>
      </c>
      <c r="J200" t="s">
        <v>87</v>
      </c>
      <c r="K200" t="s">
        <v>133</v>
      </c>
      <c r="L200">
        <v>0</v>
      </c>
      <c r="M200" t="b">
        <v>1</v>
      </c>
      <c r="N200" t="s">
        <v>2817</v>
      </c>
      <c r="O200" t="s">
        <v>2515</v>
      </c>
      <c r="P200">
        <v>40</v>
      </c>
      <c r="Q200" t="s">
        <v>2879</v>
      </c>
      <c r="R200">
        <v>2459</v>
      </c>
    </row>
    <row r="201" spans="1:18" x14ac:dyDescent="0.3">
      <c r="A201" t="s">
        <v>1884</v>
      </c>
      <c r="B201" s="45">
        <v>45585</v>
      </c>
      <c r="C201" t="s">
        <v>301</v>
      </c>
      <c r="D201" t="s">
        <v>237</v>
      </c>
      <c r="E201" t="s">
        <v>303</v>
      </c>
      <c r="F201">
        <v>10</v>
      </c>
      <c r="G201">
        <v>3640</v>
      </c>
      <c r="H201">
        <v>20.100000000000001</v>
      </c>
      <c r="I201">
        <v>29083.599999999999</v>
      </c>
      <c r="J201" t="s">
        <v>87</v>
      </c>
      <c r="K201" t="s">
        <v>94</v>
      </c>
      <c r="L201">
        <v>0</v>
      </c>
      <c r="M201" t="b">
        <v>1</v>
      </c>
      <c r="N201" t="s">
        <v>2795</v>
      </c>
      <c r="O201" t="s">
        <v>2507</v>
      </c>
      <c r="P201">
        <v>41</v>
      </c>
      <c r="Q201" t="s">
        <v>2871</v>
      </c>
      <c r="R201">
        <v>2611</v>
      </c>
    </row>
    <row r="202" spans="1:18" x14ac:dyDescent="0.3">
      <c r="A202" t="s">
        <v>1882</v>
      </c>
      <c r="B202" s="45">
        <v>45620</v>
      </c>
      <c r="C202" t="s">
        <v>700</v>
      </c>
      <c r="D202" t="s">
        <v>386</v>
      </c>
      <c r="E202" t="s">
        <v>107</v>
      </c>
      <c r="F202">
        <v>4</v>
      </c>
      <c r="G202">
        <v>2290</v>
      </c>
      <c r="H202">
        <v>5.9</v>
      </c>
      <c r="I202">
        <v>8619.56</v>
      </c>
      <c r="J202" t="s">
        <v>87</v>
      </c>
      <c r="K202" t="s">
        <v>94</v>
      </c>
      <c r="L202">
        <v>0</v>
      </c>
      <c r="M202" t="b">
        <v>1</v>
      </c>
      <c r="N202" t="s">
        <v>2828</v>
      </c>
      <c r="O202" t="s">
        <v>2515</v>
      </c>
      <c r="P202">
        <v>46</v>
      </c>
      <c r="Q202" t="s">
        <v>2855</v>
      </c>
      <c r="R202">
        <v>1219</v>
      </c>
    </row>
    <row r="203" spans="1:18" x14ac:dyDescent="0.3">
      <c r="A203" t="s">
        <v>525</v>
      </c>
      <c r="B203" s="45">
        <v>45587</v>
      </c>
      <c r="C203" t="s">
        <v>385</v>
      </c>
      <c r="D203" t="s">
        <v>187</v>
      </c>
      <c r="E203" t="s">
        <v>148</v>
      </c>
      <c r="F203">
        <v>2</v>
      </c>
      <c r="G203">
        <v>3570</v>
      </c>
      <c r="H203">
        <v>11.6</v>
      </c>
      <c r="I203">
        <v>6311.76</v>
      </c>
      <c r="J203" t="s">
        <v>93</v>
      </c>
      <c r="K203" t="s">
        <v>117</v>
      </c>
      <c r="L203">
        <v>0</v>
      </c>
      <c r="M203" t="b">
        <v>1</v>
      </c>
      <c r="N203" t="s">
        <v>2784</v>
      </c>
      <c r="O203" t="s">
        <v>2507</v>
      </c>
      <c r="P203">
        <v>23</v>
      </c>
      <c r="Q203" t="s">
        <v>2855</v>
      </c>
      <c r="R203">
        <v>1665</v>
      </c>
    </row>
    <row r="204" spans="1:18" x14ac:dyDescent="0.3">
      <c r="A204" t="s">
        <v>1876</v>
      </c>
      <c r="B204" s="45">
        <v>45621</v>
      </c>
      <c r="C204" t="s">
        <v>595</v>
      </c>
      <c r="D204" t="s">
        <v>97</v>
      </c>
      <c r="E204" t="s">
        <v>86</v>
      </c>
      <c r="F204">
        <v>10</v>
      </c>
      <c r="G204">
        <v>470</v>
      </c>
      <c r="H204">
        <v>21.2</v>
      </c>
      <c r="I204">
        <v>3703.6</v>
      </c>
      <c r="J204" t="s">
        <v>87</v>
      </c>
      <c r="K204" t="s">
        <v>99</v>
      </c>
      <c r="L204">
        <v>0</v>
      </c>
      <c r="M204" t="b">
        <v>0</v>
      </c>
      <c r="N204" t="s">
        <v>2839</v>
      </c>
      <c r="O204" t="s">
        <v>2515</v>
      </c>
      <c r="P204">
        <v>48</v>
      </c>
      <c r="Q204" t="s">
        <v>2855</v>
      </c>
      <c r="R204">
        <v>302</v>
      </c>
    </row>
    <row r="205" spans="1:18" x14ac:dyDescent="0.3">
      <c r="A205" t="s">
        <v>1869</v>
      </c>
      <c r="B205" s="45">
        <v>45570</v>
      </c>
      <c r="C205" t="s">
        <v>617</v>
      </c>
      <c r="D205" t="s">
        <v>338</v>
      </c>
      <c r="E205" t="s">
        <v>98</v>
      </c>
      <c r="F205">
        <v>6</v>
      </c>
      <c r="G205">
        <v>2210</v>
      </c>
      <c r="H205">
        <v>7.4</v>
      </c>
      <c r="I205">
        <v>12278.76</v>
      </c>
      <c r="J205" t="s">
        <v>87</v>
      </c>
      <c r="K205" t="s">
        <v>112</v>
      </c>
      <c r="L205">
        <v>0</v>
      </c>
      <c r="M205" t="b">
        <v>1</v>
      </c>
      <c r="N205" t="s">
        <v>2806</v>
      </c>
      <c r="O205" t="s">
        <v>2515</v>
      </c>
      <c r="P205">
        <v>65</v>
      </c>
      <c r="Q205" t="s">
        <v>2862</v>
      </c>
      <c r="R205">
        <v>1010</v>
      </c>
    </row>
    <row r="206" spans="1:18" x14ac:dyDescent="0.3">
      <c r="A206" t="s">
        <v>1864</v>
      </c>
      <c r="B206" s="45">
        <v>45581</v>
      </c>
      <c r="C206" t="s">
        <v>816</v>
      </c>
      <c r="D206" t="s">
        <v>295</v>
      </c>
      <c r="E206" t="s">
        <v>121</v>
      </c>
      <c r="F206">
        <v>10</v>
      </c>
      <c r="G206">
        <v>2030</v>
      </c>
      <c r="H206">
        <v>25</v>
      </c>
      <c r="I206">
        <v>15225</v>
      </c>
      <c r="J206" t="s">
        <v>87</v>
      </c>
      <c r="K206" t="s">
        <v>88</v>
      </c>
      <c r="L206">
        <v>0</v>
      </c>
      <c r="M206" t="b">
        <v>1</v>
      </c>
      <c r="N206" t="s">
        <v>2817</v>
      </c>
      <c r="O206" t="s">
        <v>2507</v>
      </c>
      <c r="P206">
        <v>36</v>
      </c>
      <c r="Q206" t="s">
        <v>2871</v>
      </c>
      <c r="R206">
        <v>1143</v>
      </c>
    </row>
    <row r="207" spans="1:18" x14ac:dyDescent="0.3">
      <c r="A207" t="s">
        <v>1863</v>
      </c>
      <c r="B207" s="45">
        <v>45578</v>
      </c>
      <c r="C207" t="s">
        <v>905</v>
      </c>
      <c r="D207" t="s">
        <v>131</v>
      </c>
      <c r="E207" t="s">
        <v>139</v>
      </c>
      <c r="F207">
        <v>6</v>
      </c>
      <c r="G207">
        <v>2270</v>
      </c>
      <c r="H207">
        <v>20.9</v>
      </c>
      <c r="I207">
        <v>10773.42</v>
      </c>
      <c r="J207" t="s">
        <v>93</v>
      </c>
      <c r="K207" t="s">
        <v>112</v>
      </c>
      <c r="L207">
        <v>0</v>
      </c>
      <c r="M207" t="b">
        <v>1</v>
      </c>
      <c r="N207" t="s">
        <v>2806</v>
      </c>
      <c r="O207" t="s">
        <v>2515</v>
      </c>
      <c r="P207">
        <v>43</v>
      </c>
      <c r="Q207" t="s">
        <v>2855</v>
      </c>
      <c r="R207">
        <v>1203</v>
      </c>
    </row>
    <row r="208" spans="1:18" x14ac:dyDescent="0.3">
      <c r="A208" t="s">
        <v>532</v>
      </c>
      <c r="B208" s="45">
        <v>45591</v>
      </c>
      <c r="C208" t="s">
        <v>533</v>
      </c>
      <c r="D208" t="s">
        <v>179</v>
      </c>
      <c r="E208" t="s">
        <v>204</v>
      </c>
      <c r="F208">
        <v>6</v>
      </c>
      <c r="G208">
        <v>3350</v>
      </c>
      <c r="H208">
        <v>17.899999999999999</v>
      </c>
      <c r="I208">
        <v>16502.099999999999</v>
      </c>
      <c r="J208" t="s">
        <v>87</v>
      </c>
      <c r="K208" t="s">
        <v>99</v>
      </c>
      <c r="L208">
        <v>0</v>
      </c>
      <c r="M208" t="b">
        <v>1</v>
      </c>
      <c r="N208" t="s">
        <v>2828</v>
      </c>
      <c r="O208" t="s">
        <v>2515</v>
      </c>
      <c r="P208">
        <v>48</v>
      </c>
      <c r="Q208" t="s">
        <v>2862</v>
      </c>
      <c r="R208">
        <v>1728</v>
      </c>
    </row>
    <row r="209" spans="1:18" x14ac:dyDescent="0.3">
      <c r="A209" t="s">
        <v>1840</v>
      </c>
      <c r="B209" s="45">
        <v>45644</v>
      </c>
      <c r="C209" t="s">
        <v>225</v>
      </c>
      <c r="D209" t="s">
        <v>110</v>
      </c>
      <c r="E209" t="s">
        <v>116</v>
      </c>
      <c r="F209">
        <v>10</v>
      </c>
      <c r="G209">
        <v>370</v>
      </c>
      <c r="H209">
        <v>16.399999999999999</v>
      </c>
      <c r="I209">
        <v>3093.2</v>
      </c>
      <c r="J209" t="s">
        <v>140</v>
      </c>
      <c r="K209" t="s">
        <v>94</v>
      </c>
      <c r="L209">
        <v>0</v>
      </c>
      <c r="M209" t="b">
        <v>1</v>
      </c>
      <c r="N209" t="s">
        <v>2817</v>
      </c>
      <c r="O209" t="s">
        <v>2507</v>
      </c>
      <c r="P209">
        <v>37</v>
      </c>
      <c r="Q209" t="s">
        <v>2879</v>
      </c>
      <c r="R209">
        <v>288</v>
      </c>
    </row>
    <row r="210" spans="1:18" x14ac:dyDescent="0.3">
      <c r="A210" t="s">
        <v>1830</v>
      </c>
      <c r="B210" s="45">
        <v>45643</v>
      </c>
      <c r="C210" t="s">
        <v>236</v>
      </c>
      <c r="D210" t="s">
        <v>184</v>
      </c>
      <c r="E210" t="s">
        <v>229</v>
      </c>
      <c r="F210">
        <v>6</v>
      </c>
      <c r="G210">
        <v>4880</v>
      </c>
      <c r="H210">
        <v>12.6</v>
      </c>
      <c r="I210">
        <v>25590.720000000001</v>
      </c>
      <c r="J210" t="s">
        <v>140</v>
      </c>
      <c r="K210" t="s">
        <v>133</v>
      </c>
      <c r="L210">
        <v>0</v>
      </c>
      <c r="M210" t="b">
        <v>1</v>
      </c>
      <c r="N210" t="s">
        <v>2828</v>
      </c>
      <c r="O210" t="s">
        <v>2507</v>
      </c>
      <c r="P210">
        <v>64</v>
      </c>
      <c r="Q210" t="s">
        <v>2879</v>
      </c>
      <c r="R210">
        <v>2768</v>
      </c>
    </row>
    <row r="211" spans="1:18" x14ac:dyDescent="0.3">
      <c r="A211" t="s">
        <v>536</v>
      </c>
      <c r="B211" s="45">
        <v>45572</v>
      </c>
      <c r="C211" t="s">
        <v>537</v>
      </c>
      <c r="D211" t="s">
        <v>248</v>
      </c>
      <c r="E211" t="s">
        <v>188</v>
      </c>
      <c r="F211">
        <v>1</v>
      </c>
      <c r="G211">
        <v>3870</v>
      </c>
      <c r="H211">
        <v>23.5</v>
      </c>
      <c r="I211">
        <v>2960.55</v>
      </c>
      <c r="J211" t="s">
        <v>93</v>
      </c>
      <c r="K211" t="s">
        <v>133</v>
      </c>
      <c r="L211">
        <v>0</v>
      </c>
      <c r="M211" t="b">
        <v>1</v>
      </c>
      <c r="N211" t="s">
        <v>2784</v>
      </c>
      <c r="O211" t="s">
        <v>2515</v>
      </c>
      <c r="P211">
        <v>48</v>
      </c>
      <c r="Q211" t="s">
        <v>2862</v>
      </c>
      <c r="R211">
        <v>1559</v>
      </c>
    </row>
    <row r="212" spans="1:18" x14ac:dyDescent="0.3">
      <c r="A212" t="s">
        <v>538</v>
      </c>
      <c r="B212" s="45">
        <v>45637</v>
      </c>
      <c r="C212" t="s">
        <v>539</v>
      </c>
      <c r="D212" t="s">
        <v>226</v>
      </c>
      <c r="E212" t="s">
        <v>325</v>
      </c>
      <c r="F212">
        <v>3</v>
      </c>
      <c r="G212">
        <v>3730</v>
      </c>
      <c r="H212">
        <v>0.7</v>
      </c>
      <c r="I212">
        <v>11111.67</v>
      </c>
      <c r="J212" t="s">
        <v>93</v>
      </c>
      <c r="K212" t="s">
        <v>133</v>
      </c>
      <c r="L212">
        <v>0</v>
      </c>
      <c r="M212" t="b">
        <v>1</v>
      </c>
      <c r="N212" t="s">
        <v>2817</v>
      </c>
      <c r="O212" t="s">
        <v>2507</v>
      </c>
      <c r="P212">
        <v>38</v>
      </c>
      <c r="Q212" t="s">
        <v>2862</v>
      </c>
      <c r="R212">
        <v>2135</v>
      </c>
    </row>
    <row r="213" spans="1:18" x14ac:dyDescent="0.3">
      <c r="A213" t="s">
        <v>1829</v>
      </c>
      <c r="B213" s="45">
        <v>45566</v>
      </c>
      <c r="C213" t="s">
        <v>717</v>
      </c>
      <c r="D213" t="s">
        <v>237</v>
      </c>
      <c r="E213" t="s">
        <v>303</v>
      </c>
      <c r="F213">
        <v>7</v>
      </c>
      <c r="G213">
        <v>3640</v>
      </c>
      <c r="H213">
        <v>25.5</v>
      </c>
      <c r="I213">
        <v>18982.599999999999</v>
      </c>
      <c r="J213" t="s">
        <v>87</v>
      </c>
      <c r="K213" t="s">
        <v>94</v>
      </c>
      <c r="L213">
        <v>0</v>
      </c>
      <c r="M213" t="b">
        <v>1</v>
      </c>
      <c r="N213" t="s">
        <v>2795</v>
      </c>
      <c r="O213" t="s">
        <v>2507</v>
      </c>
      <c r="P213">
        <v>24</v>
      </c>
      <c r="Q213" t="s">
        <v>2871</v>
      </c>
      <c r="R213">
        <v>2611</v>
      </c>
    </row>
    <row r="214" spans="1:18" x14ac:dyDescent="0.3">
      <c r="A214" t="s">
        <v>1824</v>
      </c>
      <c r="B214" s="45">
        <v>45626</v>
      </c>
      <c r="C214" t="s">
        <v>613</v>
      </c>
      <c r="D214" t="s">
        <v>515</v>
      </c>
      <c r="E214" t="s">
        <v>98</v>
      </c>
      <c r="F214">
        <v>5</v>
      </c>
      <c r="G214">
        <v>6940</v>
      </c>
      <c r="H214">
        <v>2.9</v>
      </c>
      <c r="I214">
        <v>33693.699999999997</v>
      </c>
      <c r="J214" t="s">
        <v>87</v>
      </c>
      <c r="K214" t="s">
        <v>112</v>
      </c>
      <c r="L214">
        <v>0</v>
      </c>
      <c r="M214" t="b">
        <v>1</v>
      </c>
      <c r="N214" t="s">
        <v>2839</v>
      </c>
      <c r="O214" t="s">
        <v>2507</v>
      </c>
      <c r="P214">
        <v>44</v>
      </c>
      <c r="Q214" t="s">
        <v>2862</v>
      </c>
      <c r="R214">
        <v>2827</v>
      </c>
    </row>
    <row r="215" spans="1:18" x14ac:dyDescent="0.3">
      <c r="A215" t="s">
        <v>1819</v>
      </c>
      <c r="B215" s="45">
        <v>45600</v>
      </c>
      <c r="C215" t="s">
        <v>797</v>
      </c>
      <c r="D215" t="s">
        <v>443</v>
      </c>
      <c r="E215" t="s">
        <v>343</v>
      </c>
      <c r="F215">
        <v>2</v>
      </c>
      <c r="G215">
        <v>5080</v>
      </c>
      <c r="H215">
        <v>16.8</v>
      </c>
      <c r="I215">
        <v>8453.1200000000008</v>
      </c>
      <c r="J215" t="s">
        <v>87</v>
      </c>
      <c r="K215" t="s">
        <v>99</v>
      </c>
      <c r="L215">
        <v>0</v>
      </c>
      <c r="M215" t="b">
        <v>1</v>
      </c>
      <c r="N215" t="s">
        <v>2817</v>
      </c>
      <c r="O215" t="s">
        <v>2507</v>
      </c>
      <c r="P215">
        <v>63</v>
      </c>
      <c r="Q215" t="s">
        <v>2879</v>
      </c>
      <c r="R215">
        <v>2459</v>
      </c>
    </row>
    <row r="216" spans="1:18" x14ac:dyDescent="0.3">
      <c r="A216" t="s">
        <v>545</v>
      </c>
      <c r="B216" s="45">
        <v>45656</v>
      </c>
      <c r="C216" t="s">
        <v>546</v>
      </c>
      <c r="D216" t="s">
        <v>85</v>
      </c>
      <c r="E216" t="s">
        <v>170</v>
      </c>
      <c r="F216">
        <v>2</v>
      </c>
      <c r="G216">
        <v>3620</v>
      </c>
      <c r="H216">
        <v>1.1000000000000001</v>
      </c>
      <c r="I216">
        <v>7160.36</v>
      </c>
      <c r="J216" t="s">
        <v>93</v>
      </c>
      <c r="K216" t="s">
        <v>99</v>
      </c>
      <c r="L216">
        <v>0</v>
      </c>
      <c r="M216" t="b">
        <v>1</v>
      </c>
      <c r="N216" t="s">
        <v>2795</v>
      </c>
      <c r="O216" t="s">
        <v>2515</v>
      </c>
      <c r="P216">
        <v>29</v>
      </c>
      <c r="Q216" t="s">
        <v>2879</v>
      </c>
      <c r="R216">
        <v>2509</v>
      </c>
    </row>
    <row r="217" spans="1:18" x14ac:dyDescent="0.3">
      <c r="A217" t="s">
        <v>547</v>
      </c>
      <c r="B217" s="45">
        <v>45573</v>
      </c>
      <c r="C217" t="s">
        <v>291</v>
      </c>
      <c r="D217" t="s">
        <v>408</v>
      </c>
      <c r="E217" t="s">
        <v>107</v>
      </c>
      <c r="F217">
        <v>8</v>
      </c>
      <c r="G217">
        <v>3970</v>
      </c>
      <c r="H217">
        <v>18.100000000000001</v>
      </c>
      <c r="I217">
        <v>26011.439999999999</v>
      </c>
      <c r="J217" t="s">
        <v>87</v>
      </c>
      <c r="K217" t="s">
        <v>99</v>
      </c>
      <c r="L217">
        <v>0</v>
      </c>
      <c r="M217" t="b">
        <v>1</v>
      </c>
      <c r="N217" t="s">
        <v>2784</v>
      </c>
      <c r="O217" t="s">
        <v>2507</v>
      </c>
      <c r="P217">
        <v>35</v>
      </c>
      <c r="Q217" t="s">
        <v>2855</v>
      </c>
      <c r="R217">
        <v>2865</v>
      </c>
    </row>
    <row r="218" spans="1:18" x14ac:dyDescent="0.3">
      <c r="A218" t="s">
        <v>1803</v>
      </c>
      <c r="B218" s="45">
        <v>45634</v>
      </c>
      <c r="C218" t="s">
        <v>194</v>
      </c>
      <c r="D218" t="s">
        <v>386</v>
      </c>
      <c r="E218" t="s">
        <v>86</v>
      </c>
      <c r="F218">
        <v>10</v>
      </c>
      <c r="G218">
        <v>2290</v>
      </c>
      <c r="H218">
        <v>27.7</v>
      </c>
      <c r="I218">
        <v>16556.7</v>
      </c>
      <c r="J218" t="s">
        <v>87</v>
      </c>
      <c r="K218" t="s">
        <v>88</v>
      </c>
      <c r="L218">
        <v>0</v>
      </c>
      <c r="M218" t="b">
        <v>1</v>
      </c>
      <c r="N218" t="s">
        <v>2828</v>
      </c>
      <c r="O218" t="s">
        <v>2515</v>
      </c>
      <c r="P218">
        <v>44</v>
      </c>
      <c r="Q218" t="s">
        <v>2855</v>
      </c>
      <c r="R218">
        <v>1219</v>
      </c>
    </row>
    <row r="219" spans="1:18" x14ac:dyDescent="0.3">
      <c r="A219" t="s">
        <v>549</v>
      </c>
      <c r="B219" s="45">
        <v>45639</v>
      </c>
      <c r="C219" t="s">
        <v>266</v>
      </c>
      <c r="D219" t="s">
        <v>234</v>
      </c>
      <c r="E219" t="s">
        <v>252</v>
      </c>
      <c r="F219">
        <v>1</v>
      </c>
      <c r="G219">
        <v>3780</v>
      </c>
      <c r="H219">
        <v>22.6</v>
      </c>
      <c r="I219">
        <v>2925.72</v>
      </c>
      <c r="J219" t="s">
        <v>87</v>
      </c>
      <c r="K219" t="s">
        <v>99</v>
      </c>
      <c r="L219">
        <v>0</v>
      </c>
      <c r="M219" t="b">
        <v>1</v>
      </c>
      <c r="N219" t="s">
        <v>2806</v>
      </c>
      <c r="O219" t="s">
        <v>2509</v>
      </c>
      <c r="P219">
        <v>55</v>
      </c>
      <c r="Q219" t="s">
        <v>2862</v>
      </c>
      <c r="R219">
        <v>2436</v>
      </c>
    </row>
    <row r="220" spans="1:18" x14ac:dyDescent="0.3">
      <c r="A220" t="s">
        <v>550</v>
      </c>
      <c r="B220" s="45">
        <v>45653</v>
      </c>
      <c r="C220" t="s">
        <v>551</v>
      </c>
      <c r="D220" t="s">
        <v>264</v>
      </c>
      <c r="E220" t="s">
        <v>285</v>
      </c>
      <c r="F220">
        <v>9</v>
      </c>
      <c r="G220">
        <v>4070</v>
      </c>
      <c r="H220">
        <v>28.2</v>
      </c>
      <c r="I220">
        <v>26300.34</v>
      </c>
      <c r="J220" t="s">
        <v>87</v>
      </c>
      <c r="K220" t="s">
        <v>112</v>
      </c>
      <c r="L220">
        <v>0</v>
      </c>
      <c r="M220" t="b">
        <v>1</v>
      </c>
      <c r="N220" t="s">
        <v>2806</v>
      </c>
      <c r="O220" t="s">
        <v>2509</v>
      </c>
      <c r="P220">
        <v>60</v>
      </c>
      <c r="Q220" t="s">
        <v>2871</v>
      </c>
      <c r="R220">
        <v>2027</v>
      </c>
    </row>
    <row r="221" spans="1:18" x14ac:dyDescent="0.3">
      <c r="A221" t="s">
        <v>1798</v>
      </c>
      <c r="B221" s="45">
        <v>45647</v>
      </c>
      <c r="C221" t="s">
        <v>720</v>
      </c>
      <c r="D221" t="s">
        <v>267</v>
      </c>
      <c r="E221" t="s">
        <v>148</v>
      </c>
      <c r="F221">
        <v>1</v>
      </c>
      <c r="G221">
        <v>1220</v>
      </c>
      <c r="H221">
        <v>15.2</v>
      </c>
      <c r="I221">
        <v>1034.56</v>
      </c>
      <c r="J221" t="s">
        <v>87</v>
      </c>
      <c r="K221" t="s">
        <v>88</v>
      </c>
      <c r="L221">
        <v>0</v>
      </c>
      <c r="M221" t="b">
        <v>1</v>
      </c>
      <c r="N221" t="s">
        <v>2784</v>
      </c>
      <c r="O221" t="s">
        <v>2507</v>
      </c>
      <c r="P221">
        <v>48</v>
      </c>
      <c r="Q221" t="s">
        <v>2855</v>
      </c>
      <c r="R221">
        <v>517</v>
      </c>
    </row>
    <row r="222" spans="1:18" x14ac:dyDescent="0.3">
      <c r="A222" t="s">
        <v>1795</v>
      </c>
      <c r="B222" s="45">
        <v>45587</v>
      </c>
      <c r="C222" t="s">
        <v>163</v>
      </c>
      <c r="D222" t="s">
        <v>452</v>
      </c>
      <c r="E222" t="s">
        <v>121</v>
      </c>
      <c r="F222">
        <v>7</v>
      </c>
      <c r="G222">
        <v>3450</v>
      </c>
      <c r="H222">
        <v>29.3</v>
      </c>
      <c r="I222">
        <v>17074.05</v>
      </c>
      <c r="J222" t="s">
        <v>87</v>
      </c>
      <c r="K222" t="s">
        <v>94</v>
      </c>
      <c r="L222">
        <v>0</v>
      </c>
      <c r="M222" t="b">
        <v>1</v>
      </c>
      <c r="N222" t="s">
        <v>2795</v>
      </c>
      <c r="O222" t="s">
        <v>2507</v>
      </c>
      <c r="P222">
        <v>49</v>
      </c>
      <c r="Q222" t="s">
        <v>2871</v>
      </c>
      <c r="R222">
        <v>1748</v>
      </c>
    </row>
    <row r="223" spans="1:18" x14ac:dyDescent="0.3">
      <c r="A223" t="s">
        <v>1793</v>
      </c>
      <c r="B223" s="45">
        <v>45650</v>
      </c>
      <c r="C223" t="s">
        <v>1104</v>
      </c>
      <c r="D223" t="s">
        <v>364</v>
      </c>
      <c r="E223" t="s">
        <v>121</v>
      </c>
      <c r="F223">
        <v>7</v>
      </c>
      <c r="G223">
        <v>5330</v>
      </c>
      <c r="H223">
        <v>8.1999999999999993</v>
      </c>
      <c r="I223">
        <v>34250.58</v>
      </c>
      <c r="J223" t="s">
        <v>87</v>
      </c>
      <c r="K223" t="s">
        <v>117</v>
      </c>
      <c r="L223">
        <v>0</v>
      </c>
      <c r="M223" t="b">
        <v>1</v>
      </c>
      <c r="N223" t="s">
        <v>2784</v>
      </c>
      <c r="O223" t="s">
        <v>2509</v>
      </c>
      <c r="P223">
        <v>31</v>
      </c>
      <c r="Q223" t="s">
        <v>2871</v>
      </c>
      <c r="R223">
        <v>2405</v>
      </c>
    </row>
    <row r="224" spans="1:18" x14ac:dyDescent="0.3">
      <c r="A224" t="s">
        <v>1789</v>
      </c>
      <c r="B224" s="45">
        <v>45588</v>
      </c>
      <c r="C224" t="s">
        <v>197</v>
      </c>
      <c r="D224" t="s">
        <v>85</v>
      </c>
      <c r="E224" t="s">
        <v>188</v>
      </c>
      <c r="F224">
        <v>8</v>
      </c>
      <c r="G224">
        <v>3620</v>
      </c>
      <c r="H224">
        <v>1.4</v>
      </c>
      <c r="I224">
        <v>28554.560000000001</v>
      </c>
      <c r="J224" t="s">
        <v>87</v>
      </c>
      <c r="K224" t="s">
        <v>88</v>
      </c>
      <c r="L224">
        <v>0</v>
      </c>
      <c r="M224" t="b">
        <v>1</v>
      </c>
      <c r="N224" t="s">
        <v>2795</v>
      </c>
      <c r="O224" t="s">
        <v>2509</v>
      </c>
      <c r="P224">
        <v>47</v>
      </c>
      <c r="Q224" t="s">
        <v>2862</v>
      </c>
      <c r="R224">
        <v>2509</v>
      </c>
    </row>
    <row r="225" spans="1:18" x14ac:dyDescent="0.3">
      <c r="A225" t="s">
        <v>560</v>
      </c>
      <c r="B225" s="45">
        <v>45608</v>
      </c>
      <c r="C225" t="s">
        <v>561</v>
      </c>
      <c r="D225" t="s">
        <v>191</v>
      </c>
      <c r="E225" t="s">
        <v>86</v>
      </c>
      <c r="F225">
        <v>6</v>
      </c>
      <c r="G225">
        <v>5100</v>
      </c>
      <c r="H225">
        <v>1.2</v>
      </c>
      <c r="I225">
        <v>30232.799999999999</v>
      </c>
      <c r="J225" t="s">
        <v>87</v>
      </c>
      <c r="K225" t="s">
        <v>133</v>
      </c>
      <c r="L225">
        <v>0</v>
      </c>
      <c r="M225" t="b">
        <v>1</v>
      </c>
      <c r="N225" t="s">
        <v>2828</v>
      </c>
      <c r="O225" t="s">
        <v>2515</v>
      </c>
      <c r="P225">
        <v>43</v>
      </c>
      <c r="Q225" t="s">
        <v>2855</v>
      </c>
      <c r="R225">
        <v>2237</v>
      </c>
    </row>
    <row r="226" spans="1:18" x14ac:dyDescent="0.3">
      <c r="A226" t="s">
        <v>562</v>
      </c>
      <c r="B226" s="45">
        <v>45614</v>
      </c>
      <c r="C226" t="s">
        <v>563</v>
      </c>
      <c r="D226" t="s">
        <v>282</v>
      </c>
      <c r="E226" t="s">
        <v>92</v>
      </c>
      <c r="F226">
        <v>9</v>
      </c>
      <c r="G226">
        <v>300</v>
      </c>
      <c r="H226">
        <v>25.4</v>
      </c>
      <c r="I226">
        <v>2014.2</v>
      </c>
      <c r="J226" t="s">
        <v>140</v>
      </c>
      <c r="K226" t="s">
        <v>88</v>
      </c>
      <c r="L226">
        <v>0</v>
      </c>
      <c r="M226" t="b">
        <v>1</v>
      </c>
      <c r="N226" t="s">
        <v>2784</v>
      </c>
      <c r="O226" t="s">
        <v>2515</v>
      </c>
      <c r="P226">
        <v>24</v>
      </c>
      <c r="Q226" t="s">
        <v>2855</v>
      </c>
      <c r="R226">
        <v>128</v>
      </c>
    </row>
    <row r="227" spans="1:18" x14ac:dyDescent="0.3">
      <c r="A227" t="s">
        <v>1785</v>
      </c>
      <c r="B227" s="45">
        <v>45636</v>
      </c>
      <c r="C227" t="s">
        <v>1350</v>
      </c>
      <c r="D227" t="s">
        <v>386</v>
      </c>
      <c r="E227" t="s">
        <v>132</v>
      </c>
      <c r="F227">
        <v>9</v>
      </c>
      <c r="G227">
        <v>2290</v>
      </c>
      <c r="H227">
        <v>28.8</v>
      </c>
      <c r="I227">
        <v>14674.32</v>
      </c>
      <c r="J227" t="s">
        <v>87</v>
      </c>
      <c r="K227" t="s">
        <v>112</v>
      </c>
      <c r="L227">
        <v>0</v>
      </c>
      <c r="M227" t="b">
        <v>1</v>
      </c>
      <c r="N227" t="s">
        <v>2828</v>
      </c>
      <c r="O227" t="s">
        <v>2507</v>
      </c>
      <c r="P227">
        <v>38</v>
      </c>
      <c r="Q227" t="s">
        <v>2862</v>
      </c>
      <c r="R227">
        <v>1219</v>
      </c>
    </row>
    <row r="228" spans="1:18" x14ac:dyDescent="0.3">
      <c r="A228" t="s">
        <v>1779</v>
      </c>
      <c r="B228" s="45">
        <v>45644</v>
      </c>
      <c r="C228" t="s">
        <v>1006</v>
      </c>
      <c r="D228" t="s">
        <v>270</v>
      </c>
      <c r="E228" t="s">
        <v>139</v>
      </c>
      <c r="F228">
        <v>3</v>
      </c>
      <c r="G228">
        <v>4610</v>
      </c>
      <c r="H228">
        <v>29.6</v>
      </c>
      <c r="I228">
        <v>9736.32</v>
      </c>
      <c r="J228" t="s">
        <v>87</v>
      </c>
      <c r="K228" t="s">
        <v>117</v>
      </c>
      <c r="L228">
        <v>0</v>
      </c>
      <c r="M228" t="b">
        <v>1</v>
      </c>
      <c r="N228" t="s">
        <v>2817</v>
      </c>
      <c r="O228" t="s">
        <v>2515</v>
      </c>
      <c r="P228">
        <v>44</v>
      </c>
      <c r="Q228" t="s">
        <v>2855</v>
      </c>
      <c r="R228">
        <v>1850</v>
      </c>
    </row>
    <row r="229" spans="1:18" x14ac:dyDescent="0.3">
      <c r="A229" t="s">
        <v>1775</v>
      </c>
      <c r="B229" s="45">
        <v>45584</v>
      </c>
      <c r="C229" t="s">
        <v>595</v>
      </c>
      <c r="D229" t="s">
        <v>147</v>
      </c>
      <c r="E229" t="s">
        <v>303</v>
      </c>
      <c r="F229">
        <v>6</v>
      </c>
      <c r="G229">
        <v>190</v>
      </c>
      <c r="H229">
        <v>12.9</v>
      </c>
      <c r="I229">
        <v>992.94</v>
      </c>
      <c r="J229" t="s">
        <v>87</v>
      </c>
      <c r="K229" t="s">
        <v>99</v>
      </c>
      <c r="L229">
        <v>0</v>
      </c>
      <c r="M229" t="b">
        <v>1</v>
      </c>
      <c r="N229" t="s">
        <v>2839</v>
      </c>
      <c r="O229" t="s">
        <v>2515</v>
      </c>
      <c r="P229">
        <v>48</v>
      </c>
      <c r="Q229" t="s">
        <v>2871</v>
      </c>
      <c r="R229">
        <v>147</v>
      </c>
    </row>
    <row r="230" spans="1:18" x14ac:dyDescent="0.3">
      <c r="A230" t="s">
        <v>1770</v>
      </c>
      <c r="B230" s="45">
        <v>45608</v>
      </c>
      <c r="C230" t="s">
        <v>970</v>
      </c>
      <c r="D230" t="s">
        <v>380</v>
      </c>
      <c r="E230" t="s">
        <v>86</v>
      </c>
      <c r="F230">
        <v>10</v>
      </c>
      <c r="G230">
        <v>960</v>
      </c>
      <c r="H230">
        <v>9.6999999999999993</v>
      </c>
      <c r="I230">
        <v>8668.7999999999993</v>
      </c>
      <c r="J230" t="s">
        <v>87</v>
      </c>
      <c r="K230" t="s">
        <v>112</v>
      </c>
      <c r="L230">
        <v>0</v>
      </c>
      <c r="M230" t="b">
        <v>1</v>
      </c>
      <c r="N230" t="s">
        <v>2828</v>
      </c>
      <c r="O230" t="s">
        <v>2507</v>
      </c>
      <c r="P230">
        <v>40</v>
      </c>
      <c r="Q230" t="s">
        <v>2855</v>
      </c>
      <c r="R230">
        <v>675</v>
      </c>
    </row>
    <row r="231" spans="1:18" x14ac:dyDescent="0.3">
      <c r="A231" t="s">
        <v>1768</v>
      </c>
      <c r="B231" s="45">
        <v>45589</v>
      </c>
      <c r="C231" t="s">
        <v>394</v>
      </c>
      <c r="D231" t="s">
        <v>195</v>
      </c>
      <c r="E231" t="s">
        <v>343</v>
      </c>
      <c r="F231">
        <v>8</v>
      </c>
      <c r="G231">
        <v>2860</v>
      </c>
      <c r="H231">
        <v>14.7</v>
      </c>
      <c r="I231">
        <v>19516.64</v>
      </c>
      <c r="J231" t="s">
        <v>87</v>
      </c>
      <c r="K231" t="s">
        <v>117</v>
      </c>
      <c r="L231">
        <v>0</v>
      </c>
      <c r="M231" t="b">
        <v>1</v>
      </c>
      <c r="N231" t="s">
        <v>2839</v>
      </c>
      <c r="O231" t="s">
        <v>2515</v>
      </c>
      <c r="P231">
        <v>28</v>
      </c>
      <c r="Q231" t="s">
        <v>2879</v>
      </c>
      <c r="R231">
        <v>2028</v>
      </c>
    </row>
    <row r="232" spans="1:18" x14ac:dyDescent="0.3">
      <c r="A232" t="s">
        <v>572</v>
      </c>
      <c r="B232" s="45">
        <v>45585</v>
      </c>
      <c r="C232" t="s">
        <v>539</v>
      </c>
      <c r="D232" t="s">
        <v>131</v>
      </c>
      <c r="E232" t="s">
        <v>98</v>
      </c>
      <c r="F232">
        <v>5</v>
      </c>
      <c r="G232">
        <v>2270</v>
      </c>
      <c r="H232">
        <v>0.4</v>
      </c>
      <c r="I232">
        <v>11304.6</v>
      </c>
      <c r="J232" t="s">
        <v>140</v>
      </c>
      <c r="K232" t="s">
        <v>133</v>
      </c>
      <c r="L232">
        <v>0</v>
      </c>
      <c r="M232" t="b">
        <v>1</v>
      </c>
      <c r="N232" t="s">
        <v>2806</v>
      </c>
      <c r="O232" t="s">
        <v>2507</v>
      </c>
      <c r="P232">
        <v>38</v>
      </c>
      <c r="Q232" t="s">
        <v>2862</v>
      </c>
      <c r="R232">
        <v>1203</v>
      </c>
    </row>
    <row r="233" spans="1:18" x14ac:dyDescent="0.3">
      <c r="A233" t="s">
        <v>1767</v>
      </c>
      <c r="B233" s="45">
        <v>45597</v>
      </c>
      <c r="C233" t="s">
        <v>411</v>
      </c>
      <c r="D233" t="s">
        <v>147</v>
      </c>
      <c r="E233" t="s">
        <v>92</v>
      </c>
      <c r="F233">
        <v>6</v>
      </c>
      <c r="G233">
        <v>190</v>
      </c>
      <c r="H233">
        <v>3.5</v>
      </c>
      <c r="I233">
        <v>1100.0999999999999</v>
      </c>
      <c r="J233" t="s">
        <v>140</v>
      </c>
      <c r="K233" t="s">
        <v>112</v>
      </c>
      <c r="L233">
        <v>0</v>
      </c>
      <c r="M233" t="b">
        <v>1</v>
      </c>
      <c r="N233" t="s">
        <v>2839</v>
      </c>
      <c r="O233" t="s">
        <v>2507</v>
      </c>
      <c r="P233">
        <v>61</v>
      </c>
      <c r="Q233" t="s">
        <v>2855</v>
      </c>
      <c r="R233">
        <v>147</v>
      </c>
    </row>
    <row r="234" spans="1:18" x14ac:dyDescent="0.3">
      <c r="A234" t="s">
        <v>1765</v>
      </c>
      <c r="B234" s="45">
        <v>45604</v>
      </c>
      <c r="C234" t="s">
        <v>1231</v>
      </c>
      <c r="D234" t="s">
        <v>338</v>
      </c>
      <c r="E234" t="s">
        <v>188</v>
      </c>
      <c r="F234">
        <v>4</v>
      </c>
      <c r="G234">
        <v>2210</v>
      </c>
      <c r="H234">
        <v>3.1</v>
      </c>
      <c r="I234">
        <v>8565.9599999999991</v>
      </c>
      <c r="J234" t="s">
        <v>87</v>
      </c>
      <c r="K234" t="s">
        <v>88</v>
      </c>
      <c r="L234">
        <v>0</v>
      </c>
      <c r="M234" t="b">
        <v>1</v>
      </c>
      <c r="N234" t="s">
        <v>2806</v>
      </c>
      <c r="O234" t="s">
        <v>2507</v>
      </c>
      <c r="P234">
        <v>42</v>
      </c>
      <c r="Q234" t="s">
        <v>2862</v>
      </c>
      <c r="R234">
        <v>1010</v>
      </c>
    </row>
    <row r="235" spans="1:18" x14ac:dyDescent="0.3">
      <c r="A235" t="s">
        <v>1759</v>
      </c>
      <c r="B235" s="45">
        <v>45582</v>
      </c>
      <c r="C235" t="s">
        <v>948</v>
      </c>
      <c r="D235" t="s">
        <v>102</v>
      </c>
      <c r="E235" t="s">
        <v>273</v>
      </c>
      <c r="F235">
        <v>8</v>
      </c>
      <c r="G235">
        <v>3660</v>
      </c>
      <c r="H235">
        <v>8.4</v>
      </c>
      <c r="I235">
        <v>26820.48</v>
      </c>
      <c r="J235" t="s">
        <v>87</v>
      </c>
      <c r="K235" t="s">
        <v>88</v>
      </c>
      <c r="L235">
        <v>0</v>
      </c>
      <c r="M235" t="b">
        <v>0</v>
      </c>
      <c r="N235" t="s">
        <v>2806</v>
      </c>
      <c r="O235" t="s">
        <v>2507</v>
      </c>
      <c r="P235">
        <v>65</v>
      </c>
      <c r="Q235" t="s">
        <v>2862</v>
      </c>
      <c r="R235">
        <v>2214</v>
      </c>
    </row>
    <row r="236" spans="1:18" x14ac:dyDescent="0.3">
      <c r="A236" t="s">
        <v>576</v>
      </c>
      <c r="B236" s="45">
        <v>45643</v>
      </c>
      <c r="C236" t="s">
        <v>312</v>
      </c>
      <c r="D236" t="s">
        <v>515</v>
      </c>
      <c r="E236" t="s">
        <v>229</v>
      </c>
      <c r="F236">
        <v>7</v>
      </c>
      <c r="G236">
        <v>6940</v>
      </c>
      <c r="H236">
        <v>25.8</v>
      </c>
      <c r="I236">
        <v>36046.36</v>
      </c>
      <c r="J236" t="s">
        <v>87</v>
      </c>
      <c r="K236" t="s">
        <v>133</v>
      </c>
      <c r="L236">
        <v>0</v>
      </c>
      <c r="M236" t="b">
        <v>1</v>
      </c>
      <c r="N236" t="s">
        <v>2839</v>
      </c>
      <c r="O236" t="s">
        <v>2507</v>
      </c>
      <c r="P236">
        <v>46</v>
      </c>
      <c r="Q236" t="s">
        <v>2879</v>
      </c>
      <c r="R236">
        <v>2827</v>
      </c>
    </row>
    <row r="237" spans="1:18" x14ac:dyDescent="0.3">
      <c r="A237" t="s">
        <v>1753</v>
      </c>
      <c r="B237" s="45">
        <v>45650</v>
      </c>
      <c r="C237" t="s">
        <v>1754</v>
      </c>
      <c r="D237" t="s">
        <v>135</v>
      </c>
      <c r="E237" t="s">
        <v>103</v>
      </c>
      <c r="F237">
        <v>8</v>
      </c>
      <c r="G237">
        <v>2640</v>
      </c>
      <c r="H237">
        <v>24.4</v>
      </c>
      <c r="I237">
        <v>15966.72</v>
      </c>
      <c r="J237" t="s">
        <v>87</v>
      </c>
      <c r="K237" t="s">
        <v>112</v>
      </c>
      <c r="L237">
        <v>0</v>
      </c>
      <c r="M237" t="b">
        <v>1</v>
      </c>
      <c r="N237" t="s">
        <v>2784</v>
      </c>
      <c r="O237" t="e">
        <v>#N/A</v>
      </c>
      <c r="P237" t="e">
        <v>#N/A</v>
      </c>
      <c r="Q237" t="s">
        <v>2855</v>
      </c>
      <c r="R237">
        <v>1149</v>
      </c>
    </row>
    <row r="238" spans="1:18" x14ac:dyDescent="0.3">
      <c r="A238" t="s">
        <v>1752</v>
      </c>
      <c r="B238" s="45">
        <v>45624</v>
      </c>
      <c r="C238" t="s">
        <v>328</v>
      </c>
      <c r="D238" t="s">
        <v>176</v>
      </c>
      <c r="E238" t="s">
        <v>132</v>
      </c>
      <c r="F238">
        <v>9</v>
      </c>
      <c r="G238">
        <v>1650</v>
      </c>
      <c r="H238">
        <v>2.5</v>
      </c>
      <c r="I238">
        <v>14478.75</v>
      </c>
      <c r="J238" t="s">
        <v>87</v>
      </c>
      <c r="K238" t="s">
        <v>94</v>
      </c>
      <c r="L238">
        <v>0</v>
      </c>
      <c r="M238" t="b">
        <v>1</v>
      </c>
      <c r="N238" t="s">
        <v>2828</v>
      </c>
      <c r="O238" t="s">
        <v>2507</v>
      </c>
      <c r="P238">
        <v>28</v>
      </c>
      <c r="Q238" t="s">
        <v>2862</v>
      </c>
      <c r="R238">
        <v>1222</v>
      </c>
    </row>
    <row r="239" spans="1:18" x14ac:dyDescent="0.3">
      <c r="A239" t="s">
        <v>1747</v>
      </c>
      <c r="B239" s="45">
        <v>45607</v>
      </c>
      <c r="C239" t="s">
        <v>163</v>
      </c>
      <c r="D239" t="s">
        <v>408</v>
      </c>
      <c r="E239" t="s">
        <v>297</v>
      </c>
      <c r="F239">
        <v>8</v>
      </c>
      <c r="G239">
        <v>3970</v>
      </c>
      <c r="H239">
        <v>22.4</v>
      </c>
      <c r="I239">
        <v>24645.759999999998</v>
      </c>
      <c r="J239" t="s">
        <v>87</v>
      </c>
      <c r="K239" t="s">
        <v>94</v>
      </c>
      <c r="L239">
        <v>0</v>
      </c>
      <c r="M239" t="b">
        <v>1</v>
      </c>
      <c r="N239" t="s">
        <v>2784</v>
      </c>
      <c r="O239" t="s">
        <v>2507</v>
      </c>
      <c r="P239">
        <v>49</v>
      </c>
      <c r="Q239" t="s">
        <v>2855</v>
      </c>
      <c r="R239">
        <v>2865</v>
      </c>
    </row>
    <row r="240" spans="1:18" x14ac:dyDescent="0.3">
      <c r="A240" t="s">
        <v>1741</v>
      </c>
      <c r="B240" s="45">
        <v>45603</v>
      </c>
      <c r="C240" t="s">
        <v>968</v>
      </c>
      <c r="D240" t="s">
        <v>184</v>
      </c>
      <c r="E240" t="s">
        <v>297</v>
      </c>
      <c r="F240">
        <v>5</v>
      </c>
      <c r="G240">
        <v>4880</v>
      </c>
      <c r="H240">
        <v>27.4</v>
      </c>
      <c r="I240">
        <v>17714.400000000001</v>
      </c>
      <c r="J240" t="s">
        <v>87</v>
      </c>
      <c r="K240" t="s">
        <v>99</v>
      </c>
      <c r="L240">
        <v>0</v>
      </c>
      <c r="M240" t="b">
        <v>1</v>
      </c>
      <c r="N240" t="s">
        <v>2828</v>
      </c>
      <c r="O240" t="s">
        <v>2507</v>
      </c>
      <c r="P240">
        <v>47</v>
      </c>
      <c r="Q240" t="s">
        <v>2855</v>
      </c>
      <c r="R240">
        <v>2768</v>
      </c>
    </row>
    <row r="241" spans="1:18" x14ac:dyDescent="0.3">
      <c r="A241" t="s">
        <v>1736</v>
      </c>
      <c r="B241" s="45">
        <v>45584</v>
      </c>
      <c r="C241" t="s">
        <v>621</v>
      </c>
      <c r="D241" t="s">
        <v>408</v>
      </c>
      <c r="E241" t="s">
        <v>204</v>
      </c>
      <c r="F241">
        <v>9</v>
      </c>
      <c r="G241">
        <v>3970</v>
      </c>
      <c r="H241">
        <v>18.2</v>
      </c>
      <c r="I241">
        <v>29227.14</v>
      </c>
      <c r="J241" t="s">
        <v>93</v>
      </c>
      <c r="K241" t="s">
        <v>94</v>
      </c>
      <c r="L241">
        <v>0</v>
      </c>
      <c r="M241" t="b">
        <v>1</v>
      </c>
      <c r="N241" t="s">
        <v>2784</v>
      </c>
      <c r="O241" t="s">
        <v>2509</v>
      </c>
      <c r="P241">
        <v>22</v>
      </c>
      <c r="Q241" t="s">
        <v>2862</v>
      </c>
      <c r="R241">
        <v>2865</v>
      </c>
    </row>
    <row r="242" spans="1:18" x14ac:dyDescent="0.3">
      <c r="A242" t="s">
        <v>1732</v>
      </c>
      <c r="B242" s="45">
        <v>45568</v>
      </c>
      <c r="C242" t="s">
        <v>357</v>
      </c>
      <c r="D242" t="s">
        <v>279</v>
      </c>
      <c r="E242" t="s">
        <v>188</v>
      </c>
      <c r="F242">
        <v>4</v>
      </c>
      <c r="G242">
        <v>2660</v>
      </c>
      <c r="H242">
        <v>8.9</v>
      </c>
      <c r="I242">
        <v>9693.0400000000009</v>
      </c>
      <c r="J242" t="s">
        <v>87</v>
      </c>
      <c r="K242" t="s">
        <v>99</v>
      </c>
      <c r="L242">
        <v>0</v>
      </c>
      <c r="M242" t="b">
        <v>0</v>
      </c>
      <c r="N242" t="s">
        <v>2784</v>
      </c>
      <c r="O242" t="s">
        <v>2515</v>
      </c>
      <c r="P242">
        <v>38</v>
      </c>
      <c r="Q242" t="s">
        <v>2862</v>
      </c>
      <c r="R242">
        <v>1259</v>
      </c>
    </row>
    <row r="243" spans="1:18" x14ac:dyDescent="0.3">
      <c r="A243" t="s">
        <v>1726</v>
      </c>
      <c r="B243" s="45">
        <v>45575</v>
      </c>
      <c r="C243" t="s">
        <v>314</v>
      </c>
      <c r="D243" t="s">
        <v>364</v>
      </c>
      <c r="E243" t="s">
        <v>346</v>
      </c>
      <c r="F243">
        <v>6</v>
      </c>
      <c r="G243">
        <v>5330</v>
      </c>
      <c r="H243">
        <v>0.3</v>
      </c>
      <c r="I243">
        <v>31884.06</v>
      </c>
      <c r="J243" t="s">
        <v>93</v>
      </c>
      <c r="K243" t="s">
        <v>88</v>
      </c>
      <c r="L243">
        <v>0</v>
      </c>
      <c r="M243" t="b">
        <v>1</v>
      </c>
      <c r="N243" t="s">
        <v>2784</v>
      </c>
      <c r="O243" t="s">
        <v>2509</v>
      </c>
      <c r="P243">
        <v>33</v>
      </c>
      <c r="Q243" t="s">
        <v>2862</v>
      </c>
      <c r="R243">
        <v>2405</v>
      </c>
    </row>
    <row r="244" spans="1:18" x14ac:dyDescent="0.3">
      <c r="A244" t="s">
        <v>1720</v>
      </c>
      <c r="B244" s="45">
        <v>45620</v>
      </c>
      <c r="C244" t="s">
        <v>908</v>
      </c>
      <c r="D244" t="s">
        <v>124</v>
      </c>
      <c r="E244" t="s">
        <v>252</v>
      </c>
      <c r="F244">
        <v>8</v>
      </c>
      <c r="G244">
        <v>5490</v>
      </c>
      <c r="H244">
        <v>23.2</v>
      </c>
      <c r="I244">
        <v>33730.559999999998</v>
      </c>
      <c r="J244" t="s">
        <v>87</v>
      </c>
      <c r="K244" t="s">
        <v>133</v>
      </c>
      <c r="L244">
        <v>0</v>
      </c>
      <c r="M244" t="b">
        <v>1</v>
      </c>
      <c r="N244" t="s">
        <v>2817</v>
      </c>
      <c r="O244" t="s">
        <v>2507</v>
      </c>
      <c r="P244">
        <v>31</v>
      </c>
      <c r="Q244" t="s">
        <v>2862</v>
      </c>
      <c r="R244">
        <v>2549</v>
      </c>
    </row>
    <row r="245" spans="1:18" x14ac:dyDescent="0.3">
      <c r="A245" t="s">
        <v>1716</v>
      </c>
      <c r="B245" s="45">
        <v>45634</v>
      </c>
      <c r="C245" t="s">
        <v>314</v>
      </c>
      <c r="D245" t="s">
        <v>182</v>
      </c>
      <c r="E245" t="s">
        <v>121</v>
      </c>
      <c r="F245">
        <v>10</v>
      </c>
      <c r="G245">
        <v>1010</v>
      </c>
      <c r="H245">
        <v>14</v>
      </c>
      <c r="I245">
        <v>8686</v>
      </c>
      <c r="J245" t="s">
        <v>87</v>
      </c>
      <c r="K245" t="s">
        <v>88</v>
      </c>
      <c r="L245">
        <v>0</v>
      </c>
      <c r="M245" t="b">
        <v>1</v>
      </c>
      <c r="N245" t="s">
        <v>2839</v>
      </c>
      <c r="O245" t="s">
        <v>2509</v>
      </c>
      <c r="P245">
        <v>33</v>
      </c>
      <c r="Q245" t="s">
        <v>2871</v>
      </c>
      <c r="R245">
        <v>516</v>
      </c>
    </row>
    <row r="246" spans="1:18" x14ac:dyDescent="0.3">
      <c r="A246" t="s">
        <v>590</v>
      </c>
      <c r="B246" s="45">
        <v>45627</v>
      </c>
      <c r="C246" t="s">
        <v>308</v>
      </c>
      <c r="D246" t="s">
        <v>259</v>
      </c>
      <c r="E246" t="s">
        <v>297</v>
      </c>
      <c r="F246">
        <v>3</v>
      </c>
      <c r="G246">
        <v>1540</v>
      </c>
      <c r="H246">
        <v>20.9</v>
      </c>
      <c r="I246">
        <v>3654.42</v>
      </c>
      <c r="J246" t="s">
        <v>87</v>
      </c>
      <c r="K246" t="s">
        <v>88</v>
      </c>
      <c r="L246">
        <v>0</v>
      </c>
      <c r="M246" t="b">
        <v>0</v>
      </c>
      <c r="N246" t="s">
        <v>2828</v>
      </c>
      <c r="O246" t="s">
        <v>2515</v>
      </c>
      <c r="P246">
        <v>54</v>
      </c>
      <c r="Q246" t="s">
        <v>2855</v>
      </c>
      <c r="R246">
        <v>647</v>
      </c>
    </row>
    <row r="247" spans="1:18" x14ac:dyDescent="0.3">
      <c r="A247" t="s">
        <v>591</v>
      </c>
      <c r="B247" s="45">
        <v>45576</v>
      </c>
      <c r="C247" t="s">
        <v>592</v>
      </c>
      <c r="D247" t="s">
        <v>135</v>
      </c>
      <c r="E247" t="s">
        <v>132</v>
      </c>
      <c r="F247">
        <v>10</v>
      </c>
      <c r="G247">
        <v>2640</v>
      </c>
      <c r="H247">
        <v>11.2</v>
      </c>
      <c r="I247">
        <v>23443.200000000001</v>
      </c>
      <c r="J247" t="s">
        <v>93</v>
      </c>
      <c r="K247" t="s">
        <v>133</v>
      </c>
      <c r="L247">
        <v>0</v>
      </c>
      <c r="M247" t="b">
        <v>1</v>
      </c>
      <c r="N247" t="s">
        <v>2784</v>
      </c>
      <c r="O247" t="s">
        <v>2507</v>
      </c>
      <c r="P247">
        <v>22</v>
      </c>
      <c r="Q247" t="s">
        <v>2862</v>
      </c>
      <c r="R247">
        <v>1149</v>
      </c>
    </row>
    <row r="248" spans="1:18" x14ac:dyDescent="0.3">
      <c r="A248" t="s">
        <v>1714</v>
      </c>
      <c r="B248" s="45">
        <v>45607</v>
      </c>
      <c r="C248" t="s">
        <v>310</v>
      </c>
      <c r="D248" t="s">
        <v>279</v>
      </c>
      <c r="E248" t="s">
        <v>139</v>
      </c>
      <c r="F248">
        <v>7</v>
      </c>
      <c r="G248">
        <v>2660</v>
      </c>
      <c r="H248">
        <v>8.5</v>
      </c>
      <c r="I248">
        <v>17037.3</v>
      </c>
      <c r="J248" t="s">
        <v>87</v>
      </c>
      <c r="K248" t="s">
        <v>117</v>
      </c>
      <c r="L248">
        <v>0</v>
      </c>
      <c r="M248" t="b">
        <v>0</v>
      </c>
      <c r="N248" t="s">
        <v>2784</v>
      </c>
      <c r="O248" t="s">
        <v>2507</v>
      </c>
      <c r="P248">
        <v>42</v>
      </c>
      <c r="Q248" t="s">
        <v>2855</v>
      </c>
      <c r="R248">
        <v>1259</v>
      </c>
    </row>
    <row r="249" spans="1:18" x14ac:dyDescent="0.3">
      <c r="A249" t="s">
        <v>594</v>
      </c>
      <c r="B249" s="45">
        <v>45650</v>
      </c>
      <c r="C249" t="s">
        <v>595</v>
      </c>
      <c r="D249" t="s">
        <v>164</v>
      </c>
      <c r="E249" t="s">
        <v>86</v>
      </c>
      <c r="F249">
        <v>4</v>
      </c>
      <c r="G249">
        <v>1080</v>
      </c>
      <c r="H249">
        <v>20.7</v>
      </c>
      <c r="I249">
        <v>3425.76</v>
      </c>
      <c r="J249" t="s">
        <v>93</v>
      </c>
      <c r="K249" t="s">
        <v>99</v>
      </c>
      <c r="L249">
        <v>0</v>
      </c>
      <c r="M249" t="b">
        <v>1</v>
      </c>
      <c r="N249" t="s">
        <v>2817</v>
      </c>
      <c r="O249" t="s">
        <v>2515</v>
      </c>
      <c r="P249">
        <v>48</v>
      </c>
      <c r="Q249" t="s">
        <v>2855</v>
      </c>
      <c r="R249">
        <v>519</v>
      </c>
    </row>
    <row r="250" spans="1:18" x14ac:dyDescent="0.3">
      <c r="A250" t="s">
        <v>596</v>
      </c>
      <c r="B250" s="45">
        <v>45585</v>
      </c>
      <c r="C250" t="s">
        <v>597</v>
      </c>
      <c r="D250" t="s">
        <v>182</v>
      </c>
      <c r="E250" t="s">
        <v>252</v>
      </c>
      <c r="F250">
        <v>4</v>
      </c>
      <c r="G250">
        <v>1010</v>
      </c>
      <c r="H250">
        <v>29.5</v>
      </c>
      <c r="I250">
        <v>2848.2</v>
      </c>
      <c r="J250" t="s">
        <v>93</v>
      </c>
      <c r="K250" t="s">
        <v>112</v>
      </c>
      <c r="L250">
        <v>0</v>
      </c>
      <c r="M250" t="b">
        <v>1</v>
      </c>
      <c r="N250" t="s">
        <v>2839</v>
      </c>
      <c r="O250" t="s">
        <v>2507</v>
      </c>
      <c r="P250">
        <v>39</v>
      </c>
      <c r="Q250" t="s">
        <v>2862</v>
      </c>
      <c r="R250">
        <v>516</v>
      </c>
    </row>
    <row r="251" spans="1:18" x14ac:dyDescent="0.3">
      <c r="A251" t="s">
        <v>1712</v>
      </c>
      <c r="B251" s="45">
        <v>45609</v>
      </c>
      <c r="C251" t="s">
        <v>403</v>
      </c>
      <c r="D251" t="s">
        <v>408</v>
      </c>
      <c r="E251" t="s">
        <v>148</v>
      </c>
      <c r="F251">
        <v>6</v>
      </c>
      <c r="G251">
        <v>3970</v>
      </c>
      <c r="H251">
        <v>18.8</v>
      </c>
      <c r="I251">
        <v>19341.84</v>
      </c>
      <c r="J251" t="s">
        <v>93</v>
      </c>
      <c r="K251" t="s">
        <v>117</v>
      </c>
      <c r="L251">
        <v>0</v>
      </c>
      <c r="M251" t="b">
        <v>1</v>
      </c>
      <c r="N251" t="s">
        <v>2784</v>
      </c>
      <c r="O251" t="s">
        <v>2507</v>
      </c>
      <c r="P251">
        <v>59</v>
      </c>
      <c r="Q251" t="s">
        <v>2855</v>
      </c>
      <c r="R251">
        <v>2865</v>
      </c>
    </row>
    <row r="252" spans="1:18" x14ac:dyDescent="0.3">
      <c r="A252" t="s">
        <v>1711</v>
      </c>
      <c r="B252" s="45">
        <v>45594</v>
      </c>
      <c r="C252" t="s">
        <v>294</v>
      </c>
      <c r="D252" t="s">
        <v>143</v>
      </c>
      <c r="E252" t="s">
        <v>273</v>
      </c>
      <c r="F252">
        <v>5</v>
      </c>
      <c r="G252">
        <v>3250</v>
      </c>
      <c r="H252">
        <v>8.1</v>
      </c>
      <c r="I252">
        <v>14933.75</v>
      </c>
      <c r="J252" t="s">
        <v>87</v>
      </c>
      <c r="K252" t="s">
        <v>133</v>
      </c>
      <c r="L252">
        <v>0</v>
      </c>
      <c r="M252" t="b">
        <v>1</v>
      </c>
      <c r="N252" t="s">
        <v>2817</v>
      </c>
      <c r="O252" t="s">
        <v>2515</v>
      </c>
      <c r="P252">
        <v>43</v>
      </c>
      <c r="Q252" t="s">
        <v>2862</v>
      </c>
      <c r="R252">
        <v>1556</v>
      </c>
    </row>
    <row r="253" spans="1:18" x14ac:dyDescent="0.3">
      <c r="A253" t="s">
        <v>601</v>
      </c>
      <c r="B253" s="45">
        <v>45636</v>
      </c>
      <c r="C253" t="s">
        <v>602</v>
      </c>
      <c r="D253" t="s">
        <v>264</v>
      </c>
      <c r="E253" t="s">
        <v>285</v>
      </c>
      <c r="F253">
        <v>9</v>
      </c>
      <c r="G253">
        <v>4070</v>
      </c>
      <c r="H253">
        <v>6.7</v>
      </c>
      <c r="I253">
        <v>34175.79</v>
      </c>
      <c r="J253" t="s">
        <v>140</v>
      </c>
      <c r="K253" t="s">
        <v>94</v>
      </c>
      <c r="L253">
        <v>0</v>
      </c>
      <c r="M253" t="b">
        <v>1</v>
      </c>
      <c r="N253" t="s">
        <v>2806</v>
      </c>
      <c r="O253" t="s">
        <v>2507</v>
      </c>
      <c r="P253">
        <v>61</v>
      </c>
      <c r="Q253" t="s">
        <v>2871</v>
      </c>
      <c r="R253">
        <v>2027</v>
      </c>
    </row>
    <row r="254" spans="1:18" x14ac:dyDescent="0.3">
      <c r="A254" t="s">
        <v>603</v>
      </c>
      <c r="B254" s="45">
        <v>45612</v>
      </c>
      <c r="C254" t="s">
        <v>604</v>
      </c>
      <c r="D254" t="s">
        <v>91</v>
      </c>
      <c r="E254" t="s">
        <v>132</v>
      </c>
      <c r="F254">
        <v>6</v>
      </c>
      <c r="G254">
        <v>820</v>
      </c>
      <c r="H254">
        <v>14</v>
      </c>
      <c r="I254">
        <v>4231.2</v>
      </c>
      <c r="J254" t="s">
        <v>87</v>
      </c>
      <c r="K254" t="s">
        <v>117</v>
      </c>
      <c r="L254">
        <v>0</v>
      </c>
      <c r="M254" t="b">
        <v>1</v>
      </c>
      <c r="N254" t="s">
        <v>2795</v>
      </c>
      <c r="O254" t="s">
        <v>2507</v>
      </c>
      <c r="P254">
        <v>34</v>
      </c>
      <c r="Q254" t="s">
        <v>2862</v>
      </c>
      <c r="R254">
        <v>391</v>
      </c>
    </row>
    <row r="255" spans="1:18" x14ac:dyDescent="0.3">
      <c r="A255" t="s">
        <v>1708</v>
      </c>
      <c r="B255" s="45">
        <v>45610</v>
      </c>
      <c r="C255" t="s">
        <v>741</v>
      </c>
      <c r="D255" t="s">
        <v>515</v>
      </c>
      <c r="E255" t="s">
        <v>273</v>
      </c>
      <c r="F255">
        <v>5</v>
      </c>
      <c r="G255">
        <v>6940</v>
      </c>
      <c r="H255">
        <v>0.3</v>
      </c>
      <c r="I255">
        <v>34595.9</v>
      </c>
      <c r="J255" t="s">
        <v>87</v>
      </c>
      <c r="K255" t="s">
        <v>133</v>
      </c>
      <c r="L255">
        <v>0</v>
      </c>
      <c r="M255" t="b">
        <v>1</v>
      </c>
      <c r="N255" t="s">
        <v>2839</v>
      </c>
      <c r="O255" t="s">
        <v>2515</v>
      </c>
      <c r="P255">
        <v>29</v>
      </c>
      <c r="Q255" t="s">
        <v>2862</v>
      </c>
      <c r="R255">
        <v>2827</v>
      </c>
    </row>
    <row r="256" spans="1:18" x14ac:dyDescent="0.3">
      <c r="A256" t="s">
        <v>1706</v>
      </c>
      <c r="B256" s="45">
        <v>45593</v>
      </c>
      <c r="C256" t="s">
        <v>599</v>
      </c>
      <c r="D256" t="s">
        <v>270</v>
      </c>
      <c r="E256" t="s">
        <v>148</v>
      </c>
      <c r="F256">
        <v>4</v>
      </c>
      <c r="G256">
        <v>4610</v>
      </c>
      <c r="H256">
        <v>14.8</v>
      </c>
      <c r="I256">
        <v>15710.88</v>
      </c>
      <c r="J256" t="s">
        <v>87</v>
      </c>
      <c r="K256" t="s">
        <v>117</v>
      </c>
      <c r="L256">
        <v>0</v>
      </c>
      <c r="M256" t="b">
        <v>1</v>
      </c>
      <c r="N256" t="s">
        <v>2817</v>
      </c>
      <c r="O256" t="s">
        <v>2509</v>
      </c>
      <c r="P256">
        <v>26</v>
      </c>
      <c r="Q256" t="s">
        <v>2855</v>
      </c>
      <c r="R256">
        <v>1850</v>
      </c>
    </row>
    <row r="257" spans="1:18" x14ac:dyDescent="0.3">
      <c r="A257" t="s">
        <v>1703</v>
      </c>
      <c r="B257" s="45">
        <v>45569</v>
      </c>
      <c r="C257" t="s">
        <v>137</v>
      </c>
      <c r="D257" t="s">
        <v>157</v>
      </c>
      <c r="E257" t="s">
        <v>116</v>
      </c>
      <c r="F257">
        <v>9</v>
      </c>
      <c r="G257">
        <v>3450</v>
      </c>
      <c r="H257">
        <v>19.399999999999999</v>
      </c>
      <c r="I257">
        <v>25026.3</v>
      </c>
      <c r="J257" t="s">
        <v>87</v>
      </c>
      <c r="K257" t="s">
        <v>99</v>
      </c>
      <c r="L257">
        <v>0</v>
      </c>
      <c r="M257" t="b">
        <v>1</v>
      </c>
      <c r="N257" t="s">
        <v>2828</v>
      </c>
      <c r="O257" t="s">
        <v>2515</v>
      </c>
      <c r="P257">
        <v>27</v>
      </c>
      <c r="Q257" t="s">
        <v>2879</v>
      </c>
      <c r="R257">
        <v>2420</v>
      </c>
    </row>
    <row r="258" spans="1:18" x14ac:dyDescent="0.3">
      <c r="A258" t="s">
        <v>1698</v>
      </c>
      <c r="B258" s="45">
        <v>45629</v>
      </c>
      <c r="C258" t="s">
        <v>1000</v>
      </c>
      <c r="D258" t="s">
        <v>164</v>
      </c>
      <c r="E258" t="s">
        <v>204</v>
      </c>
      <c r="F258">
        <v>2</v>
      </c>
      <c r="G258">
        <v>1080</v>
      </c>
      <c r="H258">
        <v>21.1</v>
      </c>
      <c r="I258">
        <v>1704.24</v>
      </c>
      <c r="J258" t="s">
        <v>87</v>
      </c>
      <c r="K258" t="s">
        <v>117</v>
      </c>
      <c r="L258">
        <v>0</v>
      </c>
      <c r="M258" t="b">
        <v>1</v>
      </c>
      <c r="N258" t="s">
        <v>2817</v>
      </c>
      <c r="O258" t="s">
        <v>2507</v>
      </c>
      <c r="P258">
        <v>27</v>
      </c>
      <c r="Q258" t="s">
        <v>2862</v>
      </c>
      <c r="R258">
        <v>519</v>
      </c>
    </row>
    <row r="259" spans="1:18" x14ac:dyDescent="0.3">
      <c r="A259" t="s">
        <v>612</v>
      </c>
      <c r="B259" s="45">
        <v>45595</v>
      </c>
      <c r="C259" t="s">
        <v>613</v>
      </c>
      <c r="D259" t="s">
        <v>115</v>
      </c>
      <c r="E259" t="s">
        <v>139</v>
      </c>
      <c r="F259">
        <v>1</v>
      </c>
      <c r="G259">
        <v>960</v>
      </c>
      <c r="H259">
        <v>29.2</v>
      </c>
      <c r="I259">
        <v>679.68</v>
      </c>
      <c r="J259" t="s">
        <v>87</v>
      </c>
      <c r="K259" t="s">
        <v>112</v>
      </c>
      <c r="L259">
        <v>0</v>
      </c>
      <c r="M259" t="b">
        <v>1</v>
      </c>
      <c r="N259" t="s">
        <v>2839</v>
      </c>
      <c r="O259" t="s">
        <v>2507</v>
      </c>
      <c r="P259">
        <v>44</v>
      </c>
      <c r="Q259" t="s">
        <v>2855</v>
      </c>
      <c r="R259">
        <v>705</v>
      </c>
    </row>
    <row r="260" spans="1:18" x14ac:dyDescent="0.3">
      <c r="A260" t="s">
        <v>1692</v>
      </c>
      <c r="B260" s="45">
        <v>45585</v>
      </c>
      <c r="C260" t="s">
        <v>617</v>
      </c>
      <c r="D260" t="s">
        <v>151</v>
      </c>
      <c r="E260" t="s">
        <v>325</v>
      </c>
      <c r="F260">
        <v>1</v>
      </c>
      <c r="G260">
        <v>2400</v>
      </c>
      <c r="H260">
        <v>26.5</v>
      </c>
      <c r="I260">
        <v>1764</v>
      </c>
      <c r="J260" t="s">
        <v>87</v>
      </c>
      <c r="K260" t="s">
        <v>112</v>
      </c>
      <c r="L260">
        <v>0</v>
      </c>
      <c r="M260" t="b">
        <v>1</v>
      </c>
      <c r="N260" t="s">
        <v>2839</v>
      </c>
      <c r="O260" t="s">
        <v>2515</v>
      </c>
      <c r="P260">
        <v>65</v>
      </c>
      <c r="Q260" t="s">
        <v>2862</v>
      </c>
      <c r="R260">
        <v>974</v>
      </c>
    </row>
    <row r="261" spans="1:18" x14ac:dyDescent="0.3">
      <c r="A261" t="s">
        <v>1679</v>
      </c>
      <c r="B261" s="45">
        <v>45656</v>
      </c>
      <c r="C261" t="s">
        <v>604</v>
      </c>
      <c r="D261" t="s">
        <v>127</v>
      </c>
      <c r="E261" t="s">
        <v>285</v>
      </c>
      <c r="F261">
        <v>9</v>
      </c>
      <c r="G261">
        <v>970</v>
      </c>
      <c r="H261">
        <v>19.5</v>
      </c>
      <c r="I261">
        <v>7027.65</v>
      </c>
      <c r="J261" t="s">
        <v>87</v>
      </c>
      <c r="K261" t="s">
        <v>117</v>
      </c>
      <c r="L261">
        <v>0</v>
      </c>
      <c r="M261" t="b">
        <v>1</v>
      </c>
      <c r="N261" t="s">
        <v>2806</v>
      </c>
      <c r="O261" t="s">
        <v>2507</v>
      </c>
      <c r="P261">
        <v>34</v>
      </c>
      <c r="Q261" t="s">
        <v>2871</v>
      </c>
      <c r="R261">
        <v>434</v>
      </c>
    </row>
    <row r="262" spans="1:18" x14ac:dyDescent="0.3">
      <c r="A262" t="s">
        <v>618</v>
      </c>
      <c r="B262" s="45">
        <v>45575</v>
      </c>
      <c r="C262" t="s">
        <v>510</v>
      </c>
      <c r="D262" t="s">
        <v>164</v>
      </c>
      <c r="E262" t="s">
        <v>98</v>
      </c>
      <c r="F262">
        <v>6</v>
      </c>
      <c r="G262">
        <v>1080</v>
      </c>
      <c r="H262">
        <v>19.8</v>
      </c>
      <c r="I262">
        <v>5196.96</v>
      </c>
      <c r="J262" t="s">
        <v>87</v>
      </c>
      <c r="K262" t="s">
        <v>117</v>
      </c>
      <c r="L262">
        <v>0</v>
      </c>
      <c r="M262" t="b">
        <v>1</v>
      </c>
      <c r="N262" t="s">
        <v>2817</v>
      </c>
      <c r="O262" t="s">
        <v>2515</v>
      </c>
      <c r="P262">
        <v>26</v>
      </c>
      <c r="Q262" t="s">
        <v>2862</v>
      </c>
      <c r="R262">
        <v>519</v>
      </c>
    </row>
    <row r="263" spans="1:18" x14ac:dyDescent="0.3">
      <c r="A263" t="s">
        <v>619</v>
      </c>
      <c r="B263" s="45">
        <v>45649</v>
      </c>
      <c r="C263" t="s">
        <v>175</v>
      </c>
      <c r="D263" t="s">
        <v>452</v>
      </c>
      <c r="E263" t="s">
        <v>132</v>
      </c>
      <c r="F263">
        <v>8</v>
      </c>
      <c r="G263">
        <v>3450</v>
      </c>
      <c r="H263">
        <v>19</v>
      </c>
      <c r="I263">
        <v>22356</v>
      </c>
      <c r="J263" t="s">
        <v>87</v>
      </c>
      <c r="K263" t="s">
        <v>133</v>
      </c>
      <c r="L263">
        <v>0</v>
      </c>
      <c r="M263" t="b">
        <v>1</v>
      </c>
      <c r="N263" t="s">
        <v>2795</v>
      </c>
      <c r="O263" t="s">
        <v>2515</v>
      </c>
      <c r="P263">
        <v>40</v>
      </c>
      <c r="Q263" t="s">
        <v>2862</v>
      </c>
      <c r="R263">
        <v>1748</v>
      </c>
    </row>
    <row r="264" spans="1:18" x14ac:dyDescent="0.3">
      <c r="A264" t="s">
        <v>1672</v>
      </c>
      <c r="B264" s="45">
        <v>45651</v>
      </c>
      <c r="C264" t="s">
        <v>703</v>
      </c>
      <c r="D264" t="s">
        <v>187</v>
      </c>
      <c r="E264" t="s">
        <v>107</v>
      </c>
      <c r="F264">
        <v>4</v>
      </c>
      <c r="G264">
        <v>3570</v>
      </c>
      <c r="H264">
        <v>0.9</v>
      </c>
      <c r="I264">
        <v>14151.48</v>
      </c>
      <c r="J264" t="s">
        <v>93</v>
      </c>
      <c r="K264" t="s">
        <v>88</v>
      </c>
      <c r="L264">
        <v>0</v>
      </c>
      <c r="M264" t="b">
        <v>1</v>
      </c>
      <c r="N264" t="s">
        <v>2784</v>
      </c>
      <c r="O264" t="s">
        <v>2509</v>
      </c>
      <c r="P264">
        <v>52</v>
      </c>
      <c r="Q264" t="s">
        <v>2855</v>
      </c>
      <c r="R264">
        <v>1665</v>
      </c>
    </row>
    <row r="265" spans="1:18" x14ac:dyDescent="0.3">
      <c r="A265" t="s">
        <v>1669</v>
      </c>
      <c r="B265" s="45">
        <v>45617</v>
      </c>
      <c r="C265" t="s">
        <v>328</v>
      </c>
      <c r="D265" t="s">
        <v>187</v>
      </c>
      <c r="E265" t="s">
        <v>111</v>
      </c>
      <c r="F265">
        <v>9</v>
      </c>
      <c r="G265">
        <v>3570</v>
      </c>
      <c r="H265">
        <v>24.8</v>
      </c>
      <c r="I265">
        <v>24161.759999999998</v>
      </c>
      <c r="J265" t="s">
        <v>87</v>
      </c>
      <c r="K265" t="s">
        <v>94</v>
      </c>
      <c r="L265">
        <v>0</v>
      </c>
      <c r="M265" t="b">
        <v>1</v>
      </c>
      <c r="N265" t="s">
        <v>2784</v>
      </c>
      <c r="O265" t="s">
        <v>2507</v>
      </c>
      <c r="P265">
        <v>28</v>
      </c>
      <c r="Q265" t="s">
        <v>2879</v>
      </c>
      <c r="R265">
        <v>1665</v>
      </c>
    </row>
    <row r="266" spans="1:18" x14ac:dyDescent="0.3">
      <c r="A266" t="s">
        <v>1665</v>
      </c>
      <c r="B266" s="45">
        <v>45656</v>
      </c>
      <c r="C266" t="s">
        <v>580</v>
      </c>
      <c r="D266" t="s">
        <v>85</v>
      </c>
      <c r="E266" t="s">
        <v>103</v>
      </c>
      <c r="F266">
        <v>6</v>
      </c>
      <c r="G266">
        <v>3620</v>
      </c>
      <c r="H266">
        <v>20.2</v>
      </c>
      <c r="I266">
        <v>17332.560000000001</v>
      </c>
      <c r="J266" t="s">
        <v>87</v>
      </c>
      <c r="K266" t="s">
        <v>88</v>
      </c>
      <c r="L266">
        <v>0</v>
      </c>
      <c r="M266" t="b">
        <v>1</v>
      </c>
      <c r="N266" t="s">
        <v>2795</v>
      </c>
      <c r="O266" t="s">
        <v>2509</v>
      </c>
      <c r="P266">
        <v>40</v>
      </c>
      <c r="Q266" t="s">
        <v>2855</v>
      </c>
      <c r="R266">
        <v>2509</v>
      </c>
    </row>
    <row r="267" spans="1:18" x14ac:dyDescent="0.3">
      <c r="A267" t="s">
        <v>1661</v>
      </c>
      <c r="B267" s="45">
        <v>45602</v>
      </c>
      <c r="C267" t="s">
        <v>785</v>
      </c>
      <c r="D267" t="s">
        <v>264</v>
      </c>
      <c r="E267" t="s">
        <v>229</v>
      </c>
      <c r="F267">
        <v>8</v>
      </c>
      <c r="G267">
        <v>4070</v>
      </c>
      <c r="H267">
        <v>17.7</v>
      </c>
      <c r="I267">
        <v>26796.880000000001</v>
      </c>
      <c r="J267" t="s">
        <v>87</v>
      </c>
      <c r="K267" t="s">
        <v>88</v>
      </c>
      <c r="L267">
        <v>0</v>
      </c>
      <c r="M267" t="b">
        <v>1</v>
      </c>
      <c r="N267" t="s">
        <v>2806</v>
      </c>
      <c r="O267" t="s">
        <v>2507</v>
      </c>
      <c r="P267">
        <v>31</v>
      </c>
      <c r="Q267" t="s">
        <v>2879</v>
      </c>
      <c r="R267">
        <v>2027</v>
      </c>
    </row>
    <row r="268" spans="1:18" x14ac:dyDescent="0.3">
      <c r="A268" t="s">
        <v>1655</v>
      </c>
      <c r="B268" s="45">
        <v>45567</v>
      </c>
      <c r="C268" t="s">
        <v>385</v>
      </c>
      <c r="D268" t="s">
        <v>176</v>
      </c>
      <c r="E268" t="s">
        <v>92</v>
      </c>
      <c r="F268">
        <v>9</v>
      </c>
      <c r="G268">
        <v>1650</v>
      </c>
      <c r="H268">
        <v>19.8</v>
      </c>
      <c r="I268">
        <v>11909.7</v>
      </c>
      <c r="J268" t="s">
        <v>144</v>
      </c>
      <c r="K268" t="s">
        <v>117</v>
      </c>
      <c r="L268">
        <v>0</v>
      </c>
      <c r="M268" t="b">
        <v>1</v>
      </c>
      <c r="N268" t="s">
        <v>2828</v>
      </c>
      <c r="O268" t="s">
        <v>2507</v>
      </c>
      <c r="P268">
        <v>23</v>
      </c>
      <c r="Q268" t="s">
        <v>2855</v>
      </c>
      <c r="R268">
        <v>1222</v>
      </c>
    </row>
    <row r="269" spans="1:18" x14ac:dyDescent="0.3">
      <c r="A269" t="s">
        <v>1652</v>
      </c>
      <c r="B269" s="45">
        <v>45603</v>
      </c>
      <c r="C269" t="s">
        <v>429</v>
      </c>
      <c r="D269" t="s">
        <v>138</v>
      </c>
      <c r="E269" t="s">
        <v>154</v>
      </c>
      <c r="F269">
        <v>3</v>
      </c>
      <c r="G269">
        <v>2600</v>
      </c>
      <c r="H269">
        <v>1.9</v>
      </c>
      <c r="I269">
        <v>7651.8</v>
      </c>
      <c r="J269" t="s">
        <v>87</v>
      </c>
      <c r="K269" t="s">
        <v>117</v>
      </c>
      <c r="L269">
        <v>0</v>
      </c>
      <c r="M269" t="b">
        <v>1</v>
      </c>
      <c r="N269" t="s">
        <v>2784</v>
      </c>
      <c r="O269" t="s">
        <v>2507</v>
      </c>
      <c r="P269">
        <v>55</v>
      </c>
      <c r="Q269" t="s">
        <v>2871</v>
      </c>
      <c r="R269">
        <v>1052</v>
      </c>
    </row>
    <row r="270" spans="1:18" x14ac:dyDescent="0.3">
      <c r="A270" t="s">
        <v>1650</v>
      </c>
      <c r="B270" s="45">
        <v>45614</v>
      </c>
      <c r="C270" t="s">
        <v>1308</v>
      </c>
      <c r="D270" t="s">
        <v>461</v>
      </c>
      <c r="E270" t="s">
        <v>116</v>
      </c>
      <c r="F270">
        <v>9</v>
      </c>
      <c r="G270">
        <v>3780</v>
      </c>
      <c r="H270">
        <v>27.8</v>
      </c>
      <c r="I270">
        <v>24562.44</v>
      </c>
      <c r="J270" t="s">
        <v>140</v>
      </c>
      <c r="K270" t="s">
        <v>94</v>
      </c>
      <c r="L270">
        <v>0</v>
      </c>
      <c r="M270" t="b">
        <v>1</v>
      </c>
      <c r="N270" t="s">
        <v>2839</v>
      </c>
      <c r="O270" t="s">
        <v>2515</v>
      </c>
      <c r="P270">
        <v>51</v>
      </c>
      <c r="Q270" t="s">
        <v>2879</v>
      </c>
      <c r="R270">
        <v>1860</v>
      </c>
    </row>
    <row r="271" spans="1:18" x14ac:dyDescent="0.3">
      <c r="A271" t="s">
        <v>1646</v>
      </c>
      <c r="B271" s="45">
        <v>45650</v>
      </c>
      <c r="C271" t="s">
        <v>388</v>
      </c>
      <c r="D271" t="s">
        <v>276</v>
      </c>
      <c r="E271" t="s">
        <v>192</v>
      </c>
      <c r="F271">
        <v>6</v>
      </c>
      <c r="G271">
        <v>3020</v>
      </c>
      <c r="H271">
        <v>28.5</v>
      </c>
      <c r="I271">
        <v>12955.8</v>
      </c>
      <c r="J271" t="s">
        <v>87</v>
      </c>
      <c r="K271" t="s">
        <v>133</v>
      </c>
      <c r="L271">
        <v>0</v>
      </c>
      <c r="M271" t="b">
        <v>1</v>
      </c>
      <c r="N271" t="s">
        <v>2828</v>
      </c>
      <c r="O271" t="s">
        <v>2507</v>
      </c>
      <c r="P271">
        <v>44</v>
      </c>
      <c r="Q271" t="s">
        <v>2871</v>
      </c>
      <c r="R271">
        <v>1626</v>
      </c>
    </row>
    <row r="272" spans="1:18" x14ac:dyDescent="0.3">
      <c r="A272" t="s">
        <v>1645</v>
      </c>
      <c r="B272" s="45">
        <v>45602</v>
      </c>
      <c r="C272" t="s">
        <v>487</v>
      </c>
      <c r="D272" t="s">
        <v>282</v>
      </c>
      <c r="E272" t="s">
        <v>201</v>
      </c>
      <c r="F272">
        <v>1</v>
      </c>
      <c r="G272">
        <v>300</v>
      </c>
      <c r="H272">
        <v>26.9</v>
      </c>
      <c r="I272">
        <v>219.3</v>
      </c>
      <c r="J272" t="s">
        <v>87</v>
      </c>
      <c r="K272" t="s">
        <v>88</v>
      </c>
      <c r="L272">
        <v>0</v>
      </c>
      <c r="M272" t="b">
        <v>1</v>
      </c>
      <c r="N272" t="s">
        <v>2784</v>
      </c>
      <c r="O272" t="s">
        <v>2509</v>
      </c>
      <c r="P272">
        <v>29</v>
      </c>
      <c r="Q272" t="s">
        <v>2879</v>
      </c>
      <c r="R272">
        <v>128</v>
      </c>
    </row>
    <row r="273" spans="1:18" x14ac:dyDescent="0.3">
      <c r="A273" t="s">
        <v>1641</v>
      </c>
      <c r="B273" s="45">
        <v>45627</v>
      </c>
      <c r="C273" t="s">
        <v>504</v>
      </c>
      <c r="D273" t="s">
        <v>267</v>
      </c>
      <c r="E273" t="s">
        <v>170</v>
      </c>
      <c r="F273">
        <v>3</v>
      </c>
      <c r="G273">
        <v>1220</v>
      </c>
      <c r="H273">
        <v>7.7</v>
      </c>
      <c r="I273">
        <v>3378.18</v>
      </c>
      <c r="J273" t="s">
        <v>93</v>
      </c>
      <c r="K273" t="s">
        <v>117</v>
      </c>
      <c r="L273">
        <v>0</v>
      </c>
      <c r="M273" t="b">
        <v>1</v>
      </c>
      <c r="N273" t="s">
        <v>2784</v>
      </c>
      <c r="O273" t="s">
        <v>2509</v>
      </c>
      <c r="P273">
        <v>36</v>
      </c>
      <c r="Q273" t="s">
        <v>2879</v>
      </c>
      <c r="R273">
        <v>517</v>
      </c>
    </row>
    <row r="274" spans="1:18" x14ac:dyDescent="0.3">
      <c r="A274" t="s">
        <v>1640</v>
      </c>
      <c r="B274" s="45">
        <v>45619</v>
      </c>
      <c r="C274" t="s">
        <v>254</v>
      </c>
      <c r="D274" t="s">
        <v>110</v>
      </c>
      <c r="E274" t="s">
        <v>204</v>
      </c>
      <c r="F274">
        <v>3</v>
      </c>
      <c r="G274">
        <v>370</v>
      </c>
      <c r="H274">
        <v>25.5</v>
      </c>
      <c r="I274">
        <v>826.95</v>
      </c>
      <c r="J274" t="s">
        <v>87</v>
      </c>
      <c r="K274" t="s">
        <v>94</v>
      </c>
      <c r="L274">
        <v>0</v>
      </c>
      <c r="M274" t="b">
        <v>1</v>
      </c>
      <c r="N274" t="s">
        <v>2817</v>
      </c>
      <c r="O274" t="s">
        <v>2507</v>
      </c>
      <c r="P274">
        <v>24</v>
      </c>
      <c r="Q274" t="s">
        <v>2862</v>
      </c>
      <c r="R274">
        <v>288</v>
      </c>
    </row>
    <row r="275" spans="1:18" x14ac:dyDescent="0.3">
      <c r="A275" t="s">
        <v>1629</v>
      </c>
      <c r="B275" s="45">
        <v>45632</v>
      </c>
      <c r="C275" t="s">
        <v>318</v>
      </c>
      <c r="D275" t="s">
        <v>282</v>
      </c>
      <c r="E275" t="s">
        <v>285</v>
      </c>
      <c r="F275">
        <v>5</v>
      </c>
      <c r="G275">
        <v>300</v>
      </c>
      <c r="H275">
        <v>3.8</v>
      </c>
      <c r="I275">
        <v>1443</v>
      </c>
      <c r="J275" t="s">
        <v>87</v>
      </c>
      <c r="K275" t="s">
        <v>94</v>
      </c>
      <c r="L275">
        <v>0</v>
      </c>
      <c r="M275" t="b">
        <v>1</v>
      </c>
      <c r="N275" t="s">
        <v>2784</v>
      </c>
      <c r="O275" t="s">
        <v>2515</v>
      </c>
      <c r="P275">
        <v>57</v>
      </c>
      <c r="Q275" t="s">
        <v>2871</v>
      </c>
      <c r="R275">
        <v>128</v>
      </c>
    </row>
    <row r="276" spans="1:18" x14ac:dyDescent="0.3">
      <c r="A276" t="s">
        <v>1625</v>
      </c>
      <c r="B276" s="45">
        <v>45648</v>
      </c>
      <c r="C276" t="s">
        <v>247</v>
      </c>
      <c r="D276" t="s">
        <v>184</v>
      </c>
      <c r="E276" t="s">
        <v>103</v>
      </c>
      <c r="F276">
        <v>3</v>
      </c>
      <c r="G276">
        <v>4880</v>
      </c>
      <c r="H276">
        <v>6.1</v>
      </c>
      <c r="I276">
        <v>13746.96</v>
      </c>
      <c r="J276" t="s">
        <v>87</v>
      </c>
      <c r="K276" t="s">
        <v>117</v>
      </c>
      <c r="L276">
        <v>0</v>
      </c>
      <c r="M276" t="b">
        <v>1</v>
      </c>
      <c r="N276" t="s">
        <v>2828</v>
      </c>
      <c r="O276" t="s">
        <v>2507</v>
      </c>
      <c r="P276">
        <v>34</v>
      </c>
      <c r="Q276" t="s">
        <v>2855</v>
      </c>
      <c r="R276">
        <v>2768</v>
      </c>
    </row>
    <row r="277" spans="1:18" x14ac:dyDescent="0.3">
      <c r="A277" t="s">
        <v>1624</v>
      </c>
      <c r="B277" s="45">
        <v>45597</v>
      </c>
      <c r="C277" t="s">
        <v>1250</v>
      </c>
      <c r="D277" t="s">
        <v>367</v>
      </c>
      <c r="E277" t="s">
        <v>297</v>
      </c>
      <c r="F277">
        <v>7</v>
      </c>
      <c r="G277">
        <v>2380</v>
      </c>
      <c r="H277">
        <v>15.5</v>
      </c>
      <c r="I277">
        <v>14077.7</v>
      </c>
      <c r="J277" t="s">
        <v>87</v>
      </c>
      <c r="K277" t="s">
        <v>88</v>
      </c>
      <c r="L277">
        <v>0</v>
      </c>
      <c r="M277" t="b">
        <v>1</v>
      </c>
      <c r="N277" t="s">
        <v>2806</v>
      </c>
      <c r="O277" t="s">
        <v>2507</v>
      </c>
      <c r="P277">
        <v>44</v>
      </c>
      <c r="Q277" t="s">
        <v>2855</v>
      </c>
      <c r="R277">
        <v>1182</v>
      </c>
    </row>
    <row r="278" spans="1:18" x14ac:dyDescent="0.3">
      <c r="A278" t="s">
        <v>1617</v>
      </c>
      <c r="B278" s="45">
        <v>45650</v>
      </c>
      <c r="C278" t="s">
        <v>956</v>
      </c>
      <c r="D278" t="s">
        <v>182</v>
      </c>
      <c r="E278" t="s">
        <v>103</v>
      </c>
      <c r="F278">
        <v>4</v>
      </c>
      <c r="G278">
        <v>1010</v>
      </c>
      <c r="H278">
        <v>3.1</v>
      </c>
      <c r="I278">
        <v>3914.76</v>
      </c>
      <c r="J278" t="s">
        <v>87</v>
      </c>
      <c r="K278" t="s">
        <v>112</v>
      </c>
      <c r="L278">
        <v>0</v>
      </c>
      <c r="M278" t="b">
        <v>1</v>
      </c>
      <c r="N278" t="s">
        <v>2839</v>
      </c>
      <c r="O278" t="s">
        <v>2507</v>
      </c>
      <c r="P278">
        <v>49</v>
      </c>
      <c r="Q278" t="s">
        <v>2855</v>
      </c>
      <c r="R278">
        <v>516</v>
      </c>
    </row>
    <row r="279" spans="1:18" x14ac:dyDescent="0.3">
      <c r="A279" t="s">
        <v>1614</v>
      </c>
      <c r="B279" s="45">
        <v>45634</v>
      </c>
      <c r="C279" t="s">
        <v>454</v>
      </c>
      <c r="D279" t="s">
        <v>203</v>
      </c>
      <c r="E279" t="s">
        <v>103</v>
      </c>
      <c r="F279">
        <v>4</v>
      </c>
      <c r="G279">
        <v>660</v>
      </c>
      <c r="H279">
        <v>27.1</v>
      </c>
      <c r="I279">
        <v>1924.56</v>
      </c>
      <c r="J279" t="s">
        <v>87</v>
      </c>
      <c r="K279" t="s">
        <v>133</v>
      </c>
      <c r="L279">
        <v>0</v>
      </c>
      <c r="M279" t="b">
        <v>1</v>
      </c>
      <c r="N279" t="s">
        <v>2817</v>
      </c>
      <c r="O279" t="s">
        <v>2509</v>
      </c>
      <c r="P279">
        <v>43</v>
      </c>
      <c r="Q279" t="s">
        <v>2855</v>
      </c>
      <c r="R279">
        <v>329</v>
      </c>
    </row>
    <row r="280" spans="1:18" x14ac:dyDescent="0.3">
      <c r="A280" t="s">
        <v>1603</v>
      </c>
      <c r="B280" s="45">
        <v>45604</v>
      </c>
      <c r="C280" t="s">
        <v>357</v>
      </c>
      <c r="D280" t="s">
        <v>195</v>
      </c>
      <c r="E280" t="s">
        <v>132</v>
      </c>
      <c r="F280">
        <v>6</v>
      </c>
      <c r="G280">
        <v>2860</v>
      </c>
      <c r="H280">
        <v>6.6</v>
      </c>
      <c r="I280">
        <v>16027.44</v>
      </c>
      <c r="J280" t="s">
        <v>87</v>
      </c>
      <c r="K280" t="s">
        <v>99</v>
      </c>
      <c r="L280">
        <v>0</v>
      </c>
      <c r="M280" t="b">
        <v>1</v>
      </c>
      <c r="N280" t="s">
        <v>2839</v>
      </c>
      <c r="O280" t="s">
        <v>2515</v>
      </c>
      <c r="P280">
        <v>38</v>
      </c>
      <c r="Q280" t="s">
        <v>2862</v>
      </c>
      <c r="R280">
        <v>2028</v>
      </c>
    </row>
    <row r="281" spans="1:18" x14ac:dyDescent="0.3">
      <c r="A281" t="s">
        <v>644</v>
      </c>
      <c r="B281" s="45">
        <v>45638</v>
      </c>
      <c r="C281" t="s">
        <v>403</v>
      </c>
      <c r="D281" t="s">
        <v>452</v>
      </c>
      <c r="E281" t="s">
        <v>252</v>
      </c>
      <c r="F281">
        <v>3</v>
      </c>
      <c r="G281">
        <v>3450</v>
      </c>
      <c r="H281">
        <v>3</v>
      </c>
      <c r="I281">
        <v>10039.5</v>
      </c>
      <c r="J281" t="s">
        <v>87</v>
      </c>
      <c r="K281" t="s">
        <v>117</v>
      </c>
      <c r="L281">
        <v>0</v>
      </c>
      <c r="M281" t="b">
        <v>1</v>
      </c>
      <c r="N281" t="s">
        <v>2795</v>
      </c>
      <c r="O281" t="s">
        <v>2507</v>
      </c>
      <c r="P281">
        <v>59</v>
      </c>
      <c r="Q281" t="s">
        <v>2862</v>
      </c>
      <c r="R281">
        <v>1748</v>
      </c>
    </row>
    <row r="282" spans="1:18" x14ac:dyDescent="0.3">
      <c r="A282" t="s">
        <v>1601</v>
      </c>
      <c r="B282" s="45">
        <v>45626</v>
      </c>
      <c r="C282" t="s">
        <v>900</v>
      </c>
      <c r="D282" t="s">
        <v>267</v>
      </c>
      <c r="E282" t="s">
        <v>204</v>
      </c>
      <c r="F282">
        <v>9</v>
      </c>
      <c r="G282">
        <v>1220</v>
      </c>
      <c r="H282">
        <v>24.1</v>
      </c>
      <c r="I282">
        <v>8333.82</v>
      </c>
      <c r="J282" t="s">
        <v>87</v>
      </c>
      <c r="K282" t="s">
        <v>117</v>
      </c>
      <c r="L282">
        <v>0</v>
      </c>
      <c r="M282" t="b">
        <v>1</v>
      </c>
      <c r="N282" t="s">
        <v>2784</v>
      </c>
      <c r="O282" t="s">
        <v>2507</v>
      </c>
      <c r="P282">
        <v>35</v>
      </c>
      <c r="Q282" t="s">
        <v>2862</v>
      </c>
      <c r="R282">
        <v>517</v>
      </c>
    </row>
    <row r="283" spans="1:18" x14ac:dyDescent="0.3">
      <c r="A283" t="s">
        <v>1592</v>
      </c>
      <c r="B283" s="45">
        <v>45569</v>
      </c>
      <c r="C283" t="s">
        <v>369</v>
      </c>
      <c r="D283" t="s">
        <v>179</v>
      </c>
      <c r="E283" t="s">
        <v>238</v>
      </c>
      <c r="F283">
        <v>1</v>
      </c>
      <c r="G283">
        <v>3350</v>
      </c>
      <c r="H283">
        <v>14.9</v>
      </c>
      <c r="I283">
        <v>2850.85</v>
      </c>
      <c r="J283" t="s">
        <v>87</v>
      </c>
      <c r="K283" t="s">
        <v>94</v>
      </c>
      <c r="L283">
        <v>0</v>
      </c>
      <c r="M283" t="b">
        <v>1</v>
      </c>
      <c r="N283" t="s">
        <v>2828</v>
      </c>
      <c r="O283" t="s">
        <v>2515</v>
      </c>
      <c r="P283">
        <v>62</v>
      </c>
      <c r="Q283" t="s">
        <v>2871</v>
      </c>
      <c r="R283">
        <v>1728</v>
      </c>
    </row>
    <row r="284" spans="1:18" x14ac:dyDescent="0.3">
      <c r="A284" t="s">
        <v>647</v>
      </c>
      <c r="B284" s="45">
        <v>45633</v>
      </c>
      <c r="C284" t="s">
        <v>608</v>
      </c>
      <c r="D284" t="s">
        <v>267</v>
      </c>
      <c r="E284" t="s">
        <v>229</v>
      </c>
      <c r="F284">
        <v>5</v>
      </c>
      <c r="G284">
        <v>1220</v>
      </c>
      <c r="H284">
        <v>4</v>
      </c>
      <c r="I284">
        <v>5856</v>
      </c>
      <c r="J284" t="s">
        <v>140</v>
      </c>
      <c r="K284" t="s">
        <v>88</v>
      </c>
      <c r="L284">
        <v>0</v>
      </c>
      <c r="M284" t="b">
        <v>1</v>
      </c>
      <c r="N284" t="s">
        <v>2784</v>
      </c>
      <c r="O284" t="s">
        <v>2509</v>
      </c>
      <c r="P284">
        <v>40</v>
      </c>
      <c r="Q284" t="s">
        <v>2879</v>
      </c>
      <c r="R284">
        <v>517</v>
      </c>
    </row>
    <row r="285" spans="1:18" x14ac:dyDescent="0.3">
      <c r="A285" t="s">
        <v>1588</v>
      </c>
      <c r="B285" s="45">
        <v>45627</v>
      </c>
      <c r="C285" t="s">
        <v>886</v>
      </c>
      <c r="D285" t="s">
        <v>259</v>
      </c>
      <c r="E285" t="s">
        <v>238</v>
      </c>
      <c r="F285">
        <v>5</v>
      </c>
      <c r="G285">
        <v>1540</v>
      </c>
      <c r="H285">
        <v>18.100000000000001</v>
      </c>
      <c r="I285">
        <v>6306.3</v>
      </c>
      <c r="J285" t="s">
        <v>87</v>
      </c>
      <c r="K285" t="s">
        <v>94</v>
      </c>
      <c r="L285">
        <v>0</v>
      </c>
      <c r="M285" t="b">
        <v>0</v>
      </c>
      <c r="N285" t="s">
        <v>2828</v>
      </c>
      <c r="O285" t="s">
        <v>2509</v>
      </c>
      <c r="P285">
        <v>44</v>
      </c>
      <c r="Q285" t="s">
        <v>2871</v>
      </c>
      <c r="R285">
        <v>647</v>
      </c>
    </row>
    <row r="286" spans="1:18" x14ac:dyDescent="0.3">
      <c r="A286" t="s">
        <v>1585</v>
      </c>
      <c r="B286" s="45">
        <v>45622</v>
      </c>
      <c r="C286" t="s">
        <v>114</v>
      </c>
      <c r="D286" t="s">
        <v>248</v>
      </c>
      <c r="E286" t="s">
        <v>238</v>
      </c>
      <c r="F286">
        <v>3</v>
      </c>
      <c r="G286">
        <v>3870</v>
      </c>
      <c r="H286">
        <v>21.9</v>
      </c>
      <c r="I286">
        <v>9067.41</v>
      </c>
      <c r="J286" t="s">
        <v>93</v>
      </c>
      <c r="K286" t="s">
        <v>117</v>
      </c>
      <c r="L286">
        <v>0</v>
      </c>
      <c r="M286" t="b">
        <v>1</v>
      </c>
      <c r="N286" t="s">
        <v>2784</v>
      </c>
      <c r="O286" t="s">
        <v>2507</v>
      </c>
      <c r="P286">
        <v>27</v>
      </c>
      <c r="Q286" t="s">
        <v>2871</v>
      </c>
      <c r="R286">
        <v>1559</v>
      </c>
    </row>
    <row r="287" spans="1:18" x14ac:dyDescent="0.3">
      <c r="A287" t="s">
        <v>1580</v>
      </c>
      <c r="B287" s="45">
        <v>45653</v>
      </c>
      <c r="C287" t="s">
        <v>1499</v>
      </c>
      <c r="D287" t="s">
        <v>226</v>
      </c>
      <c r="E287" t="s">
        <v>325</v>
      </c>
      <c r="F287">
        <v>9</v>
      </c>
      <c r="G287">
        <v>3730</v>
      </c>
      <c r="H287">
        <v>15.5</v>
      </c>
      <c r="I287">
        <v>28366.65</v>
      </c>
      <c r="J287" t="s">
        <v>87</v>
      </c>
      <c r="K287" t="s">
        <v>94</v>
      </c>
      <c r="L287">
        <v>0</v>
      </c>
      <c r="M287" t="b">
        <v>1</v>
      </c>
      <c r="N287" t="s">
        <v>2817</v>
      </c>
      <c r="O287" t="s">
        <v>2507</v>
      </c>
      <c r="P287">
        <v>26</v>
      </c>
      <c r="Q287" t="s">
        <v>2862</v>
      </c>
      <c r="R287">
        <v>2135</v>
      </c>
    </row>
    <row r="288" spans="1:18" x14ac:dyDescent="0.3">
      <c r="A288" t="s">
        <v>1579</v>
      </c>
      <c r="B288" s="45">
        <v>45656</v>
      </c>
      <c r="C288" t="s">
        <v>493</v>
      </c>
      <c r="D288" t="s">
        <v>157</v>
      </c>
      <c r="E288" t="s">
        <v>215</v>
      </c>
      <c r="F288">
        <v>6</v>
      </c>
      <c r="G288">
        <v>3450</v>
      </c>
      <c r="H288">
        <v>13</v>
      </c>
      <c r="I288">
        <v>18009</v>
      </c>
      <c r="J288" t="s">
        <v>87</v>
      </c>
      <c r="K288" t="s">
        <v>88</v>
      </c>
      <c r="L288">
        <v>0</v>
      </c>
      <c r="M288" t="b">
        <v>1</v>
      </c>
      <c r="N288" t="s">
        <v>2828</v>
      </c>
      <c r="O288" t="s">
        <v>2507</v>
      </c>
      <c r="P288">
        <v>57</v>
      </c>
      <c r="Q288" t="s">
        <v>2855</v>
      </c>
      <c r="R288">
        <v>2420</v>
      </c>
    </row>
    <row r="289" spans="1:18" x14ac:dyDescent="0.3">
      <c r="A289" t="s">
        <v>1573</v>
      </c>
      <c r="B289" s="45">
        <v>45638</v>
      </c>
      <c r="C289" t="s">
        <v>1038</v>
      </c>
      <c r="D289" t="s">
        <v>248</v>
      </c>
      <c r="E289" t="s">
        <v>92</v>
      </c>
      <c r="F289">
        <v>10</v>
      </c>
      <c r="G289">
        <v>3870</v>
      </c>
      <c r="H289">
        <v>4.9000000000000004</v>
      </c>
      <c r="I289">
        <v>36803.699999999997</v>
      </c>
      <c r="J289" t="s">
        <v>140</v>
      </c>
      <c r="K289" t="s">
        <v>117</v>
      </c>
      <c r="L289">
        <v>0</v>
      </c>
      <c r="M289" t="b">
        <v>1</v>
      </c>
      <c r="N289" t="s">
        <v>2784</v>
      </c>
      <c r="O289" t="s">
        <v>2509</v>
      </c>
      <c r="P289">
        <v>55</v>
      </c>
      <c r="Q289" t="s">
        <v>2855</v>
      </c>
      <c r="R289">
        <v>1559</v>
      </c>
    </row>
    <row r="290" spans="1:18" x14ac:dyDescent="0.3">
      <c r="A290" t="s">
        <v>1571</v>
      </c>
      <c r="B290" s="45">
        <v>45588</v>
      </c>
      <c r="C290" t="s">
        <v>101</v>
      </c>
      <c r="D290" t="s">
        <v>131</v>
      </c>
      <c r="E290" t="s">
        <v>325</v>
      </c>
      <c r="F290">
        <v>6</v>
      </c>
      <c r="G290">
        <v>2270</v>
      </c>
      <c r="H290">
        <v>9.3000000000000007</v>
      </c>
      <c r="I290">
        <v>12353.34</v>
      </c>
      <c r="J290" t="s">
        <v>87</v>
      </c>
      <c r="K290" t="s">
        <v>99</v>
      </c>
      <c r="L290">
        <v>0</v>
      </c>
      <c r="M290" t="b">
        <v>1</v>
      </c>
      <c r="N290" t="s">
        <v>2806</v>
      </c>
      <c r="O290" t="s">
        <v>2509</v>
      </c>
      <c r="P290">
        <v>46</v>
      </c>
      <c r="Q290" t="s">
        <v>2862</v>
      </c>
      <c r="R290">
        <v>1203</v>
      </c>
    </row>
    <row r="291" spans="1:18" x14ac:dyDescent="0.3">
      <c r="A291" t="s">
        <v>1569</v>
      </c>
      <c r="B291" s="45">
        <v>45609</v>
      </c>
      <c r="C291" t="s">
        <v>902</v>
      </c>
      <c r="D291" t="s">
        <v>164</v>
      </c>
      <c r="E291" t="s">
        <v>158</v>
      </c>
      <c r="F291">
        <v>9</v>
      </c>
      <c r="G291">
        <v>1080</v>
      </c>
      <c r="H291">
        <v>19.2</v>
      </c>
      <c r="I291">
        <v>7853.76</v>
      </c>
      <c r="J291" t="s">
        <v>93</v>
      </c>
      <c r="K291" t="s">
        <v>112</v>
      </c>
      <c r="L291">
        <v>0</v>
      </c>
      <c r="M291" t="b">
        <v>1</v>
      </c>
      <c r="N291" t="s">
        <v>2817</v>
      </c>
      <c r="O291" t="s">
        <v>2507</v>
      </c>
      <c r="P291">
        <v>37</v>
      </c>
      <c r="Q291" t="s">
        <v>2871</v>
      </c>
      <c r="R291">
        <v>519</v>
      </c>
    </row>
    <row r="292" spans="1:18" x14ac:dyDescent="0.3">
      <c r="A292" t="s">
        <v>1561</v>
      </c>
      <c r="B292" s="45">
        <v>45636</v>
      </c>
      <c r="C292" t="s">
        <v>305</v>
      </c>
      <c r="D292" t="s">
        <v>110</v>
      </c>
      <c r="E292" t="s">
        <v>86</v>
      </c>
      <c r="F292">
        <v>1</v>
      </c>
      <c r="G292">
        <v>370</v>
      </c>
      <c r="H292">
        <v>10</v>
      </c>
      <c r="I292">
        <v>333</v>
      </c>
      <c r="J292" t="s">
        <v>87</v>
      </c>
      <c r="K292" t="s">
        <v>133</v>
      </c>
      <c r="L292">
        <v>0</v>
      </c>
      <c r="M292" t="b">
        <v>1</v>
      </c>
      <c r="N292" t="s">
        <v>2817</v>
      </c>
      <c r="O292" t="s">
        <v>2509</v>
      </c>
      <c r="P292">
        <v>46</v>
      </c>
      <c r="Q292" t="s">
        <v>2855</v>
      </c>
      <c r="R292">
        <v>288</v>
      </c>
    </row>
    <row r="293" spans="1:18" x14ac:dyDescent="0.3">
      <c r="A293" t="s">
        <v>1559</v>
      </c>
      <c r="B293" s="45">
        <v>45592</v>
      </c>
      <c r="C293" t="s">
        <v>1560</v>
      </c>
      <c r="D293" t="s">
        <v>515</v>
      </c>
      <c r="E293" t="s">
        <v>343</v>
      </c>
      <c r="F293">
        <v>6</v>
      </c>
      <c r="G293">
        <v>6940</v>
      </c>
      <c r="H293">
        <v>20</v>
      </c>
      <c r="I293">
        <v>33312</v>
      </c>
      <c r="J293" t="s">
        <v>87</v>
      </c>
      <c r="K293" t="s">
        <v>94</v>
      </c>
      <c r="L293">
        <v>0</v>
      </c>
      <c r="M293" t="b">
        <v>1</v>
      </c>
      <c r="N293" t="s">
        <v>2839</v>
      </c>
      <c r="O293" t="e">
        <v>#N/A</v>
      </c>
      <c r="P293" t="e">
        <v>#N/A</v>
      </c>
      <c r="Q293" t="s">
        <v>2879</v>
      </c>
      <c r="R293">
        <v>2827</v>
      </c>
    </row>
    <row r="294" spans="1:18" x14ac:dyDescent="0.3">
      <c r="A294" t="s">
        <v>1551</v>
      </c>
      <c r="B294" s="45">
        <v>45618</v>
      </c>
      <c r="C294" t="s">
        <v>872</v>
      </c>
      <c r="D294" t="s">
        <v>234</v>
      </c>
      <c r="E294" t="s">
        <v>303</v>
      </c>
      <c r="F294">
        <v>7</v>
      </c>
      <c r="G294">
        <v>3780</v>
      </c>
      <c r="H294">
        <v>8.5</v>
      </c>
      <c r="I294">
        <v>24210.9</v>
      </c>
      <c r="J294" t="s">
        <v>140</v>
      </c>
      <c r="K294" t="s">
        <v>112</v>
      </c>
      <c r="L294">
        <v>0</v>
      </c>
      <c r="M294" t="b">
        <v>1</v>
      </c>
      <c r="N294" t="s">
        <v>2806</v>
      </c>
      <c r="O294" t="s">
        <v>2509</v>
      </c>
      <c r="P294">
        <v>62</v>
      </c>
      <c r="Q294" t="s">
        <v>2871</v>
      </c>
      <c r="R294">
        <v>2436</v>
      </c>
    </row>
    <row r="295" spans="1:18" x14ac:dyDescent="0.3">
      <c r="A295" t="s">
        <v>661</v>
      </c>
      <c r="B295" s="45">
        <v>45619</v>
      </c>
      <c r="C295" t="s">
        <v>662</v>
      </c>
      <c r="D295" t="s">
        <v>515</v>
      </c>
      <c r="E295" t="s">
        <v>103</v>
      </c>
      <c r="F295">
        <v>8</v>
      </c>
      <c r="G295">
        <v>6940</v>
      </c>
      <c r="H295">
        <v>3.2</v>
      </c>
      <c r="I295">
        <v>53743.360000000001</v>
      </c>
      <c r="J295" t="s">
        <v>140</v>
      </c>
      <c r="K295" t="s">
        <v>94</v>
      </c>
      <c r="L295">
        <v>0</v>
      </c>
      <c r="M295" t="b">
        <v>1</v>
      </c>
      <c r="N295" t="s">
        <v>2839</v>
      </c>
      <c r="O295" t="s">
        <v>2509</v>
      </c>
      <c r="P295">
        <v>41</v>
      </c>
      <c r="Q295" t="s">
        <v>2855</v>
      </c>
      <c r="R295">
        <v>2827</v>
      </c>
    </row>
    <row r="296" spans="1:18" x14ac:dyDescent="0.3">
      <c r="A296" t="s">
        <v>663</v>
      </c>
      <c r="B296" s="45">
        <v>45617</v>
      </c>
      <c r="C296" t="s">
        <v>312</v>
      </c>
      <c r="D296" t="s">
        <v>106</v>
      </c>
      <c r="E296" t="s">
        <v>188</v>
      </c>
      <c r="F296">
        <v>7</v>
      </c>
      <c r="G296">
        <v>3160</v>
      </c>
      <c r="H296">
        <v>3.6</v>
      </c>
      <c r="I296">
        <v>21323.68</v>
      </c>
      <c r="J296" t="s">
        <v>87</v>
      </c>
      <c r="K296" t="s">
        <v>133</v>
      </c>
      <c r="L296">
        <v>1</v>
      </c>
      <c r="M296" t="b">
        <v>1</v>
      </c>
      <c r="N296" t="s">
        <v>2795</v>
      </c>
      <c r="O296" t="s">
        <v>2507</v>
      </c>
      <c r="P296">
        <v>46</v>
      </c>
      <c r="Q296" t="s">
        <v>2862</v>
      </c>
      <c r="R296">
        <v>1886</v>
      </c>
    </row>
    <row r="297" spans="1:18" x14ac:dyDescent="0.3">
      <c r="A297" t="s">
        <v>664</v>
      </c>
      <c r="B297" s="45">
        <v>45640</v>
      </c>
      <c r="C297" t="s">
        <v>485</v>
      </c>
      <c r="D297" t="s">
        <v>102</v>
      </c>
      <c r="E297" t="s">
        <v>107</v>
      </c>
      <c r="F297">
        <v>2</v>
      </c>
      <c r="G297">
        <v>3660</v>
      </c>
      <c r="H297">
        <v>30</v>
      </c>
      <c r="I297">
        <v>5124</v>
      </c>
      <c r="J297" t="s">
        <v>93</v>
      </c>
      <c r="K297" t="s">
        <v>88</v>
      </c>
      <c r="L297">
        <v>0</v>
      </c>
      <c r="M297" t="b">
        <v>0</v>
      </c>
      <c r="N297" t="s">
        <v>2806</v>
      </c>
      <c r="O297" t="s">
        <v>2507</v>
      </c>
      <c r="P297">
        <v>49</v>
      </c>
      <c r="Q297" t="s">
        <v>2855</v>
      </c>
      <c r="R297">
        <v>2214</v>
      </c>
    </row>
    <row r="298" spans="1:18" x14ac:dyDescent="0.3">
      <c r="A298" t="s">
        <v>1547</v>
      </c>
      <c r="B298" s="45">
        <v>45617</v>
      </c>
      <c r="C298" t="s">
        <v>429</v>
      </c>
      <c r="D298" t="s">
        <v>237</v>
      </c>
      <c r="E298" t="s">
        <v>98</v>
      </c>
      <c r="F298">
        <v>1</v>
      </c>
      <c r="G298">
        <v>3640</v>
      </c>
      <c r="H298">
        <v>8.8000000000000007</v>
      </c>
      <c r="I298">
        <v>3319.68</v>
      </c>
      <c r="J298" t="s">
        <v>87</v>
      </c>
      <c r="K298" t="s">
        <v>117</v>
      </c>
      <c r="L298">
        <v>0</v>
      </c>
      <c r="M298" t="b">
        <v>1</v>
      </c>
      <c r="N298" t="s">
        <v>2795</v>
      </c>
      <c r="O298" t="s">
        <v>2507</v>
      </c>
      <c r="P298">
        <v>55</v>
      </c>
      <c r="Q298" t="s">
        <v>2862</v>
      </c>
      <c r="R298">
        <v>2611</v>
      </c>
    </row>
    <row r="299" spans="1:18" x14ac:dyDescent="0.3">
      <c r="A299" t="s">
        <v>1546</v>
      </c>
      <c r="B299" s="45">
        <v>45594</v>
      </c>
      <c r="C299" t="s">
        <v>294</v>
      </c>
      <c r="D299" t="s">
        <v>115</v>
      </c>
      <c r="E299" t="s">
        <v>121</v>
      </c>
      <c r="F299">
        <v>10</v>
      </c>
      <c r="G299">
        <v>960</v>
      </c>
      <c r="H299">
        <v>17.899999999999999</v>
      </c>
      <c r="I299">
        <v>7881.6</v>
      </c>
      <c r="J299" t="s">
        <v>87</v>
      </c>
      <c r="K299" t="s">
        <v>133</v>
      </c>
      <c r="L299">
        <v>0</v>
      </c>
      <c r="M299" t="b">
        <v>1</v>
      </c>
      <c r="N299" t="s">
        <v>2839</v>
      </c>
      <c r="O299" t="s">
        <v>2515</v>
      </c>
      <c r="P299">
        <v>43</v>
      </c>
      <c r="Q299" t="s">
        <v>2871</v>
      </c>
      <c r="R299">
        <v>705</v>
      </c>
    </row>
    <row r="300" spans="1:18" x14ac:dyDescent="0.3">
      <c r="A300" t="s">
        <v>1542</v>
      </c>
      <c r="B300" s="45">
        <v>45586</v>
      </c>
      <c r="C300" t="s">
        <v>533</v>
      </c>
      <c r="D300" t="s">
        <v>380</v>
      </c>
      <c r="E300" t="s">
        <v>201</v>
      </c>
      <c r="F300">
        <v>5</v>
      </c>
      <c r="G300">
        <v>960</v>
      </c>
      <c r="H300">
        <v>11.4</v>
      </c>
      <c r="I300">
        <v>4252.8</v>
      </c>
      <c r="J300" t="s">
        <v>87</v>
      </c>
      <c r="K300" t="s">
        <v>99</v>
      </c>
      <c r="L300">
        <v>0</v>
      </c>
      <c r="M300" t="b">
        <v>1</v>
      </c>
      <c r="N300" t="s">
        <v>2828</v>
      </c>
      <c r="O300" t="s">
        <v>2515</v>
      </c>
      <c r="P300">
        <v>48</v>
      </c>
      <c r="Q300" t="s">
        <v>2879</v>
      </c>
      <c r="R300">
        <v>675</v>
      </c>
    </row>
    <row r="301" spans="1:18" x14ac:dyDescent="0.3">
      <c r="A301" t="s">
        <v>1536</v>
      </c>
      <c r="B301" s="45">
        <v>45578</v>
      </c>
      <c r="C301" t="s">
        <v>454</v>
      </c>
      <c r="D301" t="s">
        <v>191</v>
      </c>
      <c r="E301" t="s">
        <v>201</v>
      </c>
      <c r="F301">
        <v>8</v>
      </c>
      <c r="G301">
        <v>5100</v>
      </c>
      <c r="H301">
        <v>26.9</v>
      </c>
      <c r="I301">
        <v>29824.799999999999</v>
      </c>
      <c r="J301" t="s">
        <v>87</v>
      </c>
      <c r="K301" t="s">
        <v>133</v>
      </c>
      <c r="L301">
        <v>0</v>
      </c>
      <c r="M301" t="b">
        <v>1</v>
      </c>
      <c r="N301" t="s">
        <v>2828</v>
      </c>
      <c r="O301" t="s">
        <v>2509</v>
      </c>
      <c r="P301">
        <v>43</v>
      </c>
      <c r="Q301" t="s">
        <v>2879</v>
      </c>
      <c r="R301">
        <v>2237</v>
      </c>
    </row>
    <row r="302" spans="1:18" x14ac:dyDescent="0.3">
      <c r="A302" t="s">
        <v>670</v>
      </c>
      <c r="B302" s="45">
        <v>45624</v>
      </c>
      <c r="C302" t="s">
        <v>269</v>
      </c>
      <c r="D302" t="s">
        <v>355</v>
      </c>
      <c r="E302" t="s">
        <v>170</v>
      </c>
      <c r="F302">
        <v>3</v>
      </c>
      <c r="G302">
        <v>2510</v>
      </c>
      <c r="H302">
        <v>17.399999999999999</v>
      </c>
      <c r="I302">
        <v>6219.78</v>
      </c>
      <c r="J302" t="s">
        <v>87</v>
      </c>
      <c r="K302" t="s">
        <v>112</v>
      </c>
      <c r="L302">
        <v>0</v>
      </c>
      <c r="M302" t="b">
        <v>0</v>
      </c>
      <c r="N302" t="s">
        <v>2795</v>
      </c>
      <c r="O302" t="s">
        <v>2507</v>
      </c>
      <c r="P302">
        <v>40</v>
      </c>
      <c r="Q302" t="s">
        <v>2879</v>
      </c>
      <c r="R302">
        <v>1075</v>
      </c>
    </row>
    <row r="303" spans="1:18" x14ac:dyDescent="0.3">
      <c r="A303" t="s">
        <v>671</v>
      </c>
      <c r="B303" s="45">
        <v>45635</v>
      </c>
      <c r="C303" t="s">
        <v>565</v>
      </c>
      <c r="D303" t="s">
        <v>164</v>
      </c>
      <c r="E303" t="s">
        <v>139</v>
      </c>
      <c r="F303">
        <v>1</v>
      </c>
      <c r="G303">
        <v>1080</v>
      </c>
      <c r="H303">
        <v>13.9</v>
      </c>
      <c r="I303">
        <v>929.88</v>
      </c>
      <c r="J303" t="s">
        <v>87</v>
      </c>
      <c r="K303" t="s">
        <v>112</v>
      </c>
      <c r="L303">
        <v>0</v>
      </c>
      <c r="M303" t="b">
        <v>1</v>
      </c>
      <c r="N303" t="s">
        <v>2817</v>
      </c>
      <c r="O303" t="s">
        <v>2515</v>
      </c>
      <c r="P303">
        <v>61</v>
      </c>
      <c r="Q303" t="s">
        <v>2855</v>
      </c>
      <c r="R303">
        <v>519</v>
      </c>
    </row>
    <row r="304" spans="1:18" x14ac:dyDescent="0.3">
      <c r="A304" t="s">
        <v>1532</v>
      </c>
      <c r="B304" s="45">
        <v>45646</v>
      </c>
      <c r="C304" t="s">
        <v>382</v>
      </c>
      <c r="D304" t="s">
        <v>367</v>
      </c>
      <c r="E304" t="s">
        <v>325</v>
      </c>
      <c r="F304">
        <v>7</v>
      </c>
      <c r="G304">
        <v>2380</v>
      </c>
      <c r="H304">
        <v>10.6</v>
      </c>
      <c r="I304">
        <v>14894.04</v>
      </c>
      <c r="J304" t="s">
        <v>140</v>
      </c>
      <c r="K304" t="s">
        <v>99</v>
      </c>
      <c r="L304">
        <v>0</v>
      </c>
      <c r="M304" t="b">
        <v>1</v>
      </c>
      <c r="N304" t="s">
        <v>2806</v>
      </c>
      <c r="O304" t="s">
        <v>2509</v>
      </c>
      <c r="P304">
        <v>27</v>
      </c>
      <c r="Q304" t="s">
        <v>2862</v>
      </c>
      <c r="R304">
        <v>1182</v>
      </c>
    </row>
    <row r="305" spans="1:18" x14ac:dyDescent="0.3">
      <c r="A305" t="s">
        <v>1531</v>
      </c>
      <c r="B305" s="45">
        <v>45589</v>
      </c>
      <c r="C305" t="s">
        <v>407</v>
      </c>
      <c r="D305" t="s">
        <v>127</v>
      </c>
      <c r="E305" t="s">
        <v>148</v>
      </c>
      <c r="F305">
        <v>8</v>
      </c>
      <c r="G305">
        <v>970</v>
      </c>
      <c r="H305">
        <v>13.1</v>
      </c>
      <c r="I305">
        <v>6743.44</v>
      </c>
      <c r="J305" t="s">
        <v>87</v>
      </c>
      <c r="K305" t="s">
        <v>88</v>
      </c>
      <c r="L305">
        <v>0</v>
      </c>
      <c r="M305" t="b">
        <v>1</v>
      </c>
      <c r="N305" t="s">
        <v>2806</v>
      </c>
      <c r="O305" t="s">
        <v>2515</v>
      </c>
      <c r="P305">
        <v>53</v>
      </c>
      <c r="Q305" t="s">
        <v>2855</v>
      </c>
      <c r="R305">
        <v>434</v>
      </c>
    </row>
    <row r="306" spans="1:18" x14ac:dyDescent="0.3">
      <c r="A306" t="s">
        <v>675</v>
      </c>
      <c r="B306" s="45">
        <v>45653</v>
      </c>
      <c r="C306" t="s">
        <v>676</v>
      </c>
      <c r="D306" t="s">
        <v>106</v>
      </c>
      <c r="E306" t="s">
        <v>346</v>
      </c>
      <c r="F306">
        <v>1</v>
      </c>
      <c r="G306">
        <v>3160</v>
      </c>
      <c r="H306">
        <v>10.7</v>
      </c>
      <c r="I306">
        <v>2821.88</v>
      </c>
      <c r="J306" t="s">
        <v>87</v>
      </c>
      <c r="K306" t="s">
        <v>88</v>
      </c>
      <c r="L306">
        <v>0</v>
      </c>
      <c r="M306" t="b">
        <v>1</v>
      </c>
      <c r="N306" t="s">
        <v>2795</v>
      </c>
      <c r="O306" t="s">
        <v>2515</v>
      </c>
      <c r="P306">
        <v>35</v>
      </c>
      <c r="Q306" t="s">
        <v>2862</v>
      </c>
      <c r="R306">
        <v>1886</v>
      </c>
    </row>
    <row r="307" spans="1:18" x14ac:dyDescent="0.3">
      <c r="A307" t="s">
        <v>1528</v>
      </c>
      <c r="B307" s="45">
        <v>45640</v>
      </c>
      <c r="C307" t="s">
        <v>1529</v>
      </c>
      <c r="D307" t="s">
        <v>184</v>
      </c>
      <c r="E307" t="s">
        <v>107</v>
      </c>
      <c r="F307">
        <v>10</v>
      </c>
      <c r="G307">
        <v>4880</v>
      </c>
      <c r="H307">
        <v>7.3</v>
      </c>
      <c r="I307">
        <v>45237.599999999999</v>
      </c>
      <c r="J307" t="s">
        <v>87</v>
      </c>
      <c r="K307" t="s">
        <v>94</v>
      </c>
      <c r="L307">
        <v>0</v>
      </c>
      <c r="M307" t="b">
        <v>1</v>
      </c>
      <c r="N307" t="s">
        <v>2828</v>
      </c>
      <c r="O307" t="s">
        <v>2507</v>
      </c>
      <c r="P307">
        <v>31</v>
      </c>
      <c r="Q307" t="s">
        <v>2855</v>
      </c>
      <c r="R307">
        <v>2768</v>
      </c>
    </row>
    <row r="308" spans="1:18" x14ac:dyDescent="0.3">
      <c r="A308" t="s">
        <v>678</v>
      </c>
      <c r="B308" s="45">
        <v>45633</v>
      </c>
      <c r="C308" t="s">
        <v>638</v>
      </c>
      <c r="D308" t="s">
        <v>226</v>
      </c>
      <c r="E308" t="s">
        <v>204</v>
      </c>
      <c r="F308">
        <v>9</v>
      </c>
      <c r="G308">
        <v>3730</v>
      </c>
      <c r="H308">
        <v>10</v>
      </c>
      <c r="I308">
        <v>30213</v>
      </c>
      <c r="J308" t="s">
        <v>87</v>
      </c>
      <c r="K308" t="s">
        <v>99</v>
      </c>
      <c r="L308">
        <v>0</v>
      </c>
      <c r="M308" t="b">
        <v>1</v>
      </c>
      <c r="N308" t="s">
        <v>2817</v>
      </c>
      <c r="O308" t="s">
        <v>2507</v>
      </c>
      <c r="P308">
        <v>43</v>
      </c>
      <c r="Q308" t="s">
        <v>2862</v>
      </c>
      <c r="R308">
        <v>2135</v>
      </c>
    </row>
    <row r="309" spans="1:18" x14ac:dyDescent="0.3">
      <c r="A309" t="s">
        <v>1522</v>
      </c>
      <c r="B309" s="45">
        <v>45578</v>
      </c>
      <c r="C309" t="s">
        <v>490</v>
      </c>
      <c r="D309" t="s">
        <v>515</v>
      </c>
      <c r="E309" t="s">
        <v>204</v>
      </c>
      <c r="F309">
        <v>4</v>
      </c>
      <c r="G309">
        <v>6940</v>
      </c>
      <c r="H309">
        <v>3.9</v>
      </c>
      <c r="I309">
        <v>26677.360000000001</v>
      </c>
      <c r="J309" t="s">
        <v>140</v>
      </c>
      <c r="K309" t="s">
        <v>99</v>
      </c>
      <c r="L309">
        <v>0</v>
      </c>
      <c r="M309" t="b">
        <v>1</v>
      </c>
      <c r="N309" t="s">
        <v>2839</v>
      </c>
      <c r="O309" t="s">
        <v>2507</v>
      </c>
      <c r="P309">
        <v>59</v>
      </c>
      <c r="Q309" t="s">
        <v>2862</v>
      </c>
      <c r="R309">
        <v>2827</v>
      </c>
    </row>
    <row r="310" spans="1:18" x14ac:dyDescent="0.3">
      <c r="A310" t="s">
        <v>1520</v>
      </c>
      <c r="B310" s="45">
        <v>45622</v>
      </c>
      <c r="C310" t="s">
        <v>289</v>
      </c>
      <c r="D310" t="s">
        <v>110</v>
      </c>
      <c r="E310" t="s">
        <v>192</v>
      </c>
      <c r="F310">
        <v>6</v>
      </c>
      <c r="G310">
        <v>370</v>
      </c>
      <c r="H310">
        <v>5.4</v>
      </c>
      <c r="I310">
        <v>2100.12</v>
      </c>
      <c r="J310" t="s">
        <v>87</v>
      </c>
      <c r="K310" t="s">
        <v>94</v>
      </c>
      <c r="L310">
        <v>0</v>
      </c>
      <c r="M310" t="b">
        <v>1</v>
      </c>
      <c r="N310" t="s">
        <v>2817</v>
      </c>
      <c r="O310" t="s">
        <v>2507</v>
      </c>
      <c r="P310">
        <v>38</v>
      </c>
      <c r="Q310" t="s">
        <v>2871</v>
      </c>
      <c r="R310">
        <v>288</v>
      </c>
    </row>
    <row r="311" spans="1:18" x14ac:dyDescent="0.3">
      <c r="A311" t="s">
        <v>1506</v>
      </c>
      <c r="B311" s="45">
        <v>45600</v>
      </c>
      <c r="C311" t="s">
        <v>602</v>
      </c>
      <c r="D311" t="s">
        <v>120</v>
      </c>
      <c r="E311" t="s">
        <v>121</v>
      </c>
      <c r="F311">
        <v>10</v>
      </c>
      <c r="G311">
        <v>1430</v>
      </c>
      <c r="H311">
        <v>3.7</v>
      </c>
      <c r="I311">
        <v>13770.9</v>
      </c>
      <c r="J311" t="s">
        <v>87</v>
      </c>
      <c r="K311" t="s">
        <v>94</v>
      </c>
      <c r="L311">
        <v>0</v>
      </c>
      <c r="M311" t="b">
        <v>1</v>
      </c>
      <c r="N311" t="s">
        <v>2784</v>
      </c>
      <c r="O311" t="s">
        <v>2507</v>
      </c>
      <c r="P311">
        <v>61</v>
      </c>
      <c r="Q311" t="s">
        <v>2871</v>
      </c>
      <c r="R311">
        <v>861</v>
      </c>
    </row>
    <row r="312" spans="1:18" x14ac:dyDescent="0.3">
      <c r="A312" t="s">
        <v>1496</v>
      </c>
      <c r="B312" s="45">
        <v>45598</v>
      </c>
      <c r="C312" t="s">
        <v>785</v>
      </c>
      <c r="D312" t="s">
        <v>127</v>
      </c>
      <c r="E312" t="s">
        <v>116</v>
      </c>
      <c r="F312">
        <v>7</v>
      </c>
      <c r="G312">
        <v>970</v>
      </c>
      <c r="H312">
        <v>25.5</v>
      </c>
      <c r="I312">
        <v>5058.55</v>
      </c>
      <c r="J312" t="s">
        <v>87</v>
      </c>
      <c r="K312" t="s">
        <v>88</v>
      </c>
      <c r="L312">
        <v>0</v>
      </c>
      <c r="M312" t="b">
        <v>1</v>
      </c>
      <c r="N312" t="s">
        <v>2806</v>
      </c>
      <c r="O312" t="s">
        <v>2507</v>
      </c>
      <c r="P312">
        <v>31</v>
      </c>
      <c r="Q312" t="s">
        <v>2879</v>
      </c>
      <c r="R312">
        <v>434</v>
      </c>
    </row>
    <row r="313" spans="1:18" x14ac:dyDescent="0.3">
      <c r="A313" t="s">
        <v>1491</v>
      </c>
      <c r="B313" s="45">
        <v>45630</v>
      </c>
      <c r="C313" t="s">
        <v>537</v>
      </c>
      <c r="D313" t="s">
        <v>131</v>
      </c>
      <c r="E313" t="s">
        <v>107</v>
      </c>
      <c r="F313">
        <v>4</v>
      </c>
      <c r="G313">
        <v>2270</v>
      </c>
      <c r="H313">
        <v>18.399999999999999</v>
      </c>
      <c r="I313">
        <v>7409.28</v>
      </c>
      <c r="J313" t="s">
        <v>87</v>
      </c>
      <c r="K313" t="s">
        <v>133</v>
      </c>
      <c r="L313">
        <v>0</v>
      </c>
      <c r="M313" t="b">
        <v>1</v>
      </c>
      <c r="N313" t="s">
        <v>2806</v>
      </c>
      <c r="O313" t="s">
        <v>2515</v>
      </c>
      <c r="P313">
        <v>48</v>
      </c>
      <c r="Q313" t="s">
        <v>2855</v>
      </c>
      <c r="R313">
        <v>1203</v>
      </c>
    </row>
    <row r="314" spans="1:18" x14ac:dyDescent="0.3">
      <c r="A314" t="s">
        <v>1489</v>
      </c>
      <c r="B314" s="45">
        <v>45630</v>
      </c>
      <c r="C314" t="s">
        <v>1361</v>
      </c>
      <c r="D314" t="s">
        <v>237</v>
      </c>
      <c r="E314" t="s">
        <v>215</v>
      </c>
      <c r="F314">
        <v>3</v>
      </c>
      <c r="G314">
        <v>3640</v>
      </c>
      <c r="H314">
        <v>18.2</v>
      </c>
      <c r="I314">
        <v>8932.56</v>
      </c>
      <c r="J314" t="s">
        <v>87</v>
      </c>
      <c r="K314" t="s">
        <v>94</v>
      </c>
      <c r="L314">
        <v>0</v>
      </c>
      <c r="M314" t="b">
        <v>1</v>
      </c>
      <c r="N314" t="s">
        <v>2795</v>
      </c>
      <c r="O314" t="s">
        <v>2507</v>
      </c>
      <c r="P314">
        <v>34</v>
      </c>
      <c r="Q314" t="s">
        <v>2855</v>
      </c>
      <c r="R314">
        <v>2611</v>
      </c>
    </row>
    <row r="315" spans="1:18" x14ac:dyDescent="0.3">
      <c r="A315" t="s">
        <v>1488</v>
      </c>
      <c r="B315" s="45">
        <v>45585</v>
      </c>
      <c r="C315" t="s">
        <v>390</v>
      </c>
      <c r="D315" t="s">
        <v>195</v>
      </c>
      <c r="E315" t="s">
        <v>215</v>
      </c>
      <c r="F315">
        <v>10</v>
      </c>
      <c r="G315">
        <v>2860</v>
      </c>
      <c r="H315">
        <v>13.1</v>
      </c>
      <c r="I315">
        <v>24853.4</v>
      </c>
      <c r="J315" t="s">
        <v>144</v>
      </c>
      <c r="K315" t="s">
        <v>88</v>
      </c>
      <c r="L315">
        <v>0</v>
      </c>
      <c r="M315" t="b">
        <v>1</v>
      </c>
      <c r="N315" t="s">
        <v>2839</v>
      </c>
      <c r="O315" t="s">
        <v>2515</v>
      </c>
      <c r="P315">
        <v>54</v>
      </c>
      <c r="Q315" t="s">
        <v>2855</v>
      </c>
      <c r="R315">
        <v>2028</v>
      </c>
    </row>
    <row r="316" spans="1:18" x14ac:dyDescent="0.3">
      <c r="A316" t="s">
        <v>690</v>
      </c>
      <c r="B316" s="45">
        <v>45592</v>
      </c>
      <c r="C316" t="s">
        <v>482</v>
      </c>
      <c r="D316" t="s">
        <v>131</v>
      </c>
      <c r="E316" t="s">
        <v>188</v>
      </c>
      <c r="F316">
        <v>8</v>
      </c>
      <c r="G316">
        <v>2270</v>
      </c>
      <c r="H316">
        <v>19.8</v>
      </c>
      <c r="I316">
        <v>14564.32</v>
      </c>
      <c r="J316" t="s">
        <v>93</v>
      </c>
      <c r="K316" t="s">
        <v>133</v>
      </c>
      <c r="L316">
        <v>0</v>
      </c>
      <c r="M316" t="b">
        <v>1</v>
      </c>
      <c r="N316" t="s">
        <v>2806</v>
      </c>
      <c r="O316" t="s">
        <v>2509</v>
      </c>
      <c r="P316">
        <v>52</v>
      </c>
      <c r="Q316" t="s">
        <v>2862</v>
      </c>
      <c r="R316">
        <v>1203</v>
      </c>
    </row>
    <row r="317" spans="1:18" x14ac:dyDescent="0.3">
      <c r="A317" t="s">
        <v>1470</v>
      </c>
      <c r="B317" s="45">
        <v>45632</v>
      </c>
      <c r="C317" t="s">
        <v>427</v>
      </c>
      <c r="D317" t="s">
        <v>248</v>
      </c>
      <c r="E317" t="s">
        <v>252</v>
      </c>
      <c r="F317">
        <v>2</v>
      </c>
      <c r="G317">
        <v>3870</v>
      </c>
      <c r="H317">
        <v>5.2</v>
      </c>
      <c r="I317">
        <v>7337.52</v>
      </c>
      <c r="J317" t="s">
        <v>87</v>
      </c>
      <c r="K317" t="s">
        <v>88</v>
      </c>
      <c r="L317">
        <v>0</v>
      </c>
      <c r="M317" t="b">
        <v>1</v>
      </c>
      <c r="N317" t="s">
        <v>2784</v>
      </c>
      <c r="O317" t="s">
        <v>2509</v>
      </c>
      <c r="P317">
        <v>48</v>
      </c>
      <c r="Q317" t="s">
        <v>2862</v>
      </c>
      <c r="R317">
        <v>1559</v>
      </c>
    </row>
    <row r="318" spans="1:18" x14ac:dyDescent="0.3">
      <c r="A318" t="s">
        <v>1467</v>
      </c>
      <c r="B318" s="45">
        <v>45577</v>
      </c>
      <c r="C318" t="s">
        <v>835</v>
      </c>
      <c r="D318" t="s">
        <v>226</v>
      </c>
      <c r="E318" t="s">
        <v>343</v>
      </c>
      <c r="F318">
        <v>4</v>
      </c>
      <c r="G318">
        <v>3730</v>
      </c>
      <c r="H318">
        <v>2.1</v>
      </c>
      <c r="I318">
        <v>14606.68</v>
      </c>
      <c r="J318" t="s">
        <v>87</v>
      </c>
      <c r="K318" t="s">
        <v>117</v>
      </c>
      <c r="L318">
        <v>0</v>
      </c>
      <c r="M318" t="b">
        <v>1</v>
      </c>
      <c r="N318" t="s">
        <v>2817</v>
      </c>
      <c r="O318" t="s">
        <v>2507</v>
      </c>
      <c r="P318">
        <v>52</v>
      </c>
      <c r="Q318" t="s">
        <v>2879</v>
      </c>
      <c r="R318">
        <v>2135</v>
      </c>
    </row>
    <row r="319" spans="1:18" x14ac:dyDescent="0.3">
      <c r="A319" t="s">
        <v>1460</v>
      </c>
      <c r="B319" s="45">
        <v>45628</v>
      </c>
      <c r="C319" t="s">
        <v>1350</v>
      </c>
      <c r="D319" t="s">
        <v>157</v>
      </c>
      <c r="E319" t="s">
        <v>285</v>
      </c>
      <c r="F319">
        <v>8</v>
      </c>
      <c r="G319">
        <v>3450</v>
      </c>
      <c r="H319">
        <v>3.7</v>
      </c>
      <c r="I319">
        <v>26578.799999999999</v>
      </c>
      <c r="J319" t="s">
        <v>87</v>
      </c>
      <c r="K319" t="s">
        <v>112</v>
      </c>
      <c r="L319">
        <v>0</v>
      </c>
      <c r="M319" t="b">
        <v>1</v>
      </c>
      <c r="N319" t="s">
        <v>2828</v>
      </c>
      <c r="O319" t="s">
        <v>2507</v>
      </c>
      <c r="P319">
        <v>38</v>
      </c>
      <c r="Q319" t="s">
        <v>2871</v>
      </c>
      <c r="R319">
        <v>2420</v>
      </c>
    </row>
    <row r="320" spans="1:18" x14ac:dyDescent="0.3">
      <c r="A320" t="s">
        <v>694</v>
      </c>
      <c r="B320" s="45">
        <v>45632</v>
      </c>
      <c r="C320" t="s">
        <v>490</v>
      </c>
      <c r="D320" t="s">
        <v>106</v>
      </c>
      <c r="E320" t="s">
        <v>215</v>
      </c>
      <c r="F320">
        <v>7</v>
      </c>
      <c r="G320">
        <v>3160</v>
      </c>
      <c r="H320">
        <v>8.9</v>
      </c>
      <c r="I320">
        <v>20151.32</v>
      </c>
      <c r="J320" t="s">
        <v>87</v>
      </c>
      <c r="K320" t="s">
        <v>99</v>
      </c>
      <c r="L320">
        <v>0</v>
      </c>
      <c r="M320" t="b">
        <v>1</v>
      </c>
      <c r="N320" t="s">
        <v>2795</v>
      </c>
      <c r="O320" t="s">
        <v>2507</v>
      </c>
      <c r="P320">
        <v>59</v>
      </c>
      <c r="Q320" t="s">
        <v>2855</v>
      </c>
      <c r="R320">
        <v>1886</v>
      </c>
    </row>
    <row r="321" spans="1:18" x14ac:dyDescent="0.3">
      <c r="A321" t="s">
        <v>695</v>
      </c>
      <c r="B321" s="45">
        <v>45592</v>
      </c>
      <c r="C321" t="s">
        <v>210</v>
      </c>
      <c r="D321" t="s">
        <v>182</v>
      </c>
      <c r="E321" t="s">
        <v>252</v>
      </c>
      <c r="F321">
        <v>6</v>
      </c>
      <c r="G321">
        <v>1010</v>
      </c>
      <c r="H321">
        <v>12.9</v>
      </c>
      <c r="I321">
        <v>5278.26</v>
      </c>
      <c r="J321" t="s">
        <v>87</v>
      </c>
      <c r="K321" t="s">
        <v>99</v>
      </c>
      <c r="L321">
        <v>0</v>
      </c>
      <c r="M321" t="b">
        <v>1</v>
      </c>
      <c r="N321" t="s">
        <v>2839</v>
      </c>
      <c r="O321" t="s">
        <v>2507</v>
      </c>
      <c r="P321">
        <v>41</v>
      </c>
      <c r="Q321" t="s">
        <v>2862</v>
      </c>
      <c r="R321">
        <v>516</v>
      </c>
    </row>
    <row r="322" spans="1:18" x14ac:dyDescent="0.3">
      <c r="A322" t="s">
        <v>1456</v>
      </c>
      <c r="B322" s="45">
        <v>45611</v>
      </c>
      <c r="C322" t="s">
        <v>868</v>
      </c>
      <c r="D322" t="s">
        <v>203</v>
      </c>
      <c r="E322" t="s">
        <v>273</v>
      </c>
      <c r="F322">
        <v>7</v>
      </c>
      <c r="G322">
        <v>660</v>
      </c>
      <c r="H322">
        <v>17.3</v>
      </c>
      <c r="I322">
        <v>3820.74</v>
      </c>
      <c r="J322" t="s">
        <v>87</v>
      </c>
      <c r="K322" t="s">
        <v>99</v>
      </c>
      <c r="L322">
        <v>0</v>
      </c>
      <c r="M322" t="b">
        <v>1</v>
      </c>
      <c r="N322" t="s">
        <v>2817</v>
      </c>
      <c r="O322" t="s">
        <v>2515</v>
      </c>
      <c r="P322">
        <v>38</v>
      </c>
      <c r="Q322" t="s">
        <v>2862</v>
      </c>
      <c r="R322">
        <v>329</v>
      </c>
    </row>
    <row r="323" spans="1:18" x14ac:dyDescent="0.3">
      <c r="A323" t="s">
        <v>1454</v>
      </c>
      <c r="B323" s="45">
        <v>45573</v>
      </c>
      <c r="C323" t="s">
        <v>284</v>
      </c>
      <c r="D323" t="s">
        <v>443</v>
      </c>
      <c r="E323" t="s">
        <v>285</v>
      </c>
      <c r="F323">
        <v>7</v>
      </c>
      <c r="G323">
        <v>5080</v>
      </c>
      <c r="H323">
        <v>6.5</v>
      </c>
      <c r="I323">
        <v>33248.6</v>
      </c>
      <c r="J323" t="s">
        <v>87</v>
      </c>
      <c r="K323" t="s">
        <v>94</v>
      </c>
      <c r="L323">
        <v>0</v>
      </c>
      <c r="M323" t="b">
        <v>1</v>
      </c>
      <c r="N323" t="s">
        <v>2817</v>
      </c>
      <c r="O323" t="s">
        <v>2507</v>
      </c>
      <c r="P323">
        <v>28</v>
      </c>
      <c r="Q323" t="s">
        <v>2871</v>
      </c>
      <c r="R323">
        <v>2459</v>
      </c>
    </row>
    <row r="324" spans="1:18" x14ac:dyDescent="0.3">
      <c r="A324" t="s">
        <v>1452</v>
      </c>
      <c r="B324" s="45">
        <v>45606</v>
      </c>
      <c r="C324" t="s">
        <v>407</v>
      </c>
      <c r="D324" t="s">
        <v>367</v>
      </c>
      <c r="E324" t="s">
        <v>285</v>
      </c>
      <c r="F324">
        <v>4</v>
      </c>
      <c r="G324">
        <v>2380</v>
      </c>
      <c r="H324">
        <v>9.5</v>
      </c>
      <c r="I324">
        <v>8615.6</v>
      </c>
      <c r="J324" t="s">
        <v>140</v>
      </c>
      <c r="K324" t="s">
        <v>88</v>
      </c>
      <c r="L324">
        <v>0</v>
      </c>
      <c r="M324" t="b">
        <v>1</v>
      </c>
      <c r="N324" t="s">
        <v>2806</v>
      </c>
      <c r="O324" t="s">
        <v>2515</v>
      </c>
      <c r="P324">
        <v>53</v>
      </c>
      <c r="Q324" t="s">
        <v>2871</v>
      </c>
      <c r="R324">
        <v>1182</v>
      </c>
    </row>
    <row r="325" spans="1:18" x14ac:dyDescent="0.3">
      <c r="A325" t="s">
        <v>1450</v>
      </c>
      <c r="B325" s="45">
        <v>45566</v>
      </c>
      <c r="C325" t="s">
        <v>1451</v>
      </c>
      <c r="D325" t="s">
        <v>127</v>
      </c>
      <c r="E325" t="s">
        <v>325</v>
      </c>
      <c r="F325">
        <v>1</v>
      </c>
      <c r="G325">
        <v>970</v>
      </c>
      <c r="H325">
        <v>24.9</v>
      </c>
      <c r="I325">
        <v>728.47</v>
      </c>
      <c r="J325" t="s">
        <v>87</v>
      </c>
      <c r="K325" t="s">
        <v>117</v>
      </c>
      <c r="L325">
        <v>0</v>
      </c>
      <c r="M325" t="b">
        <v>1</v>
      </c>
      <c r="N325" t="s">
        <v>2806</v>
      </c>
      <c r="O325" t="e">
        <v>#N/A</v>
      </c>
      <c r="P325" t="e">
        <v>#N/A</v>
      </c>
      <c r="Q325" t="s">
        <v>2862</v>
      </c>
      <c r="R325">
        <v>434</v>
      </c>
    </row>
    <row r="326" spans="1:18" x14ac:dyDescent="0.3">
      <c r="A326" t="s">
        <v>1449</v>
      </c>
      <c r="B326" s="45">
        <v>45612</v>
      </c>
      <c r="C326" t="s">
        <v>959</v>
      </c>
      <c r="D326" t="s">
        <v>167</v>
      </c>
      <c r="E326" t="s">
        <v>107</v>
      </c>
      <c r="F326">
        <v>9</v>
      </c>
      <c r="G326">
        <v>2480</v>
      </c>
      <c r="H326">
        <v>15.6</v>
      </c>
      <c r="I326">
        <v>18838.080000000002</v>
      </c>
      <c r="J326" t="s">
        <v>87</v>
      </c>
      <c r="K326" t="s">
        <v>112</v>
      </c>
      <c r="L326">
        <v>0</v>
      </c>
      <c r="M326" t="b">
        <v>1</v>
      </c>
      <c r="N326" t="s">
        <v>2795</v>
      </c>
      <c r="O326" t="s">
        <v>2515</v>
      </c>
      <c r="P326">
        <v>65</v>
      </c>
      <c r="Q326" t="s">
        <v>2855</v>
      </c>
      <c r="R326">
        <v>1173</v>
      </c>
    </row>
    <row r="327" spans="1:18" x14ac:dyDescent="0.3">
      <c r="A327" t="s">
        <v>1444</v>
      </c>
      <c r="B327" s="45">
        <v>45602</v>
      </c>
      <c r="C327" t="s">
        <v>373</v>
      </c>
      <c r="D327" t="s">
        <v>131</v>
      </c>
      <c r="E327" t="s">
        <v>139</v>
      </c>
      <c r="F327">
        <v>4</v>
      </c>
      <c r="G327">
        <v>2270</v>
      </c>
      <c r="H327">
        <v>28.9</v>
      </c>
      <c r="I327">
        <v>6455.88</v>
      </c>
      <c r="J327" t="s">
        <v>87</v>
      </c>
      <c r="K327" t="s">
        <v>88</v>
      </c>
      <c r="L327">
        <v>0</v>
      </c>
      <c r="M327" t="b">
        <v>1</v>
      </c>
      <c r="N327" t="s">
        <v>2806</v>
      </c>
      <c r="O327" t="s">
        <v>2507</v>
      </c>
      <c r="P327">
        <v>43</v>
      </c>
      <c r="Q327" t="s">
        <v>2855</v>
      </c>
      <c r="R327">
        <v>1203</v>
      </c>
    </row>
    <row r="328" spans="1:18" x14ac:dyDescent="0.3">
      <c r="A328" t="s">
        <v>1436</v>
      </c>
      <c r="B328" s="45">
        <v>45579</v>
      </c>
      <c r="C328" t="s">
        <v>447</v>
      </c>
      <c r="D328" t="s">
        <v>164</v>
      </c>
      <c r="E328" t="s">
        <v>201</v>
      </c>
      <c r="F328">
        <v>8</v>
      </c>
      <c r="G328">
        <v>1080</v>
      </c>
      <c r="H328">
        <v>8.6999999999999993</v>
      </c>
      <c r="I328">
        <v>7888.32</v>
      </c>
      <c r="J328" t="s">
        <v>87</v>
      </c>
      <c r="K328" t="s">
        <v>112</v>
      </c>
      <c r="L328">
        <v>0</v>
      </c>
      <c r="M328" t="b">
        <v>1</v>
      </c>
      <c r="N328" t="s">
        <v>2817</v>
      </c>
      <c r="O328" t="s">
        <v>2507</v>
      </c>
      <c r="P328">
        <v>41</v>
      </c>
      <c r="Q328" t="s">
        <v>2879</v>
      </c>
      <c r="R328">
        <v>519</v>
      </c>
    </row>
    <row r="329" spans="1:18" x14ac:dyDescent="0.3">
      <c r="A329" t="s">
        <v>1433</v>
      </c>
      <c r="B329" s="45">
        <v>45575</v>
      </c>
      <c r="C329" t="s">
        <v>597</v>
      </c>
      <c r="D329" t="s">
        <v>161</v>
      </c>
      <c r="E329" t="s">
        <v>346</v>
      </c>
      <c r="F329">
        <v>3</v>
      </c>
      <c r="G329">
        <v>3450</v>
      </c>
      <c r="H329">
        <v>4.7</v>
      </c>
      <c r="I329">
        <v>9863.5499999999993</v>
      </c>
      <c r="J329" t="s">
        <v>93</v>
      </c>
      <c r="K329" t="s">
        <v>112</v>
      </c>
      <c r="L329">
        <v>0</v>
      </c>
      <c r="M329" t="b">
        <v>1</v>
      </c>
      <c r="N329" t="s">
        <v>2839</v>
      </c>
      <c r="O329" t="s">
        <v>2507</v>
      </c>
      <c r="P329">
        <v>39</v>
      </c>
      <c r="Q329" t="s">
        <v>2862</v>
      </c>
      <c r="R329">
        <v>2467</v>
      </c>
    </row>
    <row r="330" spans="1:18" x14ac:dyDescent="0.3">
      <c r="A330" t="s">
        <v>1430</v>
      </c>
      <c r="B330" s="45">
        <v>45591</v>
      </c>
      <c r="C330" t="s">
        <v>522</v>
      </c>
      <c r="D330" t="s">
        <v>443</v>
      </c>
      <c r="E330" t="s">
        <v>98</v>
      </c>
      <c r="F330">
        <v>4</v>
      </c>
      <c r="G330">
        <v>5080</v>
      </c>
      <c r="H330">
        <v>2</v>
      </c>
      <c r="I330">
        <v>19913.599999999999</v>
      </c>
      <c r="J330" t="s">
        <v>87</v>
      </c>
      <c r="K330" t="s">
        <v>1431</v>
      </c>
      <c r="L330">
        <v>0</v>
      </c>
      <c r="M330" t="b">
        <v>1</v>
      </c>
      <c r="N330" t="s">
        <v>2817</v>
      </c>
      <c r="O330" t="s">
        <v>2515</v>
      </c>
      <c r="P330">
        <v>55</v>
      </c>
      <c r="Q330" t="s">
        <v>2862</v>
      </c>
      <c r="R330">
        <v>2459</v>
      </c>
    </row>
    <row r="331" spans="1:18" x14ac:dyDescent="0.3">
      <c r="A331" t="s">
        <v>1424</v>
      </c>
      <c r="B331" s="45">
        <v>45567</v>
      </c>
      <c r="C331" t="s">
        <v>250</v>
      </c>
      <c r="D331" t="s">
        <v>259</v>
      </c>
      <c r="E331" t="s">
        <v>170</v>
      </c>
      <c r="F331">
        <v>2</v>
      </c>
      <c r="G331">
        <v>1540</v>
      </c>
      <c r="H331">
        <v>17.7</v>
      </c>
      <c r="I331">
        <v>2534.84</v>
      </c>
      <c r="J331" t="s">
        <v>87</v>
      </c>
      <c r="K331" t="s">
        <v>117</v>
      </c>
      <c r="L331">
        <v>0</v>
      </c>
      <c r="M331" t="b">
        <v>0</v>
      </c>
      <c r="N331" t="s">
        <v>2828</v>
      </c>
      <c r="O331" t="s">
        <v>2515</v>
      </c>
      <c r="P331">
        <v>34</v>
      </c>
      <c r="Q331" t="s">
        <v>2879</v>
      </c>
      <c r="R331">
        <v>647</v>
      </c>
    </row>
    <row r="332" spans="1:18" x14ac:dyDescent="0.3">
      <c r="A332" t="s">
        <v>711</v>
      </c>
      <c r="B332" s="45">
        <v>45646</v>
      </c>
      <c r="C332" t="s">
        <v>712</v>
      </c>
      <c r="D332" t="s">
        <v>276</v>
      </c>
      <c r="E332" t="s">
        <v>116</v>
      </c>
      <c r="F332">
        <v>9</v>
      </c>
      <c r="G332">
        <v>3020</v>
      </c>
      <c r="H332">
        <v>7.9</v>
      </c>
      <c r="I332">
        <v>25032.78</v>
      </c>
      <c r="J332" t="s">
        <v>87</v>
      </c>
      <c r="K332" t="s">
        <v>112</v>
      </c>
      <c r="L332">
        <v>0</v>
      </c>
      <c r="M332" t="b">
        <v>1</v>
      </c>
      <c r="N332" t="s">
        <v>2828</v>
      </c>
      <c r="O332" t="s">
        <v>2509</v>
      </c>
      <c r="P332">
        <v>51</v>
      </c>
      <c r="Q332" t="s">
        <v>2879</v>
      </c>
      <c r="R332">
        <v>1626</v>
      </c>
    </row>
    <row r="333" spans="1:18" x14ac:dyDescent="0.3">
      <c r="A333" t="s">
        <v>713</v>
      </c>
      <c r="B333" s="45">
        <v>45645</v>
      </c>
      <c r="C333" t="s">
        <v>714</v>
      </c>
      <c r="D333" t="s">
        <v>248</v>
      </c>
      <c r="E333" t="s">
        <v>229</v>
      </c>
      <c r="F333">
        <v>8</v>
      </c>
      <c r="G333">
        <v>3870</v>
      </c>
      <c r="H333">
        <v>11.9</v>
      </c>
      <c r="I333">
        <v>27275.759999999998</v>
      </c>
      <c r="J333" t="s">
        <v>87</v>
      </c>
      <c r="K333" t="s">
        <v>99</v>
      </c>
      <c r="L333">
        <v>0</v>
      </c>
      <c r="M333" t="b">
        <v>1</v>
      </c>
      <c r="N333" t="s">
        <v>2784</v>
      </c>
      <c r="O333" t="s">
        <v>2507</v>
      </c>
      <c r="P333">
        <v>24</v>
      </c>
      <c r="Q333" t="s">
        <v>2879</v>
      </c>
      <c r="R333">
        <v>1559</v>
      </c>
    </row>
    <row r="334" spans="1:18" x14ac:dyDescent="0.3">
      <c r="A334" t="s">
        <v>1421</v>
      </c>
      <c r="B334" s="45">
        <v>45610</v>
      </c>
      <c r="C334" t="s">
        <v>615</v>
      </c>
      <c r="D334" t="s">
        <v>515</v>
      </c>
      <c r="E334" t="s">
        <v>215</v>
      </c>
      <c r="F334">
        <v>5</v>
      </c>
      <c r="G334">
        <v>6940</v>
      </c>
      <c r="H334">
        <v>1.5</v>
      </c>
      <c r="I334">
        <v>34179.5</v>
      </c>
      <c r="J334" t="s">
        <v>87</v>
      </c>
      <c r="K334" t="s">
        <v>112</v>
      </c>
      <c r="L334">
        <v>0</v>
      </c>
      <c r="M334" t="b">
        <v>1</v>
      </c>
      <c r="N334" t="s">
        <v>2839</v>
      </c>
      <c r="O334" t="s">
        <v>2507</v>
      </c>
      <c r="P334">
        <v>53</v>
      </c>
      <c r="Q334" t="s">
        <v>2855</v>
      </c>
      <c r="R334">
        <v>2827</v>
      </c>
    </row>
    <row r="335" spans="1:18" x14ac:dyDescent="0.3">
      <c r="A335" t="s">
        <v>716</v>
      </c>
      <c r="B335" s="45">
        <v>45655</v>
      </c>
      <c r="C335" t="s">
        <v>717</v>
      </c>
      <c r="D335" t="s">
        <v>191</v>
      </c>
      <c r="E335" t="s">
        <v>107</v>
      </c>
      <c r="F335">
        <v>9</v>
      </c>
      <c r="G335">
        <v>5100</v>
      </c>
      <c r="H335">
        <v>2.1</v>
      </c>
      <c r="I335">
        <v>44936.1</v>
      </c>
      <c r="J335" t="s">
        <v>87</v>
      </c>
      <c r="K335" t="s">
        <v>94</v>
      </c>
      <c r="L335">
        <v>0</v>
      </c>
      <c r="M335" t="b">
        <v>1</v>
      </c>
      <c r="N335" t="s">
        <v>2828</v>
      </c>
      <c r="O335" t="s">
        <v>2507</v>
      </c>
      <c r="P335">
        <v>24</v>
      </c>
      <c r="Q335" t="s">
        <v>2855</v>
      </c>
      <c r="R335">
        <v>2237</v>
      </c>
    </row>
    <row r="336" spans="1:18" x14ac:dyDescent="0.3">
      <c r="A336" t="s">
        <v>1420</v>
      </c>
      <c r="B336" s="45">
        <v>45618</v>
      </c>
      <c r="C336" t="s">
        <v>197</v>
      </c>
      <c r="D336" t="s">
        <v>408</v>
      </c>
      <c r="E336" t="s">
        <v>170</v>
      </c>
      <c r="F336">
        <v>7</v>
      </c>
      <c r="G336">
        <v>3970</v>
      </c>
      <c r="H336">
        <v>12.3</v>
      </c>
      <c r="I336">
        <v>24371.83</v>
      </c>
      <c r="J336" t="s">
        <v>87</v>
      </c>
      <c r="K336" t="s">
        <v>88</v>
      </c>
      <c r="L336">
        <v>0</v>
      </c>
      <c r="M336" t="b">
        <v>1</v>
      </c>
      <c r="N336" t="s">
        <v>2784</v>
      </c>
      <c r="O336" t="s">
        <v>2509</v>
      </c>
      <c r="P336">
        <v>47</v>
      </c>
      <c r="Q336" t="s">
        <v>2879</v>
      </c>
      <c r="R336">
        <v>2865</v>
      </c>
    </row>
    <row r="337" spans="1:18" x14ac:dyDescent="0.3">
      <c r="A337" t="s">
        <v>1407</v>
      </c>
      <c r="B337" s="45">
        <v>45613</v>
      </c>
      <c r="C337" t="s">
        <v>870</v>
      </c>
      <c r="D337" t="s">
        <v>295</v>
      </c>
      <c r="E337" t="s">
        <v>346</v>
      </c>
      <c r="F337">
        <v>4</v>
      </c>
      <c r="G337">
        <v>2030</v>
      </c>
      <c r="H337">
        <v>25.7</v>
      </c>
      <c r="I337">
        <v>6033.16</v>
      </c>
      <c r="J337" t="s">
        <v>87</v>
      </c>
      <c r="K337" t="s">
        <v>117</v>
      </c>
      <c r="L337">
        <v>0</v>
      </c>
      <c r="M337" t="b">
        <v>1</v>
      </c>
      <c r="N337" t="s">
        <v>2817</v>
      </c>
      <c r="O337" t="s">
        <v>2507</v>
      </c>
      <c r="P337">
        <v>47</v>
      </c>
      <c r="Q337" t="s">
        <v>2862</v>
      </c>
      <c r="R337">
        <v>1143</v>
      </c>
    </row>
    <row r="338" spans="1:18" x14ac:dyDescent="0.3">
      <c r="A338" t="s">
        <v>1405</v>
      </c>
      <c r="B338" s="45">
        <v>45579</v>
      </c>
      <c r="C338" t="s">
        <v>606</v>
      </c>
      <c r="D338" t="s">
        <v>452</v>
      </c>
      <c r="E338" t="s">
        <v>303</v>
      </c>
      <c r="F338">
        <v>4</v>
      </c>
      <c r="G338">
        <v>3450</v>
      </c>
      <c r="H338">
        <v>11.7</v>
      </c>
      <c r="I338">
        <v>12185.4</v>
      </c>
      <c r="J338" t="s">
        <v>140</v>
      </c>
      <c r="K338" t="s">
        <v>112</v>
      </c>
      <c r="L338">
        <v>0</v>
      </c>
      <c r="M338" t="b">
        <v>1</v>
      </c>
      <c r="N338" t="s">
        <v>2795</v>
      </c>
      <c r="O338" t="s">
        <v>2507</v>
      </c>
      <c r="P338">
        <v>52</v>
      </c>
      <c r="Q338" t="s">
        <v>2871</v>
      </c>
      <c r="R338">
        <v>1748</v>
      </c>
    </row>
    <row r="339" spans="1:18" x14ac:dyDescent="0.3">
      <c r="A339" t="s">
        <v>722</v>
      </c>
      <c r="B339" s="45">
        <v>45618</v>
      </c>
      <c r="C339" t="s">
        <v>142</v>
      </c>
      <c r="D339" t="s">
        <v>355</v>
      </c>
      <c r="E339" t="s">
        <v>116</v>
      </c>
      <c r="F339">
        <v>5</v>
      </c>
      <c r="G339">
        <v>2510</v>
      </c>
      <c r="H339">
        <v>25</v>
      </c>
      <c r="I339">
        <v>9412.5</v>
      </c>
      <c r="J339" t="s">
        <v>87</v>
      </c>
      <c r="K339" t="s">
        <v>88</v>
      </c>
      <c r="L339">
        <v>0</v>
      </c>
      <c r="M339" t="b">
        <v>0</v>
      </c>
      <c r="N339" t="s">
        <v>2795</v>
      </c>
      <c r="O339" t="s">
        <v>2515</v>
      </c>
      <c r="P339">
        <v>39</v>
      </c>
      <c r="Q339" t="s">
        <v>2879</v>
      </c>
      <c r="R339">
        <v>1075</v>
      </c>
    </row>
    <row r="340" spans="1:18" x14ac:dyDescent="0.3">
      <c r="A340" t="s">
        <v>1404</v>
      </c>
      <c r="B340" s="45">
        <v>45625</v>
      </c>
      <c r="C340" t="s">
        <v>990</v>
      </c>
      <c r="D340" t="s">
        <v>131</v>
      </c>
      <c r="E340" t="s">
        <v>273</v>
      </c>
      <c r="F340">
        <v>1</v>
      </c>
      <c r="G340">
        <v>2270</v>
      </c>
      <c r="H340">
        <v>14.9</v>
      </c>
      <c r="I340">
        <v>1931.77</v>
      </c>
      <c r="J340" t="s">
        <v>87</v>
      </c>
      <c r="K340" t="s">
        <v>117</v>
      </c>
      <c r="L340">
        <v>0</v>
      </c>
      <c r="M340" t="b">
        <v>1</v>
      </c>
      <c r="N340" t="s">
        <v>2806</v>
      </c>
      <c r="O340" t="s">
        <v>2507</v>
      </c>
      <c r="P340">
        <v>61</v>
      </c>
      <c r="Q340" t="s">
        <v>2862</v>
      </c>
      <c r="R340">
        <v>1203</v>
      </c>
    </row>
    <row r="341" spans="1:18" x14ac:dyDescent="0.3">
      <c r="A341" t="s">
        <v>1397</v>
      </c>
      <c r="B341" s="45">
        <v>45571</v>
      </c>
      <c r="C341" t="s">
        <v>485</v>
      </c>
      <c r="D341" t="s">
        <v>110</v>
      </c>
      <c r="E341" t="s">
        <v>107</v>
      </c>
      <c r="F341">
        <v>2</v>
      </c>
      <c r="G341">
        <v>370</v>
      </c>
      <c r="H341">
        <v>17.7</v>
      </c>
      <c r="I341">
        <v>609.02</v>
      </c>
      <c r="J341" t="s">
        <v>87</v>
      </c>
      <c r="K341" t="s">
        <v>88</v>
      </c>
      <c r="L341">
        <v>0</v>
      </c>
      <c r="M341" t="b">
        <v>1</v>
      </c>
      <c r="N341" t="s">
        <v>2817</v>
      </c>
      <c r="O341" t="s">
        <v>2507</v>
      </c>
      <c r="P341">
        <v>49</v>
      </c>
      <c r="Q341" t="s">
        <v>2855</v>
      </c>
      <c r="R341">
        <v>288</v>
      </c>
    </row>
    <row r="342" spans="1:18" x14ac:dyDescent="0.3">
      <c r="A342" t="s">
        <v>1391</v>
      </c>
      <c r="B342" s="45">
        <v>45633</v>
      </c>
      <c r="C342" t="s">
        <v>256</v>
      </c>
      <c r="D342" t="s">
        <v>85</v>
      </c>
      <c r="E342" t="s">
        <v>139</v>
      </c>
      <c r="F342">
        <v>4</v>
      </c>
      <c r="G342">
        <v>3620</v>
      </c>
      <c r="H342">
        <v>11.7</v>
      </c>
      <c r="I342">
        <v>12785.84</v>
      </c>
      <c r="J342" t="s">
        <v>87</v>
      </c>
      <c r="K342" t="s">
        <v>133</v>
      </c>
      <c r="L342">
        <v>0</v>
      </c>
      <c r="M342" t="b">
        <v>1</v>
      </c>
      <c r="N342" t="s">
        <v>2795</v>
      </c>
      <c r="O342" t="s">
        <v>2507</v>
      </c>
      <c r="P342">
        <v>27</v>
      </c>
      <c r="Q342" t="s">
        <v>2855</v>
      </c>
      <c r="R342">
        <v>2509</v>
      </c>
    </row>
    <row r="343" spans="1:18" x14ac:dyDescent="0.3">
      <c r="A343" t="s">
        <v>727</v>
      </c>
      <c r="B343" s="45">
        <v>45590</v>
      </c>
      <c r="C343" t="s">
        <v>256</v>
      </c>
      <c r="D343" t="s">
        <v>364</v>
      </c>
      <c r="E343" t="s">
        <v>229</v>
      </c>
      <c r="F343">
        <v>3</v>
      </c>
      <c r="G343">
        <v>5330</v>
      </c>
      <c r="H343">
        <v>16.2</v>
      </c>
      <c r="I343">
        <v>13399.62</v>
      </c>
      <c r="J343" t="s">
        <v>87</v>
      </c>
      <c r="K343" t="s">
        <v>133</v>
      </c>
      <c r="L343">
        <v>0</v>
      </c>
      <c r="M343" t="b">
        <v>1</v>
      </c>
      <c r="N343" t="s">
        <v>2784</v>
      </c>
      <c r="O343" t="s">
        <v>2507</v>
      </c>
      <c r="P343">
        <v>27</v>
      </c>
      <c r="Q343" t="s">
        <v>2879</v>
      </c>
      <c r="R343">
        <v>2405</v>
      </c>
    </row>
    <row r="344" spans="1:18" x14ac:dyDescent="0.3">
      <c r="A344" t="s">
        <v>1390</v>
      </c>
      <c r="B344" s="45">
        <v>45640</v>
      </c>
      <c r="C344" t="s">
        <v>621</v>
      </c>
      <c r="D344" t="s">
        <v>264</v>
      </c>
      <c r="E344" t="s">
        <v>192</v>
      </c>
      <c r="F344">
        <v>4</v>
      </c>
      <c r="G344">
        <v>4070</v>
      </c>
      <c r="H344">
        <v>26.8</v>
      </c>
      <c r="I344">
        <v>11916.96</v>
      </c>
      <c r="J344" t="s">
        <v>87</v>
      </c>
      <c r="K344" t="s">
        <v>94</v>
      </c>
      <c r="L344">
        <v>0</v>
      </c>
      <c r="M344" t="b">
        <v>1</v>
      </c>
      <c r="N344" t="s">
        <v>2806</v>
      </c>
      <c r="O344" t="s">
        <v>2509</v>
      </c>
      <c r="P344">
        <v>22</v>
      </c>
      <c r="Q344" t="s">
        <v>2871</v>
      </c>
      <c r="R344">
        <v>2027</v>
      </c>
    </row>
    <row r="345" spans="1:18" x14ac:dyDescent="0.3">
      <c r="A345" t="s">
        <v>730</v>
      </c>
      <c r="B345" s="45">
        <v>45600</v>
      </c>
      <c r="C345" t="s">
        <v>673</v>
      </c>
      <c r="D345" t="s">
        <v>182</v>
      </c>
      <c r="E345" t="s">
        <v>188</v>
      </c>
      <c r="F345">
        <v>2</v>
      </c>
      <c r="G345">
        <v>1010</v>
      </c>
      <c r="H345">
        <v>29.2</v>
      </c>
      <c r="I345">
        <v>1430.16</v>
      </c>
      <c r="J345" t="s">
        <v>87</v>
      </c>
      <c r="K345" t="s">
        <v>112</v>
      </c>
      <c r="L345">
        <v>0</v>
      </c>
      <c r="M345" t="b">
        <v>1</v>
      </c>
      <c r="N345" t="s">
        <v>2839</v>
      </c>
      <c r="O345" t="s">
        <v>2507</v>
      </c>
      <c r="P345">
        <v>35</v>
      </c>
      <c r="Q345" t="s">
        <v>2862</v>
      </c>
      <c r="R345">
        <v>516</v>
      </c>
    </row>
    <row r="346" spans="1:18" x14ac:dyDescent="0.3">
      <c r="A346" t="s">
        <v>1386</v>
      </c>
      <c r="B346" s="45">
        <v>45615</v>
      </c>
      <c r="C346" t="s">
        <v>1308</v>
      </c>
      <c r="D346" t="s">
        <v>659</v>
      </c>
      <c r="E346" t="s">
        <v>343</v>
      </c>
      <c r="F346">
        <v>7</v>
      </c>
      <c r="G346">
        <v>3560</v>
      </c>
      <c r="H346">
        <v>11.1</v>
      </c>
      <c r="I346">
        <v>22153.88</v>
      </c>
      <c r="J346" t="s">
        <v>87</v>
      </c>
      <c r="K346" t="s">
        <v>94</v>
      </c>
      <c r="L346">
        <v>0</v>
      </c>
      <c r="M346" t="b">
        <v>1</v>
      </c>
      <c r="N346" t="s">
        <v>2795</v>
      </c>
      <c r="O346" t="s">
        <v>2515</v>
      </c>
      <c r="P346">
        <v>51</v>
      </c>
      <c r="Q346" t="s">
        <v>2879</v>
      </c>
      <c r="R346">
        <v>2629</v>
      </c>
    </row>
    <row r="347" spans="1:18" x14ac:dyDescent="0.3">
      <c r="A347" t="s">
        <v>1377</v>
      </c>
      <c r="B347" s="45">
        <v>45646</v>
      </c>
      <c r="C347" t="s">
        <v>1378</v>
      </c>
      <c r="D347" t="s">
        <v>120</v>
      </c>
      <c r="E347" t="s">
        <v>188</v>
      </c>
      <c r="F347">
        <v>10</v>
      </c>
      <c r="G347">
        <v>1430</v>
      </c>
      <c r="H347">
        <v>5.0999999999999996</v>
      </c>
      <c r="I347">
        <v>13570.7</v>
      </c>
      <c r="J347" t="s">
        <v>140</v>
      </c>
      <c r="K347" t="s">
        <v>94</v>
      </c>
      <c r="L347">
        <v>0</v>
      </c>
      <c r="M347" t="b">
        <v>1</v>
      </c>
      <c r="N347" t="s">
        <v>2784</v>
      </c>
      <c r="O347" t="e">
        <v>#N/A</v>
      </c>
      <c r="P347" t="e">
        <v>#N/A</v>
      </c>
      <c r="Q347" t="s">
        <v>2862</v>
      </c>
      <c r="R347">
        <v>861</v>
      </c>
    </row>
    <row r="348" spans="1:18" x14ac:dyDescent="0.3">
      <c r="A348" t="s">
        <v>1375</v>
      </c>
      <c r="B348" s="45">
        <v>45593</v>
      </c>
      <c r="C348" t="s">
        <v>376</v>
      </c>
      <c r="D348" t="s">
        <v>270</v>
      </c>
      <c r="E348" t="s">
        <v>297</v>
      </c>
      <c r="F348">
        <v>3</v>
      </c>
      <c r="G348">
        <v>4610</v>
      </c>
      <c r="H348">
        <v>29.7</v>
      </c>
      <c r="I348">
        <v>9722.49</v>
      </c>
      <c r="J348" t="s">
        <v>87</v>
      </c>
      <c r="K348" t="s">
        <v>117</v>
      </c>
      <c r="L348">
        <v>0</v>
      </c>
      <c r="M348" t="b">
        <v>1</v>
      </c>
      <c r="N348" t="s">
        <v>2817</v>
      </c>
      <c r="O348" t="s">
        <v>2515</v>
      </c>
      <c r="P348">
        <v>44</v>
      </c>
      <c r="Q348" t="s">
        <v>2855</v>
      </c>
      <c r="R348">
        <v>1850</v>
      </c>
    </row>
    <row r="349" spans="1:18" x14ac:dyDescent="0.3">
      <c r="A349" t="s">
        <v>1374</v>
      </c>
      <c r="B349" s="45">
        <v>45589</v>
      </c>
      <c r="C349" t="s">
        <v>1261</v>
      </c>
      <c r="D349" t="s">
        <v>110</v>
      </c>
      <c r="E349" t="s">
        <v>148</v>
      </c>
      <c r="F349">
        <v>2</v>
      </c>
      <c r="G349">
        <v>370</v>
      </c>
      <c r="H349">
        <v>26.5</v>
      </c>
      <c r="I349">
        <v>543.9</v>
      </c>
      <c r="J349" t="s">
        <v>87</v>
      </c>
      <c r="K349" t="s">
        <v>117</v>
      </c>
      <c r="L349">
        <v>0</v>
      </c>
      <c r="M349" t="b">
        <v>1</v>
      </c>
      <c r="N349" t="s">
        <v>2817</v>
      </c>
      <c r="O349" t="s">
        <v>2507</v>
      </c>
      <c r="P349">
        <v>54</v>
      </c>
      <c r="Q349" t="s">
        <v>2855</v>
      </c>
      <c r="R349">
        <v>288</v>
      </c>
    </row>
    <row r="350" spans="1:18" x14ac:dyDescent="0.3">
      <c r="A350" t="s">
        <v>1369</v>
      </c>
      <c r="B350" s="45">
        <v>45649</v>
      </c>
      <c r="C350" t="s">
        <v>371</v>
      </c>
      <c r="D350" t="s">
        <v>241</v>
      </c>
      <c r="E350" t="s">
        <v>201</v>
      </c>
      <c r="F350">
        <v>1</v>
      </c>
      <c r="G350">
        <v>6080</v>
      </c>
      <c r="H350">
        <v>5.6</v>
      </c>
      <c r="I350">
        <v>5739.52</v>
      </c>
      <c r="J350" t="s">
        <v>87</v>
      </c>
      <c r="K350" t="s">
        <v>112</v>
      </c>
      <c r="L350">
        <v>0</v>
      </c>
      <c r="M350" t="b">
        <v>1</v>
      </c>
      <c r="N350" t="s">
        <v>2828</v>
      </c>
      <c r="O350" t="s">
        <v>2507</v>
      </c>
      <c r="P350">
        <v>42</v>
      </c>
      <c r="Q350" t="s">
        <v>2879</v>
      </c>
      <c r="R350">
        <v>2617</v>
      </c>
    </row>
    <row r="351" spans="1:18" x14ac:dyDescent="0.3">
      <c r="A351" t="s">
        <v>737</v>
      </c>
      <c r="B351" s="45">
        <v>45626</v>
      </c>
      <c r="C351" t="s">
        <v>738</v>
      </c>
      <c r="D351" t="s">
        <v>360</v>
      </c>
      <c r="E351" t="s">
        <v>116</v>
      </c>
      <c r="F351">
        <v>6</v>
      </c>
      <c r="G351">
        <v>5410</v>
      </c>
      <c r="H351">
        <v>29.4</v>
      </c>
      <c r="I351">
        <v>22916.76</v>
      </c>
      <c r="J351" t="s">
        <v>87</v>
      </c>
      <c r="K351" t="s">
        <v>88</v>
      </c>
      <c r="L351">
        <v>0</v>
      </c>
      <c r="M351" t="b">
        <v>1</v>
      </c>
      <c r="N351" t="s">
        <v>2839</v>
      </c>
      <c r="O351" t="s">
        <v>2507</v>
      </c>
      <c r="P351">
        <v>36</v>
      </c>
      <c r="Q351" t="s">
        <v>2879</v>
      </c>
      <c r="R351">
        <v>2265</v>
      </c>
    </row>
    <row r="352" spans="1:18" x14ac:dyDescent="0.3">
      <c r="A352" t="s">
        <v>1366</v>
      </c>
      <c r="B352" s="45">
        <v>45638</v>
      </c>
      <c r="C352" t="s">
        <v>522</v>
      </c>
      <c r="D352" t="s">
        <v>408</v>
      </c>
      <c r="E352" t="s">
        <v>121</v>
      </c>
      <c r="F352">
        <v>9</v>
      </c>
      <c r="G352">
        <v>3970</v>
      </c>
      <c r="H352">
        <v>7</v>
      </c>
      <c r="I352">
        <v>33228.9</v>
      </c>
      <c r="J352" t="s">
        <v>87</v>
      </c>
      <c r="K352" t="s">
        <v>99</v>
      </c>
      <c r="L352">
        <v>0</v>
      </c>
      <c r="M352" t="b">
        <v>1</v>
      </c>
      <c r="N352" t="s">
        <v>2784</v>
      </c>
      <c r="O352" t="s">
        <v>2515</v>
      </c>
      <c r="P352">
        <v>55</v>
      </c>
      <c r="Q352" t="s">
        <v>2871</v>
      </c>
      <c r="R352">
        <v>2865</v>
      </c>
    </row>
    <row r="353" spans="1:18" x14ac:dyDescent="0.3">
      <c r="A353" t="s">
        <v>1362</v>
      </c>
      <c r="B353" s="45">
        <v>45593</v>
      </c>
      <c r="C353" t="s">
        <v>225</v>
      </c>
      <c r="D353" t="s">
        <v>164</v>
      </c>
      <c r="E353" t="s">
        <v>158</v>
      </c>
      <c r="F353">
        <v>10</v>
      </c>
      <c r="G353">
        <v>1080</v>
      </c>
      <c r="H353">
        <v>21.4</v>
      </c>
      <c r="I353">
        <v>8488.7999999999993</v>
      </c>
      <c r="J353" t="s">
        <v>87</v>
      </c>
      <c r="K353" t="s">
        <v>94</v>
      </c>
      <c r="L353">
        <v>0</v>
      </c>
      <c r="M353" t="b">
        <v>1</v>
      </c>
      <c r="N353" t="s">
        <v>2817</v>
      </c>
      <c r="O353" t="s">
        <v>2507</v>
      </c>
      <c r="P353">
        <v>37</v>
      </c>
      <c r="Q353" t="s">
        <v>2871</v>
      </c>
      <c r="R353">
        <v>519</v>
      </c>
    </row>
    <row r="354" spans="1:18" x14ac:dyDescent="0.3">
      <c r="A354" t="s">
        <v>1360</v>
      </c>
      <c r="B354" s="45">
        <v>45636</v>
      </c>
      <c r="C354" t="s">
        <v>1361</v>
      </c>
      <c r="D354" t="s">
        <v>351</v>
      </c>
      <c r="E354" t="s">
        <v>98</v>
      </c>
      <c r="F354">
        <v>9</v>
      </c>
      <c r="G354">
        <v>4060</v>
      </c>
      <c r="H354">
        <v>11.5</v>
      </c>
      <c r="I354">
        <v>32337.9</v>
      </c>
      <c r="J354" t="s">
        <v>87</v>
      </c>
      <c r="K354" t="s">
        <v>94</v>
      </c>
      <c r="L354">
        <v>0</v>
      </c>
      <c r="M354" t="b">
        <v>1</v>
      </c>
      <c r="N354" t="s">
        <v>2806</v>
      </c>
      <c r="O354" t="s">
        <v>2507</v>
      </c>
      <c r="P354">
        <v>34</v>
      </c>
      <c r="Q354" t="s">
        <v>2862</v>
      </c>
      <c r="R354">
        <v>2911</v>
      </c>
    </row>
    <row r="355" spans="1:18" x14ac:dyDescent="0.3">
      <c r="A355" t="s">
        <v>1354</v>
      </c>
      <c r="B355" s="45">
        <v>45654</v>
      </c>
      <c r="C355" t="s">
        <v>1308</v>
      </c>
      <c r="D355" t="s">
        <v>157</v>
      </c>
      <c r="E355" t="s">
        <v>229</v>
      </c>
      <c r="F355">
        <v>5</v>
      </c>
      <c r="G355">
        <v>3450</v>
      </c>
      <c r="H355">
        <v>13.4</v>
      </c>
      <c r="I355">
        <v>14938.5</v>
      </c>
      <c r="J355" t="s">
        <v>93</v>
      </c>
      <c r="K355" t="s">
        <v>94</v>
      </c>
      <c r="L355">
        <v>0</v>
      </c>
      <c r="M355" t="b">
        <v>1</v>
      </c>
      <c r="N355" t="s">
        <v>2828</v>
      </c>
      <c r="O355" t="s">
        <v>2515</v>
      </c>
      <c r="P355">
        <v>51</v>
      </c>
      <c r="Q355" t="s">
        <v>2879</v>
      </c>
      <c r="R355">
        <v>2420</v>
      </c>
    </row>
    <row r="356" spans="1:18" x14ac:dyDescent="0.3">
      <c r="A356" t="s">
        <v>1351</v>
      </c>
      <c r="B356" s="45">
        <v>45583</v>
      </c>
      <c r="C356" t="s">
        <v>762</v>
      </c>
      <c r="D356" t="s">
        <v>267</v>
      </c>
      <c r="E356" t="s">
        <v>86</v>
      </c>
      <c r="F356">
        <v>4</v>
      </c>
      <c r="G356">
        <v>1220</v>
      </c>
      <c r="H356">
        <v>25.3</v>
      </c>
      <c r="I356">
        <v>3645.36</v>
      </c>
      <c r="J356" t="s">
        <v>87</v>
      </c>
      <c r="K356" t="s">
        <v>133</v>
      </c>
      <c r="L356">
        <v>0</v>
      </c>
      <c r="M356" t="b">
        <v>1</v>
      </c>
      <c r="N356" t="s">
        <v>2784</v>
      </c>
      <c r="O356" t="s">
        <v>2507</v>
      </c>
      <c r="P356">
        <v>52</v>
      </c>
      <c r="Q356" t="s">
        <v>2855</v>
      </c>
      <c r="R356">
        <v>517</v>
      </c>
    </row>
    <row r="357" spans="1:18" x14ac:dyDescent="0.3">
      <c r="A357" t="s">
        <v>1344</v>
      </c>
      <c r="B357" s="45">
        <v>45583</v>
      </c>
      <c r="C357" t="s">
        <v>299</v>
      </c>
      <c r="D357" t="s">
        <v>164</v>
      </c>
      <c r="E357" t="s">
        <v>201</v>
      </c>
      <c r="F357">
        <v>5</v>
      </c>
      <c r="G357">
        <v>1080</v>
      </c>
      <c r="H357">
        <v>15.7</v>
      </c>
      <c r="I357">
        <v>4552.2</v>
      </c>
      <c r="J357" t="s">
        <v>93</v>
      </c>
      <c r="K357" t="s">
        <v>133</v>
      </c>
      <c r="L357">
        <v>0</v>
      </c>
      <c r="M357" t="b">
        <v>1</v>
      </c>
      <c r="N357" t="s">
        <v>2817</v>
      </c>
      <c r="O357" t="s">
        <v>2507</v>
      </c>
      <c r="P357">
        <v>29</v>
      </c>
      <c r="Q357" t="s">
        <v>2879</v>
      </c>
      <c r="R357">
        <v>519</v>
      </c>
    </row>
    <row r="358" spans="1:18" x14ac:dyDescent="0.3">
      <c r="A358" t="s">
        <v>1343</v>
      </c>
      <c r="B358" s="45">
        <v>45588</v>
      </c>
      <c r="C358" t="s">
        <v>294</v>
      </c>
      <c r="D358" t="s">
        <v>151</v>
      </c>
      <c r="E358" t="s">
        <v>252</v>
      </c>
      <c r="F358">
        <v>2</v>
      </c>
      <c r="G358">
        <v>2400</v>
      </c>
      <c r="H358">
        <v>17.100000000000001</v>
      </c>
      <c r="I358">
        <v>3979.2</v>
      </c>
      <c r="J358" t="s">
        <v>93</v>
      </c>
      <c r="K358" t="s">
        <v>133</v>
      </c>
      <c r="L358">
        <v>0</v>
      </c>
      <c r="M358" t="b">
        <v>1</v>
      </c>
      <c r="N358" t="s">
        <v>2839</v>
      </c>
      <c r="O358" t="s">
        <v>2515</v>
      </c>
      <c r="P358">
        <v>43</v>
      </c>
      <c r="Q358" t="s">
        <v>2862</v>
      </c>
      <c r="R358">
        <v>974</v>
      </c>
    </row>
    <row r="359" spans="1:18" x14ac:dyDescent="0.3">
      <c r="A359" t="s">
        <v>1341</v>
      </c>
      <c r="B359" s="45">
        <v>45626</v>
      </c>
      <c r="C359" t="s">
        <v>169</v>
      </c>
      <c r="D359" t="s">
        <v>135</v>
      </c>
      <c r="E359" t="s">
        <v>107</v>
      </c>
      <c r="F359">
        <v>10</v>
      </c>
      <c r="G359">
        <v>2640</v>
      </c>
      <c r="H359">
        <v>17.8</v>
      </c>
      <c r="I359">
        <v>21700.799999999999</v>
      </c>
      <c r="J359" t="s">
        <v>144</v>
      </c>
      <c r="K359" t="s">
        <v>112</v>
      </c>
      <c r="L359">
        <v>0</v>
      </c>
      <c r="M359" t="b">
        <v>1</v>
      </c>
      <c r="N359" t="s">
        <v>2784</v>
      </c>
      <c r="O359" t="s">
        <v>2507</v>
      </c>
      <c r="P359">
        <v>34</v>
      </c>
      <c r="Q359" t="s">
        <v>2855</v>
      </c>
      <c r="R359">
        <v>1149</v>
      </c>
    </row>
    <row r="360" spans="1:18" x14ac:dyDescent="0.3">
      <c r="A360" t="s">
        <v>749</v>
      </c>
      <c r="B360" s="45">
        <v>45580</v>
      </c>
      <c r="C360" t="s">
        <v>539</v>
      </c>
      <c r="D360" t="s">
        <v>85</v>
      </c>
      <c r="E360" t="s">
        <v>325</v>
      </c>
      <c r="F360">
        <v>6</v>
      </c>
      <c r="G360">
        <v>3620</v>
      </c>
      <c r="H360">
        <v>21.3</v>
      </c>
      <c r="I360">
        <v>17093.64</v>
      </c>
      <c r="J360" t="s">
        <v>93</v>
      </c>
      <c r="K360" t="s">
        <v>133</v>
      </c>
      <c r="L360">
        <v>0</v>
      </c>
      <c r="M360" t="b">
        <v>1</v>
      </c>
      <c r="N360" t="s">
        <v>2795</v>
      </c>
      <c r="O360" t="s">
        <v>2507</v>
      </c>
      <c r="P360">
        <v>38</v>
      </c>
      <c r="Q360" t="s">
        <v>2862</v>
      </c>
      <c r="R360">
        <v>2509</v>
      </c>
    </row>
    <row r="361" spans="1:18" x14ac:dyDescent="0.3">
      <c r="A361" t="s">
        <v>1338</v>
      </c>
      <c r="B361" s="45">
        <v>45641</v>
      </c>
      <c r="C361" t="s">
        <v>759</v>
      </c>
      <c r="D361" t="s">
        <v>187</v>
      </c>
      <c r="E361" t="s">
        <v>128</v>
      </c>
      <c r="F361">
        <v>3</v>
      </c>
      <c r="G361">
        <v>3570</v>
      </c>
      <c r="H361">
        <v>20</v>
      </c>
      <c r="I361">
        <v>8568</v>
      </c>
      <c r="J361" t="s">
        <v>140</v>
      </c>
      <c r="K361" t="s">
        <v>117</v>
      </c>
      <c r="L361">
        <v>0</v>
      </c>
      <c r="M361" t="b">
        <v>1</v>
      </c>
      <c r="N361" t="s">
        <v>2784</v>
      </c>
      <c r="O361" t="s">
        <v>2507</v>
      </c>
      <c r="P361">
        <v>29</v>
      </c>
      <c r="Q361" t="s">
        <v>2879</v>
      </c>
      <c r="R361">
        <v>1665</v>
      </c>
    </row>
    <row r="362" spans="1:18" x14ac:dyDescent="0.3">
      <c r="A362" t="s">
        <v>1336</v>
      </c>
      <c r="B362" s="45">
        <v>45634</v>
      </c>
      <c r="C362" t="s">
        <v>856</v>
      </c>
      <c r="D362" t="s">
        <v>267</v>
      </c>
      <c r="E362" t="s">
        <v>107</v>
      </c>
      <c r="F362">
        <v>5</v>
      </c>
      <c r="G362">
        <v>1220</v>
      </c>
      <c r="H362">
        <v>0.3</v>
      </c>
      <c r="I362">
        <v>6081.7</v>
      </c>
      <c r="J362" t="s">
        <v>87</v>
      </c>
      <c r="K362" t="s">
        <v>88</v>
      </c>
      <c r="L362">
        <v>0</v>
      </c>
      <c r="M362" t="b">
        <v>1</v>
      </c>
      <c r="N362" t="s">
        <v>2784</v>
      </c>
      <c r="O362" t="s">
        <v>2515</v>
      </c>
      <c r="P362">
        <v>59</v>
      </c>
      <c r="Q362" t="s">
        <v>2855</v>
      </c>
      <c r="R362">
        <v>517</v>
      </c>
    </row>
    <row r="363" spans="1:18" x14ac:dyDescent="0.3">
      <c r="A363" t="s">
        <v>753</v>
      </c>
      <c r="B363" s="45">
        <v>45607</v>
      </c>
      <c r="C363" t="s">
        <v>208</v>
      </c>
      <c r="D363" t="s">
        <v>195</v>
      </c>
      <c r="E363" t="s">
        <v>158</v>
      </c>
      <c r="F363">
        <v>9</v>
      </c>
      <c r="G363">
        <v>2860</v>
      </c>
      <c r="H363">
        <v>12.9</v>
      </c>
      <c r="I363">
        <v>22419.54</v>
      </c>
      <c r="J363" t="s">
        <v>87</v>
      </c>
      <c r="K363" t="s">
        <v>133</v>
      </c>
      <c r="L363">
        <v>0</v>
      </c>
      <c r="M363" t="b">
        <v>1</v>
      </c>
      <c r="N363" t="s">
        <v>2839</v>
      </c>
      <c r="O363" t="s">
        <v>2507</v>
      </c>
      <c r="P363">
        <v>26</v>
      </c>
      <c r="Q363" t="s">
        <v>2871</v>
      </c>
      <c r="R363">
        <v>2028</v>
      </c>
    </row>
    <row r="364" spans="1:18" x14ac:dyDescent="0.3">
      <c r="A364" t="s">
        <v>1335</v>
      </c>
      <c r="B364" s="45">
        <v>45623</v>
      </c>
      <c r="C364" t="s">
        <v>294</v>
      </c>
      <c r="D364" t="s">
        <v>452</v>
      </c>
      <c r="E364" t="s">
        <v>148</v>
      </c>
      <c r="F364">
        <v>5</v>
      </c>
      <c r="G364">
        <v>3450</v>
      </c>
      <c r="H364">
        <v>22.9</v>
      </c>
      <c r="I364">
        <v>13299.75</v>
      </c>
      <c r="J364" t="s">
        <v>87</v>
      </c>
      <c r="K364" t="s">
        <v>133</v>
      </c>
      <c r="L364">
        <v>0</v>
      </c>
      <c r="M364" t="b">
        <v>1</v>
      </c>
      <c r="N364" t="s">
        <v>2795</v>
      </c>
      <c r="O364" t="s">
        <v>2515</v>
      </c>
      <c r="P364">
        <v>43</v>
      </c>
      <c r="Q364" t="s">
        <v>2855</v>
      </c>
      <c r="R364">
        <v>1748</v>
      </c>
    </row>
    <row r="365" spans="1:18" x14ac:dyDescent="0.3">
      <c r="A365" t="s">
        <v>755</v>
      </c>
      <c r="B365" s="45">
        <v>45591</v>
      </c>
      <c r="C365" t="s">
        <v>378</v>
      </c>
      <c r="D365" t="s">
        <v>267</v>
      </c>
      <c r="E365" t="s">
        <v>229</v>
      </c>
      <c r="F365">
        <v>1</v>
      </c>
      <c r="G365">
        <v>1220</v>
      </c>
      <c r="H365">
        <v>16.100000000000001</v>
      </c>
      <c r="I365">
        <v>1023.58</v>
      </c>
      <c r="J365" t="s">
        <v>87</v>
      </c>
      <c r="K365" t="s">
        <v>94</v>
      </c>
      <c r="L365">
        <v>0</v>
      </c>
      <c r="M365" t="b">
        <v>1</v>
      </c>
      <c r="N365" t="s">
        <v>2784</v>
      </c>
      <c r="O365" t="s">
        <v>2515</v>
      </c>
      <c r="P365">
        <v>53</v>
      </c>
      <c r="Q365" t="s">
        <v>2879</v>
      </c>
      <c r="R365">
        <v>517</v>
      </c>
    </row>
    <row r="366" spans="1:18" x14ac:dyDescent="0.3">
      <c r="A366" t="s">
        <v>1330</v>
      </c>
      <c r="B366" s="45">
        <v>45656</v>
      </c>
      <c r="C366" t="s">
        <v>921</v>
      </c>
      <c r="D366" t="s">
        <v>167</v>
      </c>
      <c r="E366" t="s">
        <v>103</v>
      </c>
      <c r="F366">
        <v>2</v>
      </c>
      <c r="G366">
        <v>2480</v>
      </c>
      <c r="H366">
        <v>27.2</v>
      </c>
      <c r="I366">
        <v>3610.88</v>
      </c>
      <c r="J366" t="s">
        <v>87</v>
      </c>
      <c r="K366" t="s">
        <v>117</v>
      </c>
      <c r="L366">
        <v>0</v>
      </c>
      <c r="M366" t="b">
        <v>1</v>
      </c>
      <c r="N366" t="s">
        <v>2795</v>
      </c>
      <c r="O366" t="s">
        <v>2507</v>
      </c>
      <c r="P366">
        <v>28</v>
      </c>
      <c r="Q366" t="s">
        <v>2855</v>
      </c>
      <c r="R366">
        <v>1173</v>
      </c>
    </row>
    <row r="367" spans="1:18" x14ac:dyDescent="0.3">
      <c r="A367" t="s">
        <v>1326</v>
      </c>
      <c r="B367" s="45">
        <v>45581</v>
      </c>
      <c r="C367" t="s">
        <v>442</v>
      </c>
      <c r="D367" t="s">
        <v>127</v>
      </c>
      <c r="E367" t="s">
        <v>92</v>
      </c>
      <c r="F367">
        <v>3</v>
      </c>
      <c r="G367">
        <v>970</v>
      </c>
      <c r="H367">
        <v>28.3</v>
      </c>
      <c r="I367">
        <v>2086.4699999999998</v>
      </c>
      <c r="J367" t="s">
        <v>87</v>
      </c>
      <c r="K367" t="s">
        <v>88</v>
      </c>
      <c r="L367">
        <v>0</v>
      </c>
      <c r="M367" t="b">
        <v>1</v>
      </c>
      <c r="N367" t="s">
        <v>2806</v>
      </c>
      <c r="O367" t="s">
        <v>2507</v>
      </c>
      <c r="P367">
        <v>65</v>
      </c>
      <c r="Q367" t="s">
        <v>2855</v>
      </c>
      <c r="R367">
        <v>434</v>
      </c>
    </row>
    <row r="368" spans="1:18" x14ac:dyDescent="0.3">
      <c r="A368" t="s">
        <v>1321</v>
      </c>
      <c r="B368" s="45">
        <v>45614</v>
      </c>
      <c r="C368" t="s">
        <v>990</v>
      </c>
      <c r="D368" t="s">
        <v>161</v>
      </c>
      <c r="E368" t="s">
        <v>343</v>
      </c>
      <c r="F368">
        <v>8</v>
      </c>
      <c r="G368">
        <v>3450</v>
      </c>
      <c r="H368">
        <v>20.9</v>
      </c>
      <c r="I368">
        <v>21831.599999999999</v>
      </c>
      <c r="J368" t="s">
        <v>87</v>
      </c>
      <c r="K368" t="s">
        <v>117</v>
      </c>
      <c r="L368">
        <v>0</v>
      </c>
      <c r="M368" t="b">
        <v>1</v>
      </c>
      <c r="N368" t="s">
        <v>2839</v>
      </c>
      <c r="O368" t="s">
        <v>2507</v>
      </c>
      <c r="P368">
        <v>61</v>
      </c>
      <c r="Q368" t="s">
        <v>2879</v>
      </c>
      <c r="R368">
        <v>2467</v>
      </c>
    </row>
    <row r="369" spans="1:18" x14ac:dyDescent="0.3">
      <c r="A369" t="s">
        <v>1320</v>
      </c>
      <c r="B369" s="45">
        <v>45624</v>
      </c>
      <c r="C369" t="s">
        <v>294</v>
      </c>
      <c r="D369" t="s">
        <v>443</v>
      </c>
      <c r="E369" t="s">
        <v>148</v>
      </c>
      <c r="F369">
        <v>6</v>
      </c>
      <c r="G369">
        <v>5080</v>
      </c>
      <c r="H369">
        <v>3</v>
      </c>
      <c r="I369">
        <v>29565.599999999999</v>
      </c>
      <c r="J369" t="s">
        <v>87</v>
      </c>
      <c r="K369" t="s">
        <v>133</v>
      </c>
      <c r="L369">
        <v>0</v>
      </c>
      <c r="M369" t="b">
        <v>1</v>
      </c>
      <c r="N369" t="s">
        <v>2817</v>
      </c>
      <c r="O369" t="s">
        <v>2515</v>
      </c>
      <c r="P369">
        <v>43</v>
      </c>
      <c r="Q369" t="s">
        <v>2855</v>
      </c>
      <c r="R369">
        <v>2459</v>
      </c>
    </row>
    <row r="370" spans="1:18" x14ac:dyDescent="0.3">
      <c r="A370" t="s">
        <v>1316</v>
      </c>
      <c r="B370" s="45">
        <v>45610</v>
      </c>
      <c r="C370" t="s">
        <v>401</v>
      </c>
      <c r="D370" t="s">
        <v>131</v>
      </c>
      <c r="E370" t="s">
        <v>343</v>
      </c>
      <c r="F370">
        <v>7</v>
      </c>
      <c r="G370">
        <v>2270</v>
      </c>
      <c r="H370">
        <v>1.7</v>
      </c>
      <c r="I370">
        <v>15619.87</v>
      </c>
      <c r="J370" t="s">
        <v>140</v>
      </c>
      <c r="K370" t="s">
        <v>94</v>
      </c>
      <c r="L370">
        <v>0</v>
      </c>
      <c r="M370" t="b">
        <v>1</v>
      </c>
      <c r="N370" t="s">
        <v>2806</v>
      </c>
      <c r="O370" t="s">
        <v>2515</v>
      </c>
      <c r="P370">
        <v>51</v>
      </c>
      <c r="Q370" t="s">
        <v>2879</v>
      </c>
      <c r="R370">
        <v>1203</v>
      </c>
    </row>
    <row r="371" spans="1:18" x14ac:dyDescent="0.3">
      <c r="A371" t="s">
        <v>1309</v>
      </c>
      <c r="B371" s="45">
        <v>45608</v>
      </c>
      <c r="C371" t="s">
        <v>966</v>
      </c>
      <c r="D371" t="s">
        <v>127</v>
      </c>
      <c r="E371" t="s">
        <v>229</v>
      </c>
      <c r="F371">
        <v>6</v>
      </c>
      <c r="G371">
        <v>970</v>
      </c>
      <c r="H371">
        <v>4.7</v>
      </c>
      <c r="I371">
        <v>5546.46</v>
      </c>
      <c r="J371" t="s">
        <v>140</v>
      </c>
      <c r="K371" t="s">
        <v>133</v>
      </c>
      <c r="L371">
        <v>0</v>
      </c>
      <c r="M371" t="b">
        <v>1</v>
      </c>
      <c r="N371" t="s">
        <v>2806</v>
      </c>
      <c r="O371" t="s">
        <v>2515</v>
      </c>
      <c r="P371">
        <v>31</v>
      </c>
      <c r="Q371" t="s">
        <v>2879</v>
      </c>
      <c r="R371">
        <v>434</v>
      </c>
    </row>
    <row r="372" spans="1:18" x14ac:dyDescent="0.3">
      <c r="A372" t="s">
        <v>766</v>
      </c>
      <c r="B372" s="45">
        <v>45623</v>
      </c>
      <c r="C372" t="s">
        <v>680</v>
      </c>
      <c r="D372" t="s">
        <v>147</v>
      </c>
      <c r="E372" t="s">
        <v>86</v>
      </c>
      <c r="F372">
        <v>2</v>
      </c>
      <c r="G372">
        <v>190</v>
      </c>
      <c r="H372">
        <v>4.8</v>
      </c>
      <c r="I372">
        <v>361.76</v>
      </c>
      <c r="J372" t="s">
        <v>87</v>
      </c>
      <c r="K372" t="s">
        <v>94</v>
      </c>
      <c r="L372">
        <v>0</v>
      </c>
      <c r="M372" t="b">
        <v>1</v>
      </c>
      <c r="N372" t="s">
        <v>2839</v>
      </c>
      <c r="O372" t="s">
        <v>2507</v>
      </c>
      <c r="P372">
        <v>26</v>
      </c>
      <c r="Q372" t="s">
        <v>2855</v>
      </c>
      <c r="R372">
        <v>147</v>
      </c>
    </row>
    <row r="373" spans="1:18" x14ac:dyDescent="0.3">
      <c r="A373" t="s">
        <v>1289</v>
      </c>
      <c r="B373" s="45">
        <v>45651</v>
      </c>
      <c r="C373" t="s">
        <v>533</v>
      </c>
      <c r="D373" t="s">
        <v>200</v>
      </c>
      <c r="E373" t="s">
        <v>128</v>
      </c>
      <c r="F373">
        <v>4</v>
      </c>
      <c r="G373">
        <v>2760</v>
      </c>
      <c r="H373">
        <v>27.5</v>
      </c>
      <c r="I373">
        <v>8004</v>
      </c>
      <c r="J373" t="s">
        <v>140</v>
      </c>
      <c r="K373" t="s">
        <v>99</v>
      </c>
      <c r="L373">
        <v>0</v>
      </c>
      <c r="M373" t="b">
        <v>1</v>
      </c>
      <c r="N373" t="s">
        <v>2806</v>
      </c>
      <c r="O373" t="s">
        <v>2515</v>
      </c>
      <c r="P373">
        <v>48</v>
      </c>
      <c r="Q373" t="s">
        <v>2879</v>
      </c>
      <c r="R373">
        <v>1435</v>
      </c>
    </row>
    <row r="374" spans="1:18" x14ac:dyDescent="0.3">
      <c r="A374" t="s">
        <v>1284</v>
      </c>
      <c r="B374" s="45">
        <v>45633</v>
      </c>
      <c r="C374" t="s">
        <v>316</v>
      </c>
      <c r="D374" t="s">
        <v>173</v>
      </c>
      <c r="E374" t="s">
        <v>121</v>
      </c>
      <c r="F374">
        <v>10</v>
      </c>
      <c r="G374">
        <v>2720</v>
      </c>
      <c r="H374">
        <v>3</v>
      </c>
      <c r="I374">
        <v>26384</v>
      </c>
      <c r="J374" t="s">
        <v>93</v>
      </c>
      <c r="K374" t="s">
        <v>88</v>
      </c>
      <c r="L374">
        <v>0</v>
      </c>
      <c r="M374" t="b">
        <v>1</v>
      </c>
      <c r="N374" t="s">
        <v>2795</v>
      </c>
      <c r="O374" t="s">
        <v>2515</v>
      </c>
      <c r="P374">
        <v>60</v>
      </c>
      <c r="Q374" t="s">
        <v>2871</v>
      </c>
      <c r="R374">
        <v>1962</v>
      </c>
    </row>
    <row r="375" spans="1:18" x14ac:dyDescent="0.3">
      <c r="A375" t="s">
        <v>771</v>
      </c>
      <c r="B375" s="45">
        <v>45567</v>
      </c>
      <c r="C375" t="s">
        <v>236</v>
      </c>
      <c r="D375" t="s">
        <v>259</v>
      </c>
      <c r="E375" t="s">
        <v>188</v>
      </c>
      <c r="F375">
        <v>9</v>
      </c>
      <c r="G375">
        <v>1540</v>
      </c>
      <c r="H375">
        <v>23.3</v>
      </c>
      <c r="I375">
        <v>10630.62</v>
      </c>
      <c r="J375" t="s">
        <v>87</v>
      </c>
      <c r="K375" t="s">
        <v>133</v>
      </c>
      <c r="L375">
        <v>1</v>
      </c>
      <c r="M375" t="b">
        <v>0</v>
      </c>
      <c r="N375" t="s">
        <v>2828</v>
      </c>
      <c r="O375" t="s">
        <v>2507</v>
      </c>
      <c r="P375">
        <v>64</v>
      </c>
      <c r="Q375" t="s">
        <v>2862</v>
      </c>
      <c r="R375">
        <v>647</v>
      </c>
    </row>
    <row r="376" spans="1:18" x14ac:dyDescent="0.3">
      <c r="A376" t="s">
        <v>772</v>
      </c>
      <c r="B376" s="45">
        <v>45653</v>
      </c>
      <c r="C376" t="s">
        <v>359</v>
      </c>
      <c r="D376" t="s">
        <v>443</v>
      </c>
      <c r="E376" t="s">
        <v>111</v>
      </c>
      <c r="F376">
        <v>2</v>
      </c>
      <c r="G376">
        <v>5080</v>
      </c>
      <c r="H376">
        <v>2.5</v>
      </c>
      <c r="I376">
        <v>9906</v>
      </c>
      <c r="J376" t="s">
        <v>140</v>
      </c>
      <c r="K376" t="s">
        <v>99</v>
      </c>
      <c r="L376">
        <v>0</v>
      </c>
      <c r="M376" t="b">
        <v>1</v>
      </c>
      <c r="N376" t="s">
        <v>2817</v>
      </c>
      <c r="O376" t="s">
        <v>2515</v>
      </c>
      <c r="P376">
        <v>28</v>
      </c>
      <c r="Q376" t="s">
        <v>2879</v>
      </c>
      <c r="R376">
        <v>2459</v>
      </c>
    </row>
    <row r="377" spans="1:18" x14ac:dyDescent="0.3">
      <c r="A377" t="s">
        <v>1277</v>
      </c>
      <c r="B377" s="45">
        <v>45597</v>
      </c>
      <c r="C377" t="s">
        <v>219</v>
      </c>
      <c r="D377" t="s">
        <v>355</v>
      </c>
      <c r="E377" t="s">
        <v>273</v>
      </c>
      <c r="F377">
        <v>9</v>
      </c>
      <c r="G377">
        <v>2510</v>
      </c>
      <c r="H377">
        <v>27.4</v>
      </c>
      <c r="I377">
        <v>16400.34</v>
      </c>
      <c r="J377" t="s">
        <v>87</v>
      </c>
      <c r="K377" t="s">
        <v>99</v>
      </c>
      <c r="L377">
        <v>0</v>
      </c>
      <c r="M377" t="b">
        <v>0</v>
      </c>
      <c r="N377" t="s">
        <v>2795</v>
      </c>
      <c r="O377" t="s">
        <v>2515</v>
      </c>
      <c r="P377">
        <v>50</v>
      </c>
      <c r="Q377" t="s">
        <v>2862</v>
      </c>
      <c r="R377">
        <v>1075</v>
      </c>
    </row>
    <row r="378" spans="1:18" x14ac:dyDescent="0.3">
      <c r="A378" t="s">
        <v>1276</v>
      </c>
      <c r="B378" s="45">
        <v>45652</v>
      </c>
      <c r="C378" t="s">
        <v>872</v>
      </c>
      <c r="D378" t="s">
        <v>241</v>
      </c>
      <c r="E378" t="s">
        <v>229</v>
      </c>
      <c r="F378">
        <v>1</v>
      </c>
      <c r="G378">
        <v>6080</v>
      </c>
      <c r="H378">
        <v>22.3</v>
      </c>
      <c r="I378">
        <v>4724.16</v>
      </c>
      <c r="J378" t="s">
        <v>87</v>
      </c>
      <c r="K378" t="s">
        <v>112</v>
      </c>
      <c r="L378">
        <v>0</v>
      </c>
      <c r="M378" t="b">
        <v>1</v>
      </c>
      <c r="N378" t="s">
        <v>2828</v>
      </c>
      <c r="O378" t="s">
        <v>2509</v>
      </c>
      <c r="P378">
        <v>62</v>
      </c>
      <c r="Q378" t="s">
        <v>2879</v>
      </c>
      <c r="R378">
        <v>2617</v>
      </c>
    </row>
    <row r="379" spans="1:18" x14ac:dyDescent="0.3">
      <c r="A379" t="s">
        <v>1269</v>
      </c>
      <c r="B379" s="45">
        <v>45601</v>
      </c>
      <c r="C379" t="s">
        <v>126</v>
      </c>
      <c r="D379" t="s">
        <v>143</v>
      </c>
      <c r="E379" t="s">
        <v>188</v>
      </c>
      <c r="F379">
        <v>9</v>
      </c>
      <c r="G379">
        <v>3250</v>
      </c>
      <c r="H379">
        <v>20.5</v>
      </c>
      <c r="I379">
        <v>23253.75</v>
      </c>
      <c r="J379" t="s">
        <v>87</v>
      </c>
      <c r="K379" t="s">
        <v>88</v>
      </c>
      <c r="L379">
        <v>0</v>
      </c>
      <c r="M379" t="b">
        <v>1</v>
      </c>
      <c r="N379" t="s">
        <v>2817</v>
      </c>
      <c r="O379" t="s">
        <v>2507</v>
      </c>
      <c r="P379">
        <v>56</v>
      </c>
      <c r="Q379" t="s">
        <v>2862</v>
      </c>
      <c r="R379">
        <v>1556</v>
      </c>
    </row>
    <row r="380" spans="1:18" x14ac:dyDescent="0.3">
      <c r="A380" t="s">
        <v>1268</v>
      </c>
      <c r="B380" s="45">
        <v>45582</v>
      </c>
      <c r="C380" t="s">
        <v>567</v>
      </c>
      <c r="D380" t="s">
        <v>259</v>
      </c>
      <c r="E380" t="s">
        <v>121</v>
      </c>
      <c r="F380">
        <v>8</v>
      </c>
      <c r="G380">
        <v>1540</v>
      </c>
      <c r="H380">
        <v>9</v>
      </c>
      <c r="I380">
        <v>11211.2</v>
      </c>
      <c r="J380" t="s">
        <v>140</v>
      </c>
      <c r="K380" t="s">
        <v>117</v>
      </c>
      <c r="L380">
        <v>0</v>
      </c>
      <c r="M380" t="b">
        <v>0</v>
      </c>
      <c r="N380" t="s">
        <v>2828</v>
      </c>
      <c r="O380" t="s">
        <v>2509</v>
      </c>
      <c r="P380">
        <v>41</v>
      </c>
      <c r="Q380" t="s">
        <v>2871</v>
      </c>
      <c r="R380">
        <v>647</v>
      </c>
    </row>
    <row r="381" spans="1:18" x14ac:dyDescent="0.3">
      <c r="A381" t="s">
        <v>1259</v>
      </c>
      <c r="B381" s="45">
        <v>45599</v>
      </c>
      <c r="C381" t="s">
        <v>84</v>
      </c>
      <c r="D381" t="s">
        <v>106</v>
      </c>
      <c r="E381" t="s">
        <v>154</v>
      </c>
      <c r="F381">
        <v>3</v>
      </c>
      <c r="G381">
        <v>3160</v>
      </c>
      <c r="H381">
        <v>1.5</v>
      </c>
      <c r="I381">
        <v>9337.7999999999993</v>
      </c>
      <c r="J381" t="s">
        <v>93</v>
      </c>
      <c r="K381" t="s">
        <v>88</v>
      </c>
      <c r="L381">
        <v>0</v>
      </c>
      <c r="M381" t="b">
        <v>1</v>
      </c>
      <c r="N381" t="s">
        <v>2795</v>
      </c>
      <c r="O381" t="s">
        <v>2515</v>
      </c>
      <c r="P381">
        <v>44</v>
      </c>
      <c r="Q381" t="s">
        <v>2871</v>
      </c>
      <c r="R381">
        <v>1886</v>
      </c>
    </row>
    <row r="382" spans="1:18" x14ac:dyDescent="0.3">
      <c r="A382" t="s">
        <v>1253</v>
      </c>
      <c r="B382" s="45">
        <v>45625</v>
      </c>
      <c r="C382" t="s">
        <v>1051</v>
      </c>
      <c r="D382" t="s">
        <v>659</v>
      </c>
      <c r="E382" t="s">
        <v>303</v>
      </c>
      <c r="F382">
        <v>7</v>
      </c>
      <c r="G382">
        <v>3560</v>
      </c>
      <c r="H382">
        <v>28.7</v>
      </c>
      <c r="I382">
        <v>17767.96</v>
      </c>
      <c r="J382" t="s">
        <v>87</v>
      </c>
      <c r="K382" t="s">
        <v>112</v>
      </c>
      <c r="L382">
        <v>0</v>
      </c>
      <c r="M382" t="b">
        <v>1</v>
      </c>
      <c r="N382" t="s">
        <v>2795</v>
      </c>
      <c r="O382" t="s">
        <v>2507</v>
      </c>
      <c r="P382">
        <v>54</v>
      </c>
      <c r="Q382" t="s">
        <v>2871</v>
      </c>
      <c r="R382">
        <v>2629</v>
      </c>
    </row>
    <row r="383" spans="1:18" x14ac:dyDescent="0.3">
      <c r="A383" t="s">
        <v>1251</v>
      </c>
      <c r="B383" s="45">
        <v>45609</v>
      </c>
      <c r="C383" t="s">
        <v>362</v>
      </c>
      <c r="D383" t="s">
        <v>502</v>
      </c>
      <c r="E383" t="s">
        <v>204</v>
      </c>
      <c r="F383">
        <v>1</v>
      </c>
      <c r="G383">
        <v>1090</v>
      </c>
      <c r="H383">
        <v>20.6</v>
      </c>
      <c r="I383">
        <v>865.46</v>
      </c>
      <c r="J383" t="s">
        <v>87</v>
      </c>
      <c r="K383" t="s">
        <v>94</v>
      </c>
      <c r="L383">
        <v>0</v>
      </c>
      <c r="M383" t="b">
        <v>1</v>
      </c>
      <c r="N383" t="s">
        <v>2817</v>
      </c>
      <c r="O383" t="s">
        <v>2509</v>
      </c>
      <c r="P383">
        <v>51</v>
      </c>
      <c r="Q383" t="s">
        <v>2862</v>
      </c>
      <c r="R383">
        <v>464</v>
      </c>
    </row>
    <row r="384" spans="1:18" x14ac:dyDescent="0.3">
      <c r="A384" t="s">
        <v>1248</v>
      </c>
      <c r="B384" s="45">
        <v>45655</v>
      </c>
      <c r="C384" t="s">
        <v>613</v>
      </c>
      <c r="D384" t="s">
        <v>295</v>
      </c>
      <c r="E384" t="s">
        <v>343</v>
      </c>
      <c r="F384">
        <v>3</v>
      </c>
      <c r="G384">
        <v>2030</v>
      </c>
      <c r="H384">
        <v>18.5</v>
      </c>
      <c r="I384">
        <v>4963.3500000000004</v>
      </c>
      <c r="J384" t="s">
        <v>87</v>
      </c>
      <c r="K384" t="s">
        <v>112</v>
      </c>
      <c r="L384">
        <v>0</v>
      </c>
      <c r="M384" t="b">
        <v>1</v>
      </c>
      <c r="N384" t="s">
        <v>2817</v>
      </c>
      <c r="O384" t="s">
        <v>2507</v>
      </c>
      <c r="P384">
        <v>44</v>
      </c>
      <c r="Q384" t="s">
        <v>2879</v>
      </c>
      <c r="R384">
        <v>1143</v>
      </c>
    </row>
    <row r="385" spans="1:18" x14ac:dyDescent="0.3">
      <c r="A385" t="s">
        <v>783</v>
      </c>
      <c r="B385" s="45">
        <v>45590</v>
      </c>
      <c r="C385" t="s">
        <v>272</v>
      </c>
      <c r="D385" t="s">
        <v>259</v>
      </c>
      <c r="E385" t="s">
        <v>343</v>
      </c>
      <c r="F385">
        <v>8</v>
      </c>
      <c r="G385">
        <v>1540</v>
      </c>
      <c r="H385">
        <v>27.8</v>
      </c>
      <c r="I385">
        <v>8895.0400000000009</v>
      </c>
      <c r="J385" t="s">
        <v>87</v>
      </c>
      <c r="K385" t="s">
        <v>94</v>
      </c>
      <c r="L385">
        <v>0</v>
      </c>
      <c r="M385" t="b">
        <v>0</v>
      </c>
      <c r="N385" t="s">
        <v>2828</v>
      </c>
      <c r="O385" t="s">
        <v>2515</v>
      </c>
      <c r="P385">
        <v>55</v>
      </c>
      <c r="Q385" t="s">
        <v>2879</v>
      </c>
      <c r="R385">
        <v>647</v>
      </c>
    </row>
    <row r="386" spans="1:18" x14ac:dyDescent="0.3">
      <c r="A386" t="s">
        <v>784</v>
      </c>
      <c r="B386" s="45">
        <v>45591</v>
      </c>
      <c r="C386" t="s">
        <v>785</v>
      </c>
      <c r="D386" t="s">
        <v>131</v>
      </c>
      <c r="E386" t="s">
        <v>116</v>
      </c>
      <c r="F386">
        <v>1</v>
      </c>
      <c r="G386">
        <v>2270</v>
      </c>
      <c r="H386">
        <v>6.5</v>
      </c>
      <c r="I386">
        <v>2122.4499999999998</v>
      </c>
      <c r="J386" t="s">
        <v>93</v>
      </c>
      <c r="K386" t="s">
        <v>88</v>
      </c>
      <c r="L386">
        <v>0</v>
      </c>
      <c r="M386" t="b">
        <v>1</v>
      </c>
      <c r="N386" t="s">
        <v>2806</v>
      </c>
      <c r="O386" t="s">
        <v>2507</v>
      </c>
      <c r="P386">
        <v>31</v>
      </c>
      <c r="Q386" t="s">
        <v>2879</v>
      </c>
      <c r="R386">
        <v>1203</v>
      </c>
    </row>
    <row r="387" spans="1:18" x14ac:dyDescent="0.3">
      <c r="A387" t="s">
        <v>1246</v>
      </c>
      <c r="B387" s="45">
        <v>45645</v>
      </c>
      <c r="C387" t="s">
        <v>84</v>
      </c>
      <c r="D387" t="s">
        <v>182</v>
      </c>
      <c r="E387" t="s">
        <v>121</v>
      </c>
      <c r="F387">
        <v>2</v>
      </c>
      <c r="G387">
        <v>1010</v>
      </c>
      <c r="H387">
        <v>16.100000000000001</v>
      </c>
      <c r="I387">
        <v>1694.78</v>
      </c>
      <c r="J387" t="s">
        <v>87</v>
      </c>
      <c r="K387" t="s">
        <v>88</v>
      </c>
      <c r="L387">
        <v>0</v>
      </c>
      <c r="M387" t="b">
        <v>1</v>
      </c>
      <c r="N387" t="s">
        <v>2839</v>
      </c>
      <c r="O387" t="s">
        <v>2515</v>
      </c>
      <c r="P387">
        <v>44</v>
      </c>
      <c r="Q387" t="s">
        <v>2871</v>
      </c>
      <c r="R387">
        <v>516</v>
      </c>
    </row>
    <row r="388" spans="1:18" x14ac:dyDescent="0.3">
      <c r="A388" t="s">
        <v>788</v>
      </c>
      <c r="B388" s="45">
        <v>45608</v>
      </c>
      <c r="C388" t="s">
        <v>318</v>
      </c>
      <c r="D388" t="s">
        <v>659</v>
      </c>
      <c r="E388" t="s">
        <v>121</v>
      </c>
      <c r="F388">
        <v>3</v>
      </c>
      <c r="G388">
        <v>3560</v>
      </c>
      <c r="H388">
        <v>0.4</v>
      </c>
      <c r="I388">
        <v>10637.28</v>
      </c>
      <c r="J388" t="s">
        <v>144</v>
      </c>
      <c r="K388" t="s">
        <v>94</v>
      </c>
      <c r="L388">
        <v>0</v>
      </c>
      <c r="M388" t="b">
        <v>1</v>
      </c>
      <c r="N388" t="s">
        <v>2795</v>
      </c>
      <c r="O388" t="s">
        <v>2515</v>
      </c>
      <c r="P388">
        <v>57</v>
      </c>
      <c r="Q388" t="s">
        <v>2871</v>
      </c>
      <c r="R388">
        <v>2629</v>
      </c>
    </row>
    <row r="389" spans="1:18" x14ac:dyDescent="0.3">
      <c r="A389" t="s">
        <v>1243</v>
      </c>
      <c r="B389" s="45">
        <v>45652</v>
      </c>
      <c r="C389" t="s">
        <v>163</v>
      </c>
      <c r="D389" t="s">
        <v>138</v>
      </c>
      <c r="E389" t="s">
        <v>303</v>
      </c>
      <c r="F389">
        <v>1</v>
      </c>
      <c r="G389">
        <v>2600</v>
      </c>
      <c r="H389">
        <v>2.2000000000000002</v>
      </c>
      <c r="I389">
        <v>2542.8000000000002</v>
      </c>
      <c r="J389" t="s">
        <v>87</v>
      </c>
      <c r="K389" t="s">
        <v>94</v>
      </c>
      <c r="L389">
        <v>0</v>
      </c>
      <c r="M389" t="b">
        <v>1</v>
      </c>
      <c r="N389" t="s">
        <v>2784</v>
      </c>
      <c r="O389" t="s">
        <v>2507</v>
      </c>
      <c r="P389">
        <v>49</v>
      </c>
      <c r="Q389" t="s">
        <v>2871</v>
      </c>
      <c r="R389">
        <v>1052</v>
      </c>
    </row>
    <row r="390" spans="1:18" x14ac:dyDescent="0.3">
      <c r="A390" t="s">
        <v>1232</v>
      </c>
      <c r="B390" s="45">
        <v>45634</v>
      </c>
      <c r="C390" t="s">
        <v>172</v>
      </c>
      <c r="D390" t="s">
        <v>295</v>
      </c>
      <c r="E390" t="s">
        <v>98</v>
      </c>
      <c r="F390">
        <v>2</v>
      </c>
      <c r="G390">
        <v>2030</v>
      </c>
      <c r="H390">
        <v>12.2</v>
      </c>
      <c r="I390">
        <v>3564.68</v>
      </c>
      <c r="J390" t="s">
        <v>87</v>
      </c>
      <c r="K390" t="s">
        <v>88</v>
      </c>
      <c r="L390">
        <v>0</v>
      </c>
      <c r="M390" t="b">
        <v>1</v>
      </c>
      <c r="N390" t="s">
        <v>2817</v>
      </c>
      <c r="O390" t="s">
        <v>2507</v>
      </c>
      <c r="P390">
        <v>50</v>
      </c>
      <c r="Q390" t="s">
        <v>2862</v>
      </c>
      <c r="R390">
        <v>1143</v>
      </c>
    </row>
    <row r="391" spans="1:18" x14ac:dyDescent="0.3">
      <c r="A391" t="s">
        <v>791</v>
      </c>
      <c r="B391" s="45">
        <v>45584</v>
      </c>
      <c r="C391" t="s">
        <v>676</v>
      </c>
      <c r="D391" t="s">
        <v>138</v>
      </c>
      <c r="E391" t="s">
        <v>98</v>
      </c>
      <c r="F391">
        <v>8</v>
      </c>
      <c r="G391">
        <v>2600</v>
      </c>
      <c r="H391">
        <v>26.7</v>
      </c>
      <c r="I391">
        <v>15246.4</v>
      </c>
      <c r="J391" t="s">
        <v>87</v>
      </c>
      <c r="K391" t="s">
        <v>88</v>
      </c>
      <c r="L391">
        <v>0</v>
      </c>
      <c r="M391" t="b">
        <v>1</v>
      </c>
      <c r="N391" t="s">
        <v>2784</v>
      </c>
      <c r="O391" t="s">
        <v>2515</v>
      </c>
      <c r="P391">
        <v>35</v>
      </c>
      <c r="Q391" t="s">
        <v>2862</v>
      </c>
      <c r="R391">
        <v>1052</v>
      </c>
    </row>
    <row r="392" spans="1:18" x14ac:dyDescent="0.3">
      <c r="A392" t="s">
        <v>1230</v>
      </c>
      <c r="B392" s="45">
        <v>45579</v>
      </c>
      <c r="C392" t="s">
        <v>1231</v>
      </c>
      <c r="D392" t="s">
        <v>237</v>
      </c>
      <c r="E392" t="s">
        <v>128</v>
      </c>
      <c r="F392">
        <v>9</v>
      </c>
      <c r="G392">
        <v>3640</v>
      </c>
      <c r="H392">
        <v>13.1</v>
      </c>
      <c r="I392">
        <v>28468.44</v>
      </c>
      <c r="J392" t="s">
        <v>93</v>
      </c>
      <c r="K392" t="s">
        <v>88</v>
      </c>
      <c r="L392">
        <v>0</v>
      </c>
      <c r="M392" t="b">
        <v>1</v>
      </c>
      <c r="N392" t="s">
        <v>2795</v>
      </c>
      <c r="O392" t="s">
        <v>2507</v>
      </c>
      <c r="P392">
        <v>42</v>
      </c>
      <c r="Q392" t="s">
        <v>2879</v>
      </c>
      <c r="R392">
        <v>2611</v>
      </c>
    </row>
    <row r="393" spans="1:18" x14ac:dyDescent="0.3">
      <c r="A393" t="s">
        <v>1229</v>
      </c>
      <c r="B393" s="45">
        <v>45611</v>
      </c>
      <c r="C393" t="s">
        <v>655</v>
      </c>
      <c r="D393" t="s">
        <v>237</v>
      </c>
      <c r="E393" t="s">
        <v>325</v>
      </c>
      <c r="F393">
        <v>4</v>
      </c>
      <c r="G393">
        <v>3640</v>
      </c>
      <c r="H393">
        <v>9.3000000000000007</v>
      </c>
      <c r="I393">
        <v>13205.92</v>
      </c>
      <c r="J393" t="s">
        <v>140</v>
      </c>
      <c r="K393" t="s">
        <v>133</v>
      </c>
      <c r="L393">
        <v>0</v>
      </c>
      <c r="M393" t="b">
        <v>1</v>
      </c>
      <c r="N393" t="s">
        <v>2795</v>
      </c>
      <c r="O393" t="s">
        <v>2507</v>
      </c>
      <c r="P393">
        <v>27</v>
      </c>
      <c r="Q393" t="s">
        <v>2862</v>
      </c>
      <c r="R393">
        <v>2611</v>
      </c>
    </row>
    <row r="394" spans="1:18" x14ac:dyDescent="0.3">
      <c r="A394" t="s">
        <v>1228</v>
      </c>
      <c r="B394" s="45">
        <v>45597</v>
      </c>
      <c r="C394" t="s">
        <v>397</v>
      </c>
      <c r="D394" t="s">
        <v>179</v>
      </c>
      <c r="E394" t="s">
        <v>297</v>
      </c>
      <c r="F394">
        <v>7</v>
      </c>
      <c r="G394">
        <v>3350</v>
      </c>
      <c r="H394">
        <v>23.7</v>
      </c>
      <c r="I394">
        <v>17892.349999999999</v>
      </c>
      <c r="J394" t="s">
        <v>87</v>
      </c>
      <c r="K394" t="s">
        <v>99</v>
      </c>
      <c r="L394">
        <v>0</v>
      </c>
      <c r="M394" t="b">
        <v>1</v>
      </c>
      <c r="N394" t="s">
        <v>2828</v>
      </c>
      <c r="O394" t="s">
        <v>2507</v>
      </c>
      <c r="P394">
        <v>30</v>
      </c>
      <c r="Q394" t="s">
        <v>2855</v>
      </c>
      <c r="R394">
        <v>1728</v>
      </c>
    </row>
    <row r="395" spans="1:18" x14ac:dyDescent="0.3">
      <c r="A395" t="s">
        <v>1220</v>
      </c>
      <c r="B395" s="45">
        <v>45600</v>
      </c>
      <c r="C395" t="s">
        <v>599</v>
      </c>
      <c r="D395" t="s">
        <v>110</v>
      </c>
      <c r="E395" t="s">
        <v>92</v>
      </c>
      <c r="F395">
        <v>3</v>
      </c>
      <c r="G395">
        <v>370</v>
      </c>
      <c r="H395">
        <v>7.7</v>
      </c>
      <c r="I395">
        <v>1024.53</v>
      </c>
      <c r="J395" t="s">
        <v>87</v>
      </c>
      <c r="K395" t="s">
        <v>117</v>
      </c>
      <c r="L395">
        <v>0</v>
      </c>
      <c r="M395" t="b">
        <v>1</v>
      </c>
      <c r="N395" t="s">
        <v>2817</v>
      </c>
      <c r="O395" t="s">
        <v>2509</v>
      </c>
      <c r="P395">
        <v>26</v>
      </c>
      <c r="Q395" t="s">
        <v>2855</v>
      </c>
      <c r="R395">
        <v>288</v>
      </c>
    </row>
    <row r="396" spans="1:18" x14ac:dyDescent="0.3">
      <c r="A396" t="s">
        <v>798</v>
      </c>
      <c r="B396" s="45">
        <v>45655</v>
      </c>
      <c r="C396" t="s">
        <v>799</v>
      </c>
      <c r="D396" t="s">
        <v>85</v>
      </c>
      <c r="E396" t="s">
        <v>201</v>
      </c>
      <c r="F396">
        <v>10</v>
      </c>
      <c r="G396">
        <v>3620</v>
      </c>
      <c r="H396">
        <v>22</v>
      </c>
      <c r="I396">
        <v>28236</v>
      </c>
      <c r="J396" t="s">
        <v>87</v>
      </c>
      <c r="K396" t="s">
        <v>88</v>
      </c>
      <c r="L396">
        <v>0</v>
      </c>
      <c r="M396" t="b">
        <v>1</v>
      </c>
      <c r="N396" t="s">
        <v>2795</v>
      </c>
      <c r="O396" t="e">
        <v>#N/A</v>
      </c>
      <c r="P396" t="e">
        <v>#N/A</v>
      </c>
      <c r="Q396" t="s">
        <v>2879</v>
      </c>
      <c r="R396">
        <v>2509</v>
      </c>
    </row>
    <row r="397" spans="1:18" x14ac:dyDescent="0.3">
      <c r="A397" t="s">
        <v>800</v>
      </c>
      <c r="B397" s="45">
        <v>45629</v>
      </c>
      <c r="C397" t="s">
        <v>233</v>
      </c>
      <c r="D397" t="s">
        <v>97</v>
      </c>
      <c r="E397" t="s">
        <v>201</v>
      </c>
      <c r="F397">
        <v>2</v>
      </c>
      <c r="G397">
        <v>470</v>
      </c>
      <c r="H397">
        <v>26.5</v>
      </c>
      <c r="I397">
        <v>690.9</v>
      </c>
      <c r="J397" t="s">
        <v>93</v>
      </c>
      <c r="K397" t="s">
        <v>88</v>
      </c>
      <c r="L397">
        <v>0</v>
      </c>
      <c r="M397" t="b">
        <v>0</v>
      </c>
      <c r="N397" t="s">
        <v>2839</v>
      </c>
      <c r="O397" t="s">
        <v>2515</v>
      </c>
      <c r="P397">
        <v>29</v>
      </c>
      <c r="Q397" t="s">
        <v>2879</v>
      </c>
      <c r="R397">
        <v>302</v>
      </c>
    </row>
    <row r="398" spans="1:18" x14ac:dyDescent="0.3">
      <c r="A398" t="s">
        <v>1215</v>
      </c>
      <c r="B398" s="45">
        <v>45568</v>
      </c>
      <c r="C398" t="s">
        <v>301</v>
      </c>
      <c r="D398" t="s">
        <v>203</v>
      </c>
      <c r="E398" t="s">
        <v>103</v>
      </c>
      <c r="F398">
        <v>9</v>
      </c>
      <c r="G398">
        <v>660</v>
      </c>
      <c r="H398">
        <v>19.8</v>
      </c>
      <c r="I398">
        <v>4763.88</v>
      </c>
      <c r="J398" t="s">
        <v>87</v>
      </c>
      <c r="K398" t="s">
        <v>94</v>
      </c>
      <c r="L398">
        <v>0</v>
      </c>
      <c r="M398" t="b">
        <v>1</v>
      </c>
      <c r="N398" t="s">
        <v>2817</v>
      </c>
      <c r="O398" t="s">
        <v>2507</v>
      </c>
      <c r="P398">
        <v>41</v>
      </c>
      <c r="Q398" t="s">
        <v>2855</v>
      </c>
      <c r="R398">
        <v>329</v>
      </c>
    </row>
    <row r="399" spans="1:18" x14ac:dyDescent="0.3">
      <c r="A399" t="s">
        <v>1213</v>
      </c>
      <c r="B399" s="45">
        <v>45587</v>
      </c>
      <c r="C399" t="s">
        <v>539</v>
      </c>
      <c r="D399" t="s">
        <v>191</v>
      </c>
      <c r="E399" t="s">
        <v>128</v>
      </c>
      <c r="F399">
        <v>5</v>
      </c>
      <c r="G399">
        <v>5100</v>
      </c>
      <c r="H399">
        <v>2.8</v>
      </c>
      <c r="I399">
        <v>24786</v>
      </c>
      <c r="J399" t="s">
        <v>87</v>
      </c>
      <c r="K399" t="s">
        <v>133</v>
      </c>
      <c r="L399">
        <v>0</v>
      </c>
      <c r="M399" t="b">
        <v>1</v>
      </c>
      <c r="N399" t="s">
        <v>2828</v>
      </c>
      <c r="O399" t="s">
        <v>2507</v>
      </c>
      <c r="P399">
        <v>38</v>
      </c>
      <c r="Q399" t="s">
        <v>2879</v>
      </c>
      <c r="R399">
        <v>2237</v>
      </c>
    </row>
    <row r="400" spans="1:18" x14ac:dyDescent="0.3">
      <c r="A400" t="s">
        <v>1211</v>
      </c>
      <c r="B400" s="45">
        <v>45589</v>
      </c>
      <c r="C400" t="s">
        <v>328</v>
      </c>
      <c r="D400" t="s">
        <v>338</v>
      </c>
      <c r="E400" t="s">
        <v>128</v>
      </c>
      <c r="F400">
        <v>5</v>
      </c>
      <c r="G400">
        <v>2210</v>
      </c>
      <c r="H400">
        <v>12.1</v>
      </c>
      <c r="I400">
        <v>9712.9500000000007</v>
      </c>
      <c r="J400" t="s">
        <v>87</v>
      </c>
      <c r="K400" t="s">
        <v>94</v>
      </c>
      <c r="L400">
        <v>0</v>
      </c>
      <c r="M400" t="b">
        <v>1</v>
      </c>
      <c r="N400" t="s">
        <v>2806</v>
      </c>
      <c r="O400" t="s">
        <v>2507</v>
      </c>
      <c r="P400">
        <v>28</v>
      </c>
      <c r="Q400" t="s">
        <v>2879</v>
      </c>
      <c r="R400">
        <v>1010</v>
      </c>
    </row>
    <row r="401" spans="1:18" x14ac:dyDescent="0.3">
      <c r="A401" t="s">
        <v>805</v>
      </c>
      <c r="B401" s="45">
        <v>45573</v>
      </c>
      <c r="C401" t="s">
        <v>512</v>
      </c>
      <c r="D401" t="s">
        <v>106</v>
      </c>
      <c r="E401" t="s">
        <v>116</v>
      </c>
      <c r="F401">
        <v>9</v>
      </c>
      <c r="G401">
        <v>3160</v>
      </c>
      <c r="H401">
        <v>10.199999999999999</v>
      </c>
      <c r="I401">
        <v>25539.119999999999</v>
      </c>
      <c r="J401" t="s">
        <v>87</v>
      </c>
      <c r="K401" t="s">
        <v>133</v>
      </c>
      <c r="L401">
        <v>0</v>
      </c>
      <c r="M401" t="b">
        <v>1</v>
      </c>
      <c r="N401" t="s">
        <v>2795</v>
      </c>
      <c r="O401" t="s">
        <v>2507</v>
      </c>
      <c r="P401">
        <v>61</v>
      </c>
      <c r="Q401" t="s">
        <v>2879</v>
      </c>
      <c r="R401">
        <v>1886</v>
      </c>
    </row>
    <row r="402" spans="1:18" x14ac:dyDescent="0.3">
      <c r="A402" t="s">
        <v>1210</v>
      </c>
      <c r="B402" s="45">
        <v>45644</v>
      </c>
      <c r="C402" t="s">
        <v>807</v>
      </c>
      <c r="D402" t="s">
        <v>179</v>
      </c>
      <c r="E402" t="s">
        <v>252</v>
      </c>
      <c r="F402">
        <v>7</v>
      </c>
      <c r="G402">
        <v>3350</v>
      </c>
      <c r="H402">
        <v>10.6</v>
      </c>
      <c r="I402">
        <v>20964.3</v>
      </c>
      <c r="J402" t="s">
        <v>93</v>
      </c>
      <c r="K402" t="s">
        <v>88</v>
      </c>
      <c r="L402">
        <v>0</v>
      </c>
      <c r="M402" t="b">
        <v>1</v>
      </c>
      <c r="N402" t="s">
        <v>2828</v>
      </c>
      <c r="O402" t="s">
        <v>2507</v>
      </c>
      <c r="P402">
        <v>36</v>
      </c>
      <c r="Q402" t="s">
        <v>2862</v>
      </c>
      <c r="R402">
        <v>1728</v>
      </c>
    </row>
    <row r="403" spans="1:18" x14ac:dyDescent="0.3">
      <c r="A403" t="s">
        <v>808</v>
      </c>
      <c r="B403" s="45">
        <v>45620</v>
      </c>
      <c r="C403" t="s">
        <v>744</v>
      </c>
      <c r="D403" t="s">
        <v>200</v>
      </c>
      <c r="E403" t="s">
        <v>325</v>
      </c>
      <c r="F403">
        <v>6</v>
      </c>
      <c r="G403">
        <v>2760</v>
      </c>
      <c r="H403">
        <v>21.3</v>
      </c>
      <c r="I403">
        <v>13032.72</v>
      </c>
      <c r="J403" t="s">
        <v>87</v>
      </c>
      <c r="K403" t="s">
        <v>133</v>
      </c>
      <c r="L403">
        <v>0</v>
      </c>
      <c r="M403" t="b">
        <v>1</v>
      </c>
      <c r="N403" t="s">
        <v>2806</v>
      </c>
      <c r="O403" t="s">
        <v>2507</v>
      </c>
      <c r="P403">
        <v>64</v>
      </c>
      <c r="Q403" t="s">
        <v>2862</v>
      </c>
      <c r="R403">
        <v>1435</v>
      </c>
    </row>
    <row r="404" spans="1:18" x14ac:dyDescent="0.3">
      <c r="A404" t="s">
        <v>1208</v>
      </c>
      <c r="B404" s="45">
        <v>45648</v>
      </c>
      <c r="C404" t="s">
        <v>84</v>
      </c>
      <c r="D404" t="s">
        <v>270</v>
      </c>
      <c r="E404" t="s">
        <v>121</v>
      </c>
      <c r="F404">
        <v>4</v>
      </c>
      <c r="G404">
        <v>4610</v>
      </c>
      <c r="H404">
        <v>24</v>
      </c>
      <c r="I404">
        <v>14014.4</v>
      </c>
      <c r="J404" t="s">
        <v>87</v>
      </c>
      <c r="K404" t="s">
        <v>88</v>
      </c>
      <c r="L404">
        <v>0</v>
      </c>
      <c r="M404" t="b">
        <v>1</v>
      </c>
      <c r="N404" t="s">
        <v>2817</v>
      </c>
      <c r="O404" t="s">
        <v>2515</v>
      </c>
      <c r="P404">
        <v>44</v>
      </c>
      <c r="Q404" t="s">
        <v>2871</v>
      </c>
      <c r="R404">
        <v>1850</v>
      </c>
    </row>
    <row r="405" spans="1:18" x14ac:dyDescent="0.3">
      <c r="A405" t="s">
        <v>811</v>
      </c>
      <c r="B405" s="45">
        <v>45622</v>
      </c>
      <c r="C405" t="s">
        <v>301</v>
      </c>
      <c r="D405" t="s">
        <v>184</v>
      </c>
      <c r="E405" t="s">
        <v>128</v>
      </c>
      <c r="F405">
        <v>5</v>
      </c>
      <c r="G405">
        <v>4880</v>
      </c>
      <c r="H405">
        <v>8.5</v>
      </c>
      <c r="I405">
        <v>22326</v>
      </c>
      <c r="J405" t="s">
        <v>87</v>
      </c>
      <c r="K405" t="s">
        <v>94</v>
      </c>
      <c r="L405">
        <v>0</v>
      </c>
      <c r="M405" t="b">
        <v>1</v>
      </c>
      <c r="N405" t="s">
        <v>2828</v>
      </c>
      <c r="O405" t="s">
        <v>2507</v>
      </c>
      <c r="P405">
        <v>41</v>
      </c>
      <c r="Q405" t="s">
        <v>2879</v>
      </c>
      <c r="R405">
        <v>2768</v>
      </c>
    </row>
    <row r="406" spans="1:18" x14ac:dyDescent="0.3">
      <c r="A406" t="s">
        <v>812</v>
      </c>
      <c r="B406" s="45">
        <v>45596</v>
      </c>
      <c r="C406" t="s">
        <v>231</v>
      </c>
      <c r="D406" t="s">
        <v>264</v>
      </c>
      <c r="E406" t="s">
        <v>285</v>
      </c>
      <c r="F406">
        <v>7</v>
      </c>
      <c r="G406">
        <v>4070</v>
      </c>
      <c r="H406">
        <v>28</v>
      </c>
      <c r="I406">
        <v>20512.8</v>
      </c>
      <c r="J406" t="s">
        <v>87</v>
      </c>
      <c r="K406" t="s">
        <v>117</v>
      </c>
      <c r="L406">
        <v>0</v>
      </c>
      <c r="M406" t="b">
        <v>1</v>
      </c>
      <c r="N406" t="s">
        <v>2806</v>
      </c>
      <c r="O406" t="s">
        <v>2515</v>
      </c>
      <c r="P406">
        <v>64</v>
      </c>
      <c r="Q406" t="s">
        <v>2871</v>
      </c>
      <c r="R406">
        <v>2027</v>
      </c>
    </row>
    <row r="407" spans="1:18" x14ac:dyDescent="0.3">
      <c r="A407" t="s">
        <v>1202</v>
      </c>
      <c r="B407" s="45">
        <v>45593</v>
      </c>
      <c r="C407" t="s">
        <v>512</v>
      </c>
      <c r="D407" t="s">
        <v>270</v>
      </c>
      <c r="E407" t="s">
        <v>116</v>
      </c>
      <c r="F407">
        <v>5</v>
      </c>
      <c r="G407">
        <v>4610</v>
      </c>
      <c r="H407">
        <v>3.6</v>
      </c>
      <c r="I407">
        <v>22220.2</v>
      </c>
      <c r="J407" t="s">
        <v>87</v>
      </c>
      <c r="K407" t="s">
        <v>133</v>
      </c>
      <c r="L407">
        <v>0</v>
      </c>
      <c r="M407" t="b">
        <v>1</v>
      </c>
      <c r="N407" t="s">
        <v>2817</v>
      </c>
      <c r="O407" t="s">
        <v>2507</v>
      </c>
      <c r="P407">
        <v>61</v>
      </c>
      <c r="Q407" t="s">
        <v>2879</v>
      </c>
      <c r="R407">
        <v>1850</v>
      </c>
    </row>
    <row r="408" spans="1:18" x14ac:dyDescent="0.3">
      <c r="A408" t="s">
        <v>1201</v>
      </c>
      <c r="B408" s="45">
        <v>45584</v>
      </c>
      <c r="C408" t="s">
        <v>662</v>
      </c>
      <c r="D408" t="s">
        <v>364</v>
      </c>
      <c r="E408" t="s">
        <v>188</v>
      </c>
      <c r="F408">
        <v>7</v>
      </c>
      <c r="G408">
        <v>5330</v>
      </c>
      <c r="H408">
        <v>19.7</v>
      </c>
      <c r="I408">
        <v>29959.93</v>
      </c>
      <c r="J408" t="s">
        <v>140</v>
      </c>
      <c r="K408" t="s">
        <v>94</v>
      </c>
      <c r="L408">
        <v>0</v>
      </c>
      <c r="M408" t="b">
        <v>1</v>
      </c>
      <c r="N408" t="s">
        <v>2784</v>
      </c>
      <c r="O408" t="s">
        <v>2509</v>
      </c>
      <c r="P408">
        <v>41</v>
      </c>
      <c r="Q408" t="s">
        <v>2862</v>
      </c>
      <c r="R408">
        <v>2405</v>
      </c>
    </row>
    <row r="409" spans="1:18" x14ac:dyDescent="0.3">
      <c r="A409" t="s">
        <v>1192</v>
      </c>
      <c r="B409" s="45">
        <v>45635</v>
      </c>
      <c r="C409" t="s">
        <v>1193</v>
      </c>
      <c r="D409" t="s">
        <v>279</v>
      </c>
      <c r="E409" t="s">
        <v>170</v>
      </c>
      <c r="F409">
        <v>3</v>
      </c>
      <c r="G409">
        <v>2660</v>
      </c>
      <c r="H409">
        <v>28.5</v>
      </c>
      <c r="I409">
        <v>5705.7</v>
      </c>
      <c r="J409" t="s">
        <v>93</v>
      </c>
      <c r="K409" t="s">
        <v>133</v>
      </c>
      <c r="L409">
        <v>0</v>
      </c>
      <c r="M409" t="b">
        <v>0</v>
      </c>
      <c r="N409" t="s">
        <v>2784</v>
      </c>
      <c r="O409" t="s">
        <v>2515</v>
      </c>
      <c r="P409">
        <v>25</v>
      </c>
      <c r="Q409" t="s">
        <v>2879</v>
      </c>
      <c r="R409">
        <v>1259</v>
      </c>
    </row>
    <row r="410" spans="1:18" x14ac:dyDescent="0.3">
      <c r="A410" t="s">
        <v>817</v>
      </c>
      <c r="B410" s="45">
        <v>45591</v>
      </c>
      <c r="C410" t="s">
        <v>291</v>
      </c>
      <c r="D410" t="s">
        <v>267</v>
      </c>
      <c r="E410" t="s">
        <v>86</v>
      </c>
      <c r="F410">
        <v>7</v>
      </c>
      <c r="G410">
        <v>1220</v>
      </c>
      <c r="H410">
        <v>23.5</v>
      </c>
      <c r="I410">
        <v>6533.1</v>
      </c>
      <c r="J410" t="s">
        <v>144</v>
      </c>
      <c r="K410" t="s">
        <v>99</v>
      </c>
      <c r="L410">
        <v>0</v>
      </c>
      <c r="M410" t="b">
        <v>1</v>
      </c>
      <c r="N410" t="s">
        <v>2784</v>
      </c>
      <c r="O410" t="s">
        <v>2507</v>
      </c>
      <c r="P410">
        <v>35</v>
      </c>
      <c r="Q410" t="s">
        <v>2855</v>
      </c>
      <c r="R410">
        <v>517</v>
      </c>
    </row>
    <row r="411" spans="1:18" x14ac:dyDescent="0.3">
      <c r="A411" t="s">
        <v>818</v>
      </c>
      <c r="B411" s="45">
        <v>45584</v>
      </c>
      <c r="C411" t="s">
        <v>434</v>
      </c>
      <c r="D411" t="s">
        <v>245</v>
      </c>
      <c r="E411" t="s">
        <v>201</v>
      </c>
      <c r="F411">
        <v>1</v>
      </c>
      <c r="G411">
        <v>2270</v>
      </c>
      <c r="H411">
        <v>5.8</v>
      </c>
      <c r="I411">
        <v>2138.34</v>
      </c>
      <c r="J411" t="s">
        <v>140</v>
      </c>
      <c r="K411" t="s">
        <v>99</v>
      </c>
      <c r="L411">
        <v>0</v>
      </c>
      <c r="M411" t="b">
        <v>1</v>
      </c>
      <c r="N411" t="s">
        <v>2806</v>
      </c>
      <c r="O411" t="s">
        <v>2509</v>
      </c>
      <c r="P411">
        <v>31</v>
      </c>
      <c r="Q411" t="s">
        <v>2879</v>
      </c>
      <c r="R411">
        <v>1412</v>
      </c>
    </row>
    <row r="412" spans="1:18" x14ac:dyDescent="0.3">
      <c r="A412" t="s">
        <v>819</v>
      </c>
      <c r="B412" s="45">
        <v>45581</v>
      </c>
      <c r="C412" t="s">
        <v>617</v>
      </c>
      <c r="D412" t="s">
        <v>203</v>
      </c>
      <c r="E412" t="s">
        <v>297</v>
      </c>
      <c r="F412">
        <v>2</v>
      </c>
      <c r="G412">
        <v>660</v>
      </c>
      <c r="H412">
        <v>2.2999999999999998</v>
      </c>
      <c r="I412">
        <v>1289.6400000000001</v>
      </c>
      <c r="J412" t="s">
        <v>87</v>
      </c>
      <c r="K412" t="s">
        <v>112</v>
      </c>
      <c r="L412">
        <v>0</v>
      </c>
      <c r="M412" t="b">
        <v>1</v>
      </c>
      <c r="N412" t="s">
        <v>2817</v>
      </c>
      <c r="O412" t="s">
        <v>2515</v>
      </c>
      <c r="P412">
        <v>65</v>
      </c>
      <c r="Q412" t="s">
        <v>2855</v>
      </c>
      <c r="R412">
        <v>329</v>
      </c>
    </row>
    <row r="413" spans="1:18" x14ac:dyDescent="0.3">
      <c r="A413" t="s">
        <v>1185</v>
      </c>
      <c r="B413" s="45">
        <v>45611</v>
      </c>
      <c r="C413" t="s">
        <v>223</v>
      </c>
      <c r="D413" t="s">
        <v>173</v>
      </c>
      <c r="E413" t="s">
        <v>107</v>
      </c>
      <c r="F413">
        <v>5</v>
      </c>
      <c r="G413">
        <v>2720</v>
      </c>
      <c r="H413">
        <v>17.3</v>
      </c>
      <c r="I413">
        <v>11247.2</v>
      </c>
      <c r="J413" t="s">
        <v>140</v>
      </c>
      <c r="K413" t="s">
        <v>99</v>
      </c>
      <c r="L413">
        <v>0</v>
      </c>
      <c r="M413" t="b">
        <v>1</v>
      </c>
      <c r="N413" t="s">
        <v>2795</v>
      </c>
      <c r="O413" t="s">
        <v>2507</v>
      </c>
      <c r="P413">
        <v>53</v>
      </c>
      <c r="Q413" t="s">
        <v>2855</v>
      </c>
      <c r="R413">
        <v>1962</v>
      </c>
    </row>
    <row r="414" spans="1:18" x14ac:dyDescent="0.3">
      <c r="A414" t="s">
        <v>1183</v>
      </c>
      <c r="B414" s="45">
        <v>45616</v>
      </c>
      <c r="C414" t="s">
        <v>841</v>
      </c>
      <c r="D414" t="s">
        <v>360</v>
      </c>
      <c r="E414" t="s">
        <v>132</v>
      </c>
      <c r="F414">
        <v>3</v>
      </c>
      <c r="G414">
        <v>5410</v>
      </c>
      <c r="H414">
        <v>15.5</v>
      </c>
      <c r="I414">
        <v>13714.35</v>
      </c>
      <c r="J414" t="s">
        <v>87</v>
      </c>
      <c r="K414" t="s">
        <v>117</v>
      </c>
      <c r="L414">
        <v>0</v>
      </c>
      <c r="M414" t="b">
        <v>1</v>
      </c>
      <c r="N414" t="s">
        <v>2839</v>
      </c>
      <c r="O414" t="s">
        <v>2509</v>
      </c>
      <c r="P414">
        <v>41</v>
      </c>
      <c r="Q414" t="s">
        <v>2862</v>
      </c>
      <c r="R414">
        <v>2265</v>
      </c>
    </row>
    <row r="415" spans="1:18" x14ac:dyDescent="0.3">
      <c r="A415" t="s">
        <v>1181</v>
      </c>
      <c r="B415" s="45">
        <v>45592</v>
      </c>
      <c r="C415" t="s">
        <v>369</v>
      </c>
      <c r="D415" t="s">
        <v>115</v>
      </c>
      <c r="E415" t="s">
        <v>139</v>
      </c>
      <c r="F415">
        <v>9</v>
      </c>
      <c r="G415">
        <v>960</v>
      </c>
      <c r="H415">
        <v>1.9</v>
      </c>
      <c r="I415">
        <v>8475.84</v>
      </c>
      <c r="J415" t="s">
        <v>87</v>
      </c>
      <c r="K415" t="s">
        <v>94</v>
      </c>
      <c r="L415">
        <v>0</v>
      </c>
      <c r="M415" t="b">
        <v>1</v>
      </c>
      <c r="N415" t="s">
        <v>2839</v>
      </c>
      <c r="O415" t="s">
        <v>2515</v>
      </c>
      <c r="P415">
        <v>62</v>
      </c>
      <c r="Q415" t="s">
        <v>2855</v>
      </c>
      <c r="R415">
        <v>705</v>
      </c>
    </row>
    <row r="416" spans="1:18" x14ac:dyDescent="0.3">
      <c r="A416" t="s">
        <v>1176</v>
      </c>
      <c r="B416" s="45">
        <v>45600</v>
      </c>
      <c r="C416" t="s">
        <v>524</v>
      </c>
      <c r="D416" t="s">
        <v>279</v>
      </c>
      <c r="E416" t="s">
        <v>103</v>
      </c>
      <c r="F416">
        <v>4</v>
      </c>
      <c r="G416">
        <v>2660</v>
      </c>
      <c r="H416">
        <v>19.100000000000001</v>
      </c>
      <c r="I416">
        <v>8607.76</v>
      </c>
      <c r="J416" t="s">
        <v>144</v>
      </c>
      <c r="K416" t="s">
        <v>112</v>
      </c>
      <c r="L416">
        <v>0</v>
      </c>
      <c r="M416" t="b">
        <v>0</v>
      </c>
      <c r="N416" t="s">
        <v>2784</v>
      </c>
      <c r="O416" t="s">
        <v>2509</v>
      </c>
      <c r="P416">
        <v>55</v>
      </c>
      <c r="Q416" t="s">
        <v>2855</v>
      </c>
      <c r="R416">
        <v>1259</v>
      </c>
    </row>
    <row r="417" spans="1:18" x14ac:dyDescent="0.3">
      <c r="A417" t="s">
        <v>1173</v>
      </c>
      <c r="B417" s="45">
        <v>45610</v>
      </c>
      <c r="C417" t="s">
        <v>883</v>
      </c>
      <c r="D417" t="s">
        <v>360</v>
      </c>
      <c r="E417" t="s">
        <v>86</v>
      </c>
      <c r="F417">
        <v>2</v>
      </c>
      <c r="G417">
        <v>5410</v>
      </c>
      <c r="H417">
        <v>0.9</v>
      </c>
      <c r="I417">
        <v>10722.62</v>
      </c>
      <c r="J417" t="s">
        <v>93</v>
      </c>
      <c r="K417" t="s">
        <v>133</v>
      </c>
      <c r="L417">
        <v>0</v>
      </c>
      <c r="M417" t="b">
        <v>1</v>
      </c>
      <c r="N417" t="s">
        <v>2839</v>
      </c>
      <c r="O417" t="s">
        <v>2515</v>
      </c>
      <c r="P417">
        <v>28</v>
      </c>
      <c r="Q417" t="s">
        <v>2855</v>
      </c>
      <c r="R417">
        <v>2265</v>
      </c>
    </row>
    <row r="418" spans="1:18" x14ac:dyDescent="0.3">
      <c r="A418" t="s">
        <v>826</v>
      </c>
      <c r="B418" s="45">
        <v>45644</v>
      </c>
      <c r="C418" t="s">
        <v>530</v>
      </c>
      <c r="D418" t="s">
        <v>461</v>
      </c>
      <c r="E418" t="s">
        <v>107</v>
      </c>
      <c r="F418">
        <v>5</v>
      </c>
      <c r="G418">
        <v>3780</v>
      </c>
      <c r="H418">
        <v>15.2</v>
      </c>
      <c r="I418">
        <v>16027.2</v>
      </c>
      <c r="J418" t="s">
        <v>87</v>
      </c>
      <c r="K418" t="s">
        <v>99</v>
      </c>
      <c r="L418">
        <v>0</v>
      </c>
      <c r="M418" t="b">
        <v>1</v>
      </c>
      <c r="N418" t="s">
        <v>2839</v>
      </c>
      <c r="O418" t="s">
        <v>2507</v>
      </c>
      <c r="P418">
        <v>45</v>
      </c>
      <c r="Q418" t="s">
        <v>2855</v>
      </c>
      <c r="R418">
        <v>1860</v>
      </c>
    </row>
    <row r="419" spans="1:18" x14ac:dyDescent="0.3">
      <c r="A419" t="s">
        <v>1170</v>
      </c>
      <c r="B419" s="45">
        <v>45630</v>
      </c>
      <c r="C419" t="s">
        <v>592</v>
      </c>
      <c r="D419" t="s">
        <v>102</v>
      </c>
      <c r="E419" t="s">
        <v>86</v>
      </c>
      <c r="F419">
        <v>8</v>
      </c>
      <c r="G419">
        <v>3660</v>
      </c>
      <c r="H419">
        <v>7.2</v>
      </c>
      <c r="I419">
        <v>27171.84</v>
      </c>
      <c r="J419" t="s">
        <v>87</v>
      </c>
      <c r="K419" t="s">
        <v>133</v>
      </c>
      <c r="L419">
        <v>0</v>
      </c>
      <c r="M419" t="b">
        <v>0</v>
      </c>
      <c r="N419" t="s">
        <v>2806</v>
      </c>
      <c r="O419" t="s">
        <v>2507</v>
      </c>
      <c r="P419">
        <v>22</v>
      </c>
      <c r="Q419" t="s">
        <v>2855</v>
      </c>
      <c r="R419">
        <v>2214</v>
      </c>
    </row>
    <row r="420" spans="1:18" x14ac:dyDescent="0.3">
      <c r="A420" t="s">
        <v>829</v>
      </c>
      <c r="B420" s="45">
        <v>45581</v>
      </c>
      <c r="C420" t="s">
        <v>585</v>
      </c>
      <c r="D420" t="s">
        <v>502</v>
      </c>
      <c r="E420" t="s">
        <v>128</v>
      </c>
      <c r="F420">
        <v>6</v>
      </c>
      <c r="G420">
        <v>1090</v>
      </c>
      <c r="H420">
        <v>28.7</v>
      </c>
      <c r="I420">
        <v>4663.0200000000004</v>
      </c>
      <c r="J420" t="s">
        <v>87</v>
      </c>
      <c r="K420" t="s">
        <v>94</v>
      </c>
      <c r="L420">
        <v>0</v>
      </c>
      <c r="M420" t="b">
        <v>1</v>
      </c>
      <c r="N420" t="s">
        <v>2817</v>
      </c>
      <c r="O420" t="s">
        <v>2507</v>
      </c>
      <c r="P420">
        <v>26</v>
      </c>
      <c r="Q420" t="s">
        <v>2879</v>
      </c>
      <c r="R420">
        <v>464</v>
      </c>
    </row>
    <row r="421" spans="1:18" x14ac:dyDescent="0.3">
      <c r="A421" t="s">
        <v>1168</v>
      </c>
      <c r="B421" s="45">
        <v>45588</v>
      </c>
      <c r="C421" t="s">
        <v>223</v>
      </c>
      <c r="D421" t="s">
        <v>200</v>
      </c>
      <c r="E421" t="s">
        <v>132</v>
      </c>
      <c r="F421">
        <v>7</v>
      </c>
      <c r="G421">
        <v>2760</v>
      </c>
      <c r="H421">
        <v>17.100000000000001</v>
      </c>
      <c r="I421">
        <v>16016.28</v>
      </c>
      <c r="J421" t="s">
        <v>87</v>
      </c>
      <c r="K421" t="s">
        <v>99</v>
      </c>
      <c r="L421">
        <v>0</v>
      </c>
      <c r="M421" t="b">
        <v>1</v>
      </c>
      <c r="N421" t="s">
        <v>2806</v>
      </c>
      <c r="O421" t="s">
        <v>2507</v>
      </c>
      <c r="P421">
        <v>53</v>
      </c>
      <c r="Q421" t="s">
        <v>2862</v>
      </c>
      <c r="R421">
        <v>1435</v>
      </c>
    </row>
    <row r="422" spans="1:18" x14ac:dyDescent="0.3">
      <c r="A422" t="s">
        <v>831</v>
      </c>
      <c r="B422" s="45">
        <v>45577</v>
      </c>
      <c r="C422" t="s">
        <v>373</v>
      </c>
      <c r="D422" t="s">
        <v>408</v>
      </c>
      <c r="E422" t="s">
        <v>132</v>
      </c>
      <c r="F422">
        <v>5</v>
      </c>
      <c r="G422">
        <v>3970</v>
      </c>
      <c r="H422">
        <v>26</v>
      </c>
      <c r="I422">
        <v>14689</v>
      </c>
      <c r="J422" t="s">
        <v>87</v>
      </c>
      <c r="K422" t="s">
        <v>88</v>
      </c>
      <c r="L422">
        <v>0</v>
      </c>
      <c r="M422" t="b">
        <v>1</v>
      </c>
      <c r="N422" t="s">
        <v>2784</v>
      </c>
      <c r="O422" t="s">
        <v>2507</v>
      </c>
      <c r="P422">
        <v>43</v>
      </c>
      <c r="Q422" t="s">
        <v>2862</v>
      </c>
      <c r="R422">
        <v>2865</v>
      </c>
    </row>
    <row r="423" spans="1:18" x14ac:dyDescent="0.3">
      <c r="A423" t="s">
        <v>1161</v>
      </c>
      <c r="B423" s="45">
        <v>45620</v>
      </c>
      <c r="C423" t="s">
        <v>705</v>
      </c>
      <c r="D423" t="s">
        <v>102</v>
      </c>
      <c r="E423" t="s">
        <v>285</v>
      </c>
      <c r="F423">
        <v>5</v>
      </c>
      <c r="G423">
        <v>3660</v>
      </c>
      <c r="H423">
        <v>11.7</v>
      </c>
      <c r="I423">
        <v>16158.9</v>
      </c>
      <c r="J423" t="s">
        <v>87</v>
      </c>
      <c r="K423" t="s">
        <v>99</v>
      </c>
      <c r="L423">
        <v>0</v>
      </c>
      <c r="M423" t="b">
        <v>0</v>
      </c>
      <c r="N423" t="s">
        <v>2806</v>
      </c>
      <c r="O423" t="s">
        <v>2507</v>
      </c>
      <c r="P423">
        <v>53</v>
      </c>
      <c r="Q423" t="s">
        <v>2871</v>
      </c>
      <c r="R423">
        <v>2214</v>
      </c>
    </row>
    <row r="424" spans="1:18" x14ac:dyDescent="0.3">
      <c r="A424" t="s">
        <v>1155</v>
      </c>
      <c r="B424" s="45">
        <v>45640</v>
      </c>
      <c r="C424" t="s">
        <v>231</v>
      </c>
      <c r="D424" t="s">
        <v>106</v>
      </c>
      <c r="E424" t="s">
        <v>103</v>
      </c>
      <c r="F424">
        <v>5</v>
      </c>
      <c r="G424">
        <v>3160</v>
      </c>
      <c r="H424">
        <v>3.6</v>
      </c>
      <c r="I424">
        <v>15231.2</v>
      </c>
      <c r="J424" t="s">
        <v>93</v>
      </c>
      <c r="K424" t="s">
        <v>117</v>
      </c>
      <c r="L424">
        <v>0</v>
      </c>
      <c r="M424" t="b">
        <v>1</v>
      </c>
      <c r="N424" t="s">
        <v>2795</v>
      </c>
      <c r="O424" t="s">
        <v>2515</v>
      </c>
      <c r="P424">
        <v>64</v>
      </c>
      <c r="Q424" t="s">
        <v>2855</v>
      </c>
      <c r="R424">
        <v>1886</v>
      </c>
    </row>
    <row r="425" spans="1:18" x14ac:dyDescent="0.3">
      <c r="A425" t="s">
        <v>834</v>
      </c>
      <c r="B425" s="45">
        <v>45615</v>
      </c>
      <c r="C425" t="s">
        <v>835</v>
      </c>
      <c r="D425" t="s">
        <v>182</v>
      </c>
      <c r="E425" t="s">
        <v>285</v>
      </c>
      <c r="F425">
        <v>9</v>
      </c>
      <c r="G425">
        <v>1010</v>
      </c>
      <c r="H425">
        <v>3.6</v>
      </c>
      <c r="I425">
        <v>8762.76</v>
      </c>
      <c r="J425" t="s">
        <v>87</v>
      </c>
      <c r="K425" t="s">
        <v>117</v>
      </c>
      <c r="L425">
        <v>0</v>
      </c>
      <c r="M425" t="b">
        <v>1</v>
      </c>
      <c r="N425" t="s">
        <v>2839</v>
      </c>
      <c r="O425" t="s">
        <v>2507</v>
      </c>
      <c r="P425">
        <v>52</v>
      </c>
      <c r="Q425" t="s">
        <v>2871</v>
      </c>
      <c r="R425">
        <v>516</v>
      </c>
    </row>
    <row r="426" spans="1:18" x14ac:dyDescent="0.3">
      <c r="A426" t="s">
        <v>836</v>
      </c>
      <c r="B426" s="45">
        <v>45631</v>
      </c>
      <c r="C426" t="s">
        <v>837</v>
      </c>
      <c r="D426" t="s">
        <v>102</v>
      </c>
      <c r="E426" t="s">
        <v>107</v>
      </c>
      <c r="F426">
        <v>6</v>
      </c>
      <c r="G426">
        <v>3660</v>
      </c>
      <c r="H426">
        <v>10.8</v>
      </c>
      <c r="I426">
        <v>19588.32</v>
      </c>
      <c r="J426" t="s">
        <v>87</v>
      </c>
      <c r="K426" t="s">
        <v>117</v>
      </c>
      <c r="L426">
        <v>0</v>
      </c>
      <c r="M426" t="b">
        <v>0</v>
      </c>
      <c r="N426" t="s">
        <v>2806</v>
      </c>
      <c r="O426" t="s">
        <v>2507</v>
      </c>
      <c r="P426">
        <v>37</v>
      </c>
      <c r="Q426" t="s">
        <v>2855</v>
      </c>
      <c r="R426">
        <v>2214</v>
      </c>
    </row>
    <row r="427" spans="1:18" x14ac:dyDescent="0.3">
      <c r="A427" t="s">
        <v>1151</v>
      </c>
      <c r="B427" s="45">
        <v>45607</v>
      </c>
      <c r="C427" t="s">
        <v>565</v>
      </c>
      <c r="D427" t="s">
        <v>120</v>
      </c>
      <c r="E427" t="s">
        <v>325</v>
      </c>
      <c r="F427">
        <v>10</v>
      </c>
      <c r="G427">
        <v>1430</v>
      </c>
      <c r="H427">
        <v>16.100000000000001</v>
      </c>
      <c r="I427">
        <v>11997.7</v>
      </c>
      <c r="J427" t="s">
        <v>140</v>
      </c>
      <c r="K427" t="s">
        <v>112</v>
      </c>
      <c r="L427">
        <v>0</v>
      </c>
      <c r="M427" t="b">
        <v>1</v>
      </c>
      <c r="N427" t="s">
        <v>2784</v>
      </c>
      <c r="O427" t="s">
        <v>2515</v>
      </c>
      <c r="P427">
        <v>61</v>
      </c>
      <c r="Q427" t="s">
        <v>2862</v>
      </c>
      <c r="R427">
        <v>861</v>
      </c>
    </row>
    <row r="428" spans="1:18" x14ac:dyDescent="0.3">
      <c r="A428" t="s">
        <v>1146</v>
      </c>
      <c r="B428" s="45">
        <v>45615</v>
      </c>
      <c r="C428" t="s">
        <v>378</v>
      </c>
      <c r="D428" t="s">
        <v>135</v>
      </c>
      <c r="E428" t="s">
        <v>111</v>
      </c>
      <c r="F428">
        <v>8</v>
      </c>
      <c r="G428">
        <v>2640</v>
      </c>
      <c r="H428">
        <v>24.4</v>
      </c>
      <c r="I428">
        <v>15966.72</v>
      </c>
      <c r="J428" t="s">
        <v>87</v>
      </c>
      <c r="K428" t="s">
        <v>94</v>
      </c>
      <c r="L428">
        <v>0</v>
      </c>
      <c r="M428" t="b">
        <v>1</v>
      </c>
      <c r="N428" t="s">
        <v>2784</v>
      </c>
      <c r="O428" t="s">
        <v>2515</v>
      </c>
      <c r="P428">
        <v>53</v>
      </c>
      <c r="Q428" t="s">
        <v>2879</v>
      </c>
      <c r="R428">
        <v>1149</v>
      </c>
    </row>
    <row r="429" spans="1:18" x14ac:dyDescent="0.3">
      <c r="A429" t="s">
        <v>1144</v>
      </c>
      <c r="B429" s="45">
        <v>45572</v>
      </c>
      <c r="C429" t="s">
        <v>717</v>
      </c>
      <c r="D429" t="s">
        <v>515</v>
      </c>
      <c r="E429" t="s">
        <v>343</v>
      </c>
      <c r="F429">
        <v>6</v>
      </c>
      <c r="G429">
        <v>6940</v>
      </c>
      <c r="H429">
        <v>25.7</v>
      </c>
      <c r="I429">
        <v>30938.52</v>
      </c>
      <c r="J429" t="s">
        <v>87</v>
      </c>
      <c r="K429" t="s">
        <v>94</v>
      </c>
      <c r="L429">
        <v>0</v>
      </c>
      <c r="M429" t="b">
        <v>1</v>
      </c>
      <c r="N429" t="s">
        <v>2839</v>
      </c>
      <c r="O429" t="s">
        <v>2507</v>
      </c>
      <c r="P429">
        <v>24</v>
      </c>
      <c r="Q429" t="s">
        <v>2879</v>
      </c>
      <c r="R429">
        <v>2827</v>
      </c>
    </row>
    <row r="430" spans="1:18" x14ac:dyDescent="0.3">
      <c r="A430" t="s">
        <v>1140</v>
      </c>
      <c r="B430" s="45">
        <v>45632</v>
      </c>
      <c r="C430" t="s">
        <v>725</v>
      </c>
      <c r="D430" t="s">
        <v>120</v>
      </c>
      <c r="E430" t="s">
        <v>86</v>
      </c>
      <c r="F430">
        <v>1</v>
      </c>
      <c r="G430">
        <v>1430</v>
      </c>
      <c r="H430">
        <v>5.9</v>
      </c>
      <c r="I430">
        <v>1345.63</v>
      </c>
      <c r="J430" t="s">
        <v>140</v>
      </c>
      <c r="K430" t="s">
        <v>99</v>
      </c>
      <c r="L430">
        <v>0</v>
      </c>
      <c r="M430" t="b">
        <v>1</v>
      </c>
      <c r="N430" t="s">
        <v>2784</v>
      </c>
      <c r="O430" t="s">
        <v>2515</v>
      </c>
      <c r="P430">
        <v>26</v>
      </c>
      <c r="Q430" t="s">
        <v>2855</v>
      </c>
      <c r="R430">
        <v>861</v>
      </c>
    </row>
    <row r="431" spans="1:18" x14ac:dyDescent="0.3">
      <c r="A431" t="s">
        <v>1135</v>
      </c>
      <c r="B431" s="45">
        <v>45601</v>
      </c>
      <c r="C431" t="s">
        <v>142</v>
      </c>
      <c r="D431" t="s">
        <v>91</v>
      </c>
      <c r="E431" t="s">
        <v>273</v>
      </c>
      <c r="F431">
        <v>3</v>
      </c>
      <c r="G431">
        <v>820</v>
      </c>
      <c r="H431">
        <v>19.399999999999999</v>
      </c>
      <c r="I431">
        <v>1982.76</v>
      </c>
      <c r="J431" t="s">
        <v>87</v>
      </c>
      <c r="K431" t="s">
        <v>88</v>
      </c>
      <c r="L431">
        <v>0</v>
      </c>
      <c r="M431" t="b">
        <v>1</v>
      </c>
      <c r="N431" t="s">
        <v>2795</v>
      </c>
      <c r="O431" t="s">
        <v>2515</v>
      </c>
      <c r="P431">
        <v>39</v>
      </c>
      <c r="Q431" t="s">
        <v>2862</v>
      </c>
      <c r="R431">
        <v>391</v>
      </c>
    </row>
    <row r="432" spans="1:18" x14ac:dyDescent="0.3">
      <c r="A432" t="s">
        <v>844</v>
      </c>
      <c r="B432" s="45">
        <v>45624</v>
      </c>
      <c r="C432" t="s">
        <v>567</v>
      </c>
      <c r="D432" t="s">
        <v>120</v>
      </c>
      <c r="E432" t="s">
        <v>98</v>
      </c>
      <c r="F432">
        <v>10</v>
      </c>
      <c r="G432">
        <v>1430</v>
      </c>
      <c r="H432">
        <v>25.2</v>
      </c>
      <c r="I432">
        <v>10696.4</v>
      </c>
      <c r="J432" t="s">
        <v>87</v>
      </c>
      <c r="K432" t="s">
        <v>117</v>
      </c>
      <c r="L432">
        <v>0</v>
      </c>
      <c r="M432" t="b">
        <v>1</v>
      </c>
      <c r="N432" t="s">
        <v>2784</v>
      </c>
      <c r="O432" t="s">
        <v>2509</v>
      </c>
      <c r="P432">
        <v>41</v>
      </c>
      <c r="Q432" t="s">
        <v>2862</v>
      </c>
      <c r="R432">
        <v>861</v>
      </c>
    </row>
    <row r="433" spans="1:18" x14ac:dyDescent="0.3">
      <c r="A433" t="s">
        <v>1130</v>
      </c>
      <c r="B433" s="45">
        <v>45635</v>
      </c>
      <c r="C433" t="s">
        <v>247</v>
      </c>
      <c r="D433" t="s">
        <v>200</v>
      </c>
      <c r="E433" t="s">
        <v>154</v>
      </c>
      <c r="F433">
        <v>7</v>
      </c>
      <c r="G433">
        <v>2760</v>
      </c>
      <c r="H433">
        <v>1.2</v>
      </c>
      <c r="I433">
        <v>19088.16</v>
      </c>
      <c r="J433" t="s">
        <v>140</v>
      </c>
      <c r="K433" t="s">
        <v>117</v>
      </c>
      <c r="L433">
        <v>0</v>
      </c>
      <c r="M433" t="b">
        <v>1</v>
      </c>
      <c r="N433" t="s">
        <v>2806</v>
      </c>
      <c r="O433" t="s">
        <v>2507</v>
      </c>
      <c r="P433">
        <v>34</v>
      </c>
      <c r="Q433" t="s">
        <v>2871</v>
      </c>
      <c r="R433">
        <v>1435</v>
      </c>
    </row>
    <row r="434" spans="1:18" x14ac:dyDescent="0.3">
      <c r="A434" t="s">
        <v>1127</v>
      </c>
      <c r="B434" s="45">
        <v>45622</v>
      </c>
      <c r="C434" t="s">
        <v>1006</v>
      </c>
      <c r="D434" t="s">
        <v>515</v>
      </c>
      <c r="E434" t="s">
        <v>170</v>
      </c>
      <c r="F434">
        <v>5</v>
      </c>
      <c r="G434">
        <v>6940</v>
      </c>
      <c r="H434">
        <v>2.9</v>
      </c>
      <c r="I434">
        <v>33693.699999999997</v>
      </c>
      <c r="J434" t="s">
        <v>87</v>
      </c>
      <c r="K434" t="s">
        <v>117</v>
      </c>
      <c r="L434">
        <v>0</v>
      </c>
      <c r="M434" t="b">
        <v>1</v>
      </c>
      <c r="N434" t="s">
        <v>2839</v>
      </c>
      <c r="O434" t="s">
        <v>2515</v>
      </c>
      <c r="P434">
        <v>44</v>
      </c>
      <c r="Q434" t="s">
        <v>2879</v>
      </c>
      <c r="R434">
        <v>2827</v>
      </c>
    </row>
    <row r="435" spans="1:18" x14ac:dyDescent="0.3">
      <c r="A435" t="s">
        <v>1123</v>
      </c>
      <c r="B435" s="45">
        <v>45622</v>
      </c>
      <c r="C435" t="s">
        <v>105</v>
      </c>
      <c r="D435" t="s">
        <v>138</v>
      </c>
      <c r="E435" t="s">
        <v>188</v>
      </c>
      <c r="F435">
        <v>7</v>
      </c>
      <c r="G435">
        <v>2600</v>
      </c>
      <c r="H435">
        <v>6.7</v>
      </c>
      <c r="I435">
        <v>16980.599999999999</v>
      </c>
      <c r="J435" t="s">
        <v>93</v>
      </c>
      <c r="K435" t="s">
        <v>94</v>
      </c>
      <c r="L435">
        <v>0</v>
      </c>
      <c r="M435" t="b">
        <v>1</v>
      </c>
      <c r="N435" t="s">
        <v>2784</v>
      </c>
      <c r="O435" t="s">
        <v>2507</v>
      </c>
      <c r="P435">
        <v>36</v>
      </c>
      <c r="Q435" t="s">
        <v>2862</v>
      </c>
      <c r="R435">
        <v>1052</v>
      </c>
    </row>
    <row r="436" spans="1:18" x14ac:dyDescent="0.3">
      <c r="A436" t="s">
        <v>1118</v>
      </c>
      <c r="B436" s="45">
        <v>45581</v>
      </c>
      <c r="C436" t="s">
        <v>886</v>
      </c>
      <c r="D436" t="s">
        <v>191</v>
      </c>
      <c r="E436" t="s">
        <v>98</v>
      </c>
      <c r="F436">
        <v>2</v>
      </c>
      <c r="G436">
        <v>5100</v>
      </c>
      <c r="H436">
        <v>8.6</v>
      </c>
      <c r="I436">
        <v>9322.7999999999993</v>
      </c>
      <c r="J436" t="s">
        <v>87</v>
      </c>
      <c r="K436" t="s">
        <v>94</v>
      </c>
      <c r="L436">
        <v>0</v>
      </c>
      <c r="M436" t="b">
        <v>1</v>
      </c>
      <c r="N436" t="s">
        <v>2828</v>
      </c>
      <c r="O436" t="s">
        <v>2509</v>
      </c>
      <c r="P436">
        <v>44</v>
      </c>
      <c r="Q436" t="s">
        <v>2862</v>
      </c>
      <c r="R436">
        <v>2237</v>
      </c>
    </row>
    <row r="437" spans="1:18" x14ac:dyDescent="0.3">
      <c r="A437" t="s">
        <v>1114</v>
      </c>
      <c r="B437" s="45">
        <v>45610</v>
      </c>
      <c r="C437" t="s">
        <v>537</v>
      </c>
      <c r="D437" t="s">
        <v>187</v>
      </c>
      <c r="E437" t="s">
        <v>128</v>
      </c>
      <c r="F437">
        <v>9</v>
      </c>
      <c r="G437">
        <v>3570</v>
      </c>
      <c r="H437">
        <v>29.9</v>
      </c>
      <c r="I437">
        <v>22523.13</v>
      </c>
      <c r="J437" t="s">
        <v>87</v>
      </c>
      <c r="K437" t="s">
        <v>133</v>
      </c>
      <c r="L437">
        <v>0</v>
      </c>
      <c r="M437" t="b">
        <v>1</v>
      </c>
      <c r="N437" t="s">
        <v>2784</v>
      </c>
      <c r="O437" t="s">
        <v>2515</v>
      </c>
      <c r="P437">
        <v>48</v>
      </c>
      <c r="Q437" t="s">
        <v>2879</v>
      </c>
      <c r="R437">
        <v>1665</v>
      </c>
    </row>
    <row r="438" spans="1:18" x14ac:dyDescent="0.3">
      <c r="A438" t="s">
        <v>1103</v>
      </c>
      <c r="B438" s="45">
        <v>45629</v>
      </c>
      <c r="C438" t="s">
        <v>1104</v>
      </c>
      <c r="D438" t="s">
        <v>351</v>
      </c>
      <c r="E438" t="s">
        <v>252</v>
      </c>
      <c r="F438">
        <v>3</v>
      </c>
      <c r="G438">
        <v>4060</v>
      </c>
      <c r="H438">
        <v>2.5</v>
      </c>
      <c r="I438">
        <v>11875.5</v>
      </c>
      <c r="J438" t="s">
        <v>144</v>
      </c>
      <c r="K438" t="s">
        <v>117</v>
      </c>
      <c r="L438">
        <v>0</v>
      </c>
      <c r="M438" t="b">
        <v>1</v>
      </c>
      <c r="N438" t="s">
        <v>2806</v>
      </c>
      <c r="O438" t="s">
        <v>2509</v>
      </c>
      <c r="P438">
        <v>31</v>
      </c>
      <c r="Q438" t="s">
        <v>2862</v>
      </c>
      <c r="R438">
        <v>2911</v>
      </c>
    </row>
    <row r="439" spans="1:18" x14ac:dyDescent="0.3">
      <c r="A439" t="s">
        <v>1102</v>
      </c>
      <c r="B439" s="45">
        <v>45614</v>
      </c>
      <c r="C439" t="s">
        <v>266</v>
      </c>
      <c r="D439" t="s">
        <v>161</v>
      </c>
      <c r="E439" t="s">
        <v>188</v>
      </c>
      <c r="F439">
        <v>10</v>
      </c>
      <c r="G439">
        <v>3450</v>
      </c>
      <c r="H439">
        <v>25.1</v>
      </c>
      <c r="I439">
        <v>25840.5</v>
      </c>
      <c r="J439" t="s">
        <v>87</v>
      </c>
      <c r="K439" t="s">
        <v>99</v>
      </c>
      <c r="L439">
        <v>0</v>
      </c>
      <c r="M439" t="b">
        <v>1</v>
      </c>
      <c r="N439" t="s">
        <v>2839</v>
      </c>
      <c r="O439" t="s">
        <v>2509</v>
      </c>
      <c r="P439">
        <v>55</v>
      </c>
      <c r="Q439" t="s">
        <v>2862</v>
      </c>
      <c r="R439">
        <v>2467</v>
      </c>
    </row>
    <row r="440" spans="1:18" x14ac:dyDescent="0.3">
      <c r="A440" t="s">
        <v>1101</v>
      </c>
      <c r="B440" s="45">
        <v>45574</v>
      </c>
      <c r="C440" t="s">
        <v>429</v>
      </c>
      <c r="D440" t="s">
        <v>279</v>
      </c>
      <c r="E440" t="s">
        <v>92</v>
      </c>
      <c r="F440">
        <v>10</v>
      </c>
      <c r="G440">
        <v>2660</v>
      </c>
      <c r="H440">
        <v>20.2</v>
      </c>
      <c r="I440">
        <v>21226.799999999999</v>
      </c>
      <c r="J440" t="s">
        <v>87</v>
      </c>
      <c r="K440" t="s">
        <v>117</v>
      </c>
      <c r="L440">
        <v>0</v>
      </c>
      <c r="M440" t="b">
        <v>0</v>
      </c>
      <c r="N440" t="s">
        <v>2784</v>
      </c>
      <c r="O440" t="s">
        <v>2507</v>
      </c>
      <c r="P440">
        <v>55</v>
      </c>
      <c r="Q440" t="s">
        <v>2855</v>
      </c>
      <c r="R440">
        <v>1259</v>
      </c>
    </row>
    <row r="441" spans="1:18" x14ac:dyDescent="0.3">
      <c r="A441" t="s">
        <v>1097</v>
      </c>
      <c r="B441" s="45">
        <v>45598</v>
      </c>
      <c r="C441" t="s">
        <v>807</v>
      </c>
      <c r="D441" t="s">
        <v>203</v>
      </c>
      <c r="E441" t="s">
        <v>107</v>
      </c>
      <c r="F441">
        <v>1</v>
      </c>
      <c r="G441">
        <v>660</v>
      </c>
      <c r="H441">
        <v>2.5</v>
      </c>
      <c r="I441">
        <v>643.5</v>
      </c>
      <c r="J441" t="s">
        <v>87</v>
      </c>
      <c r="K441" t="s">
        <v>88</v>
      </c>
      <c r="L441">
        <v>0</v>
      </c>
      <c r="M441" t="b">
        <v>1</v>
      </c>
      <c r="N441" t="s">
        <v>2817</v>
      </c>
      <c r="O441" t="s">
        <v>2507</v>
      </c>
      <c r="P441">
        <v>36</v>
      </c>
      <c r="Q441" t="s">
        <v>2855</v>
      </c>
      <c r="R441">
        <v>329</v>
      </c>
    </row>
    <row r="442" spans="1:18" x14ac:dyDescent="0.3">
      <c r="A442" t="s">
        <v>855</v>
      </c>
      <c r="B442" s="45">
        <v>45628</v>
      </c>
      <c r="C442" t="s">
        <v>856</v>
      </c>
      <c r="D442" t="s">
        <v>135</v>
      </c>
      <c r="E442" t="s">
        <v>238</v>
      </c>
      <c r="F442">
        <v>10</v>
      </c>
      <c r="G442">
        <v>2640</v>
      </c>
      <c r="H442">
        <v>12.7</v>
      </c>
      <c r="I442">
        <v>23047.200000000001</v>
      </c>
      <c r="J442" t="s">
        <v>87</v>
      </c>
      <c r="K442" t="s">
        <v>88</v>
      </c>
      <c r="L442">
        <v>0</v>
      </c>
      <c r="M442" t="b">
        <v>1</v>
      </c>
      <c r="N442" t="s">
        <v>2784</v>
      </c>
      <c r="O442" t="s">
        <v>2515</v>
      </c>
      <c r="P442">
        <v>59</v>
      </c>
      <c r="Q442" t="s">
        <v>2871</v>
      </c>
      <c r="R442">
        <v>1149</v>
      </c>
    </row>
    <row r="443" spans="1:18" x14ac:dyDescent="0.3">
      <c r="A443" t="s">
        <v>1091</v>
      </c>
      <c r="B443" s="45">
        <v>45634</v>
      </c>
      <c r="C443" t="s">
        <v>219</v>
      </c>
      <c r="D443" t="s">
        <v>182</v>
      </c>
      <c r="E443" t="s">
        <v>92</v>
      </c>
      <c r="F443">
        <v>10</v>
      </c>
      <c r="G443">
        <v>1010</v>
      </c>
      <c r="H443">
        <v>28.9</v>
      </c>
      <c r="I443">
        <v>7181.1</v>
      </c>
      <c r="J443" t="s">
        <v>87</v>
      </c>
      <c r="K443" t="s">
        <v>99</v>
      </c>
      <c r="L443">
        <v>0</v>
      </c>
      <c r="M443" t="b">
        <v>1</v>
      </c>
      <c r="N443" t="s">
        <v>2839</v>
      </c>
      <c r="O443" t="s">
        <v>2515</v>
      </c>
      <c r="P443">
        <v>50</v>
      </c>
      <c r="Q443" t="s">
        <v>2855</v>
      </c>
      <c r="R443">
        <v>516</v>
      </c>
    </row>
    <row r="444" spans="1:18" x14ac:dyDescent="0.3">
      <c r="A444" t="s">
        <v>1090</v>
      </c>
      <c r="B444" s="45">
        <v>45588</v>
      </c>
      <c r="C444" t="s">
        <v>557</v>
      </c>
      <c r="D444" t="s">
        <v>200</v>
      </c>
      <c r="E444" t="s">
        <v>297</v>
      </c>
      <c r="F444">
        <v>3</v>
      </c>
      <c r="G444">
        <v>2760</v>
      </c>
      <c r="H444">
        <v>1.9</v>
      </c>
      <c r="I444">
        <v>8122.68</v>
      </c>
      <c r="J444" t="s">
        <v>140</v>
      </c>
      <c r="K444" t="s">
        <v>112</v>
      </c>
      <c r="L444">
        <v>0</v>
      </c>
      <c r="M444" t="b">
        <v>1</v>
      </c>
      <c r="N444" t="s">
        <v>2806</v>
      </c>
      <c r="O444" t="s">
        <v>2507</v>
      </c>
      <c r="P444">
        <v>65</v>
      </c>
      <c r="Q444" t="s">
        <v>2855</v>
      </c>
      <c r="R444">
        <v>1435</v>
      </c>
    </row>
    <row r="445" spans="1:18" x14ac:dyDescent="0.3">
      <c r="A445" t="s">
        <v>859</v>
      </c>
      <c r="B445" s="45">
        <v>45629</v>
      </c>
      <c r="C445" t="s">
        <v>487</v>
      </c>
      <c r="D445" t="s">
        <v>143</v>
      </c>
      <c r="E445" t="s">
        <v>92</v>
      </c>
      <c r="F445">
        <v>8</v>
      </c>
      <c r="G445">
        <v>3250</v>
      </c>
      <c r="H445">
        <v>5.4</v>
      </c>
      <c r="I445">
        <v>24596</v>
      </c>
      <c r="J445" t="s">
        <v>87</v>
      </c>
      <c r="K445" t="s">
        <v>88</v>
      </c>
      <c r="L445">
        <v>0</v>
      </c>
      <c r="M445" t="b">
        <v>1</v>
      </c>
      <c r="N445" t="s">
        <v>2817</v>
      </c>
      <c r="O445" t="s">
        <v>2509</v>
      </c>
      <c r="P445">
        <v>29</v>
      </c>
      <c r="Q445" t="s">
        <v>2855</v>
      </c>
      <c r="R445">
        <v>1556</v>
      </c>
    </row>
    <row r="446" spans="1:18" x14ac:dyDescent="0.3">
      <c r="A446" t="s">
        <v>1089</v>
      </c>
      <c r="B446" s="45">
        <v>45633</v>
      </c>
      <c r="C446" t="s">
        <v>1000</v>
      </c>
      <c r="D446" t="s">
        <v>292</v>
      </c>
      <c r="E446" t="s">
        <v>132</v>
      </c>
      <c r="F446">
        <v>10</v>
      </c>
      <c r="G446">
        <v>620</v>
      </c>
      <c r="H446">
        <v>15.8</v>
      </c>
      <c r="I446">
        <v>5220.3999999999996</v>
      </c>
      <c r="J446" t="s">
        <v>144</v>
      </c>
      <c r="K446" t="s">
        <v>117</v>
      </c>
      <c r="L446">
        <v>0</v>
      </c>
      <c r="M446" t="b">
        <v>1</v>
      </c>
      <c r="N446" t="s">
        <v>2795</v>
      </c>
      <c r="O446" t="s">
        <v>2507</v>
      </c>
      <c r="P446">
        <v>27</v>
      </c>
      <c r="Q446" t="s">
        <v>2862</v>
      </c>
      <c r="R446">
        <v>396</v>
      </c>
    </row>
    <row r="447" spans="1:18" x14ac:dyDescent="0.3">
      <c r="A447" t="s">
        <v>861</v>
      </c>
      <c r="B447" s="45">
        <v>45597</v>
      </c>
      <c r="C447" t="s">
        <v>376</v>
      </c>
      <c r="D447" t="s">
        <v>276</v>
      </c>
      <c r="E447" t="s">
        <v>303</v>
      </c>
      <c r="F447">
        <v>9</v>
      </c>
      <c r="G447">
        <v>3020</v>
      </c>
      <c r="H447">
        <v>15</v>
      </c>
      <c r="I447">
        <v>23103</v>
      </c>
      <c r="J447" t="s">
        <v>87</v>
      </c>
      <c r="K447" t="s">
        <v>117</v>
      </c>
      <c r="L447">
        <v>0</v>
      </c>
      <c r="M447" t="b">
        <v>1</v>
      </c>
      <c r="N447" t="s">
        <v>2828</v>
      </c>
      <c r="O447" t="s">
        <v>2515</v>
      </c>
      <c r="P447">
        <v>44</v>
      </c>
      <c r="Q447" t="s">
        <v>2871</v>
      </c>
      <c r="R447">
        <v>1626</v>
      </c>
    </row>
    <row r="448" spans="1:18" x14ac:dyDescent="0.3">
      <c r="A448" t="s">
        <v>1088</v>
      </c>
      <c r="B448" s="45">
        <v>45567</v>
      </c>
      <c r="C448" t="s">
        <v>399</v>
      </c>
      <c r="D448" t="s">
        <v>659</v>
      </c>
      <c r="E448" t="s">
        <v>201</v>
      </c>
      <c r="F448">
        <v>5</v>
      </c>
      <c r="G448">
        <v>3560</v>
      </c>
      <c r="H448">
        <v>15</v>
      </c>
      <c r="I448">
        <v>15130</v>
      </c>
      <c r="J448" t="s">
        <v>87</v>
      </c>
      <c r="K448" t="s">
        <v>99</v>
      </c>
      <c r="L448">
        <v>0</v>
      </c>
      <c r="M448" t="b">
        <v>1</v>
      </c>
      <c r="N448" t="s">
        <v>2795</v>
      </c>
      <c r="O448" t="s">
        <v>2515</v>
      </c>
      <c r="P448">
        <v>53</v>
      </c>
      <c r="Q448" t="s">
        <v>2879</v>
      </c>
      <c r="R448">
        <v>2629</v>
      </c>
    </row>
    <row r="449" spans="1:18" x14ac:dyDescent="0.3">
      <c r="A449" t="s">
        <v>1084</v>
      </c>
      <c r="B449" s="45">
        <v>45609</v>
      </c>
      <c r="C449" t="s">
        <v>291</v>
      </c>
      <c r="D449" t="s">
        <v>248</v>
      </c>
      <c r="E449" t="s">
        <v>86</v>
      </c>
      <c r="F449">
        <v>6</v>
      </c>
      <c r="G449">
        <v>3870</v>
      </c>
      <c r="H449">
        <v>12.2</v>
      </c>
      <c r="I449">
        <v>20387.16</v>
      </c>
      <c r="J449" t="s">
        <v>87</v>
      </c>
      <c r="K449" t="s">
        <v>99</v>
      </c>
      <c r="L449">
        <v>0</v>
      </c>
      <c r="M449" t="b">
        <v>1</v>
      </c>
      <c r="N449" t="s">
        <v>2784</v>
      </c>
      <c r="O449" t="s">
        <v>2507</v>
      </c>
      <c r="P449">
        <v>35</v>
      </c>
      <c r="Q449" t="s">
        <v>2855</v>
      </c>
      <c r="R449">
        <v>1559</v>
      </c>
    </row>
    <row r="450" spans="1:18" x14ac:dyDescent="0.3">
      <c r="A450" t="s">
        <v>1083</v>
      </c>
      <c r="B450" s="45">
        <v>45587</v>
      </c>
      <c r="C450" t="s">
        <v>340</v>
      </c>
      <c r="D450" t="s">
        <v>182</v>
      </c>
      <c r="E450" t="s">
        <v>103</v>
      </c>
      <c r="F450">
        <v>1</v>
      </c>
      <c r="G450">
        <v>1010</v>
      </c>
      <c r="H450">
        <v>1.7</v>
      </c>
      <c r="I450">
        <v>992.83</v>
      </c>
      <c r="J450" t="s">
        <v>87</v>
      </c>
      <c r="K450" t="s">
        <v>88</v>
      </c>
      <c r="L450">
        <v>0</v>
      </c>
      <c r="M450" t="b">
        <v>1</v>
      </c>
      <c r="N450" t="s">
        <v>2839</v>
      </c>
      <c r="O450" t="s">
        <v>2507</v>
      </c>
      <c r="P450">
        <v>25</v>
      </c>
      <c r="Q450" t="s">
        <v>2855</v>
      </c>
      <c r="R450">
        <v>516</v>
      </c>
    </row>
    <row r="451" spans="1:18" x14ac:dyDescent="0.3">
      <c r="A451" t="s">
        <v>1082</v>
      </c>
      <c r="B451" s="45">
        <v>45586</v>
      </c>
      <c r="C451" t="s">
        <v>199</v>
      </c>
      <c r="D451" t="s">
        <v>515</v>
      </c>
      <c r="E451" t="s">
        <v>204</v>
      </c>
      <c r="F451">
        <v>4</v>
      </c>
      <c r="G451">
        <v>6940</v>
      </c>
      <c r="H451">
        <v>15.1</v>
      </c>
      <c r="I451">
        <v>23568.240000000002</v>
      </c>
      <c r="J451" t="s">
        <v>87</v>
      </c>
      <c r="K451" t="s">
        <v>133</v>
      </c>
      <c r="L451">
        <v>0</v>
      </c>
      <c r="M451" t="b">
        <v>1</v>
      </c>
      <c r="N451" t="s">
        <v>2839</v>
      </c>
      <c r="O451" t="s">
        <v>2507</v>
      </c>
      <c r="P451">
        <v>53</v>
      </c>
      <c r="Q451" t="s">
        <v>2862</v>
      </c>
      <c r="R451">
        <v>2827</v>
      </c>
    </row>
    <row r="452" spans="1:18" x14ac:dyDescent="0.3">
      <c r="A452" t="s">
        <v>867</v>
      </c>
      <c r="B452" s="45">
        <v>45649</v>
      </c>
      <c r="C452" t="s">
        <v>868</v>
      </c>
      <c r="D452" t="s">
        <v>360</v>
      </c>
      <c r="E452" t="s">
        <v>188</v>
      </c>
      <c r="F452">
        <v>10</v>
      </c>
      <c r="G452">
        <v>5410</v>
      </c>
      <c r="H452">
        <v>26.1</v>
      </c>
      <c r="I452">
        <v>39979.9</v>
      </c>
      <c r="J452" t="s">
        <v>87</v>
      </c>
      <c r="K452" t="s">
        <v>99</v>
      </c>
      <c r="L452">
        <v>0</v>
      </c>
      <c r="M452" t="b">
        <v>1</v>
      </c>
      <c r="N452" t="s">
        <v>2839</v>
      </c>
      <c r="O452" t="s">
        <v>2515</v>
      </c>
      <c r="P452">
        <v>38</v>
      </c>
      <c r="Q452" t="s">
        <v>2862</v>
      </c>
      <c r="R452">
        <v>2265</v>
      </c>
    </row>
    <row r="453" spans="1:18" x14ac:dyDescent="0.3">
      <c r="A453" t="s">
        <v>869</v>
      </c>
      <c r="B453" s="45">
        <v>45586</v>
      </c>
      <c r="C453" t="s">
        <v>870</v>
      </c>
      <c r="D453" t="s">
        <v>203</v>
      </c>
      <c r="E453" t="s">
        <v>154</v>
      </c>
      <c r="F453">
        <v>2</v>
      </c>
      <c r="G453">
        <v>660</v>
      </c>
      <c r="H453">
        <v>5</v>
      </c>
      <c r="I453">
        <v>1254</v>
      </c>
      <c r="J453" t="s">
        <v>87</v>
      </c>
      <c r="K453" t="s">
        <v>117</v>
      </c>
      <c r="L453">
        <v>0</v>
      </c>
      <c r="M453" t="b">
        <v>1</v>
      </c>
      <c r="N453" t="s">
        <v>2817</v>
      </c>
      <c r="O453" t="s">
        <v>2507</v>
      </c>
      <c r="P453">
        <v>47</v>
      </c>
      <c r="Q453" t="s">
        <v>2871</v>
      </c>
      <c r="R453">
        <v>329</v>
      </c>
    </row>
    <row r="454" spans="1:18" x14ac:dyDescent="0.3">
      <c r="A454" t="s">
        <v>871</v>
      </c>
      <c r="B454" s="45">
        <v>45647</v>
      </c>
      <c r="C454" t="s">
        <v>872</v>
      </c>
      <c r="D454" t="s">
        <v>182</v>
      </c>
      <c r="E454" t="s">
        <v>86</v>
      </c>
      <c r="F454">
        <v>10</v>
      </c>
      <c r="G454">
        <v>1010</v>
      </c>
      <c r="H454">
        <v>10</v>
      </c>
      <c r="I454">
        <v>9090</v>
      </c>
      <c r="J454" t="s">
        <v>87</v>
      </c>
      <c r="K454" t="s">
        <v>112</v>
      </c>
      <c r="L454">
        <v>0</v>
      </c>
      <c r="M454" t="b">
        <v>1</v>
      </c>
      <c r="N454" t="s">
        <v>2839</v>
      </c>
      <c r="O454" t="s">
        <v>2509</v>
      </c>
      <c r="P454">
        <v>62</v>
      </c>
      <c r="Q454" t="s">
        <v>2855</v>
      </c>
      <c r="R454">
        <v>516</v>
      </c>
    </row>
    <row r="455" spans="1:18" x14ac:dyDescent="0.3">
      <c r="A455" t="s">
        <v>1079</v>
      </c>
      <c r="B455" s="45">
        <v>45592</v>
      </c>
      <c r="C455" t="s">
        <v>1072</v>
      </c>
      <c r="D455" t="s">
        <v>131</v>
      </c>
      <c r="E455" t="s">
        <v>297</v>
      </c>
      <c r="F455">
        <v>4</v>
      </c>
      <c r="G455">
        <v>2270</v>
      </c>
      <c r="H455">
        <v>27.5</v>
      </c>
      <c r="I455">
        <v>6583</v>
      </c>
      <c r="J455" t="s">
        <v>93</v>
      </c>
      <c r="K455" t="s">
        <v>112</v>
      </c>
      <c r="L455">
        <v>0</v>
      </c>
      <c r="M455" t="b">
        <v>1</v>
      </c>
      <c r="N455" t="s">
        <v>2806</v>
      </c>
      <c r="O455" t="s">
        <v>2515</v>
      </c>
      <c r="P455">
        <v>53</v>
      </c>
      <c r="Q455" t="s">
        <v>2855</v>
      </c>
      <c r="R455">
        <v>1203</v>
      </c>
    </row>
    <row r="456" spans="1:18" x14ac:dyDescent="0.3">
      <c r="A456" t="s">
        <v>1078</v>
      </c>
      <c r="B456" s="45">
        <v>45574</v>
      </c>
      <c r="C456" t="s">
        <v>816</v>
      </c>
      <c r="D456" t="s">
        <v>151</v>
      </c>
      <c r="E456" t="s">
        <v>215</v>
      </c>
      <c r="F456">
        <v>5</v>
      </c>
      <c r="G456">
        <v>2400</v>
      </c>
      <c r="H456">
        <v>16.100000000000001</v>
      </c>
      <c r="I456">
        <v>10068</v>
      </c>
      <c r="J456" t="s">
        <v>87</v>
      </c>
      <c r="K456" t="s">
        <v>88</v>
      </c>
      <c r="L456">
        <v>0</v>
      </c>
      <c r="M456" t="b">
        <v>1</v>
      </c>
      <c r="N456" t="s">
        <v>2839</v>
      </c>
      <c r="O456" t="s">
        <v>2507</v>
      </c>
      <c r="P456">
        <v>36</v>
      </c>
      <c r="Q456" t="s">
        <v>2855</v>
      </c>
      <c r="R456">
        <v>974</v>
      </c>
    </row>
    <row r="457" spans="1:18" x14ac:dyDescent="0.3">
      <c r="A457" t="s">
        <v>1077</v>
      </c>
      <c r="B457" s="45">
        <v>45627</v>
      </c>
      <c r="C457" t="s">
        <v>729</v>
      </c>
      <c r="D457" t="s">
        <v>187</v>
      </c>
      <c r="E457" t="s">
        <v>107</v>
      </c>
      <c r="F457">
        <v>2</v>
      </c>
      <c r="G457">
        <v>3570</v>
      </c>
      <c r="H457">
        <v>6.1</v>
      </c>
      <c r="I457">
        <v>6704.46</v>
      </c>
      <c r="J457" t="s">
        <v>140</v>
      </c>
      <c r="K457" t="s">
        <v>112</v>
      </c>
      <c r="L457">
        <v>0</v>
      </c>
      <c r="M457" t="b">
        <v>1</v>
      </c>
      <c r="N457" t="s">
        <v>2784</v>
      </c>
      <c r="O457" t="s">
        <v>2507</v>
      </c>
      <c r="P457">
        <v>56</v>
      </c>
      <c r="Q457" t="s">
        <v>2855</v>
      </c>
      <c r="R457">
        <v>1665</v>
      </c>
    </row>
    <row r="458" spans="1:18" x14ac:dyDescent="0.3">
      <c r="A458" t="s">
        <v>1070</v>
      </c>
      <c r="B458" s="45">
        <v>45610</v>
      </c>
      <c r="C458" t="s">
        <v>626</v>
      </c>
      <c r="D458" t="s">
        <v>386</v>
      </c>
      <c r="E458" t="s">
        <v>92</v>
      </c>
      <c r="F458">
        <v>3</v>
      </c>
      <c r="G458">
        <v>2290</v>
      </c>
      <c r="H458">
        <v>20.8</v>
      </c>
      <c r="I458">
        <v>5441.04</v>
      </c>
      <c r="J458" t="s">
        <v>87</v>
      </c>
      <c r="K458" t="s">
        <v>99</v>
      </c>
      <c r="L458">
        <v>1</v>
      </c>
      <c r="M458" t="b">
        <v>1</v>
      </c>
      <c r="N458" t="s">
        <v>2828</v>
      </c>
      <c r="O458" t="s">
        <v>2507</v>
      </c>
      <c r="P458">
        <v>40</v>
      </c>
      <c r="Q458" t="s">
        <v>2855</v>
      </c>
      <c r="R458">
        <v>1219</v>
      </c>
    </row>
    <row r="459" spans="1:18" x14ac:dyDescent="0.3">
      <c r="A459" t="s">
        <v>1063</v>
      </c>
      <c r="B459" s="45">
        <v>45570</v>
      </c>
      <c r="C459" t="s">
        <v>250</v>
      </c>
      <c r="D459" t="s">
        <v>191</v>
      </c>
      <c r="E459" t="s">
        <v>252</v>
      </c>
      <c r="F459">
        <v>6</v>
      </c>
      <c r="G459">
        <v>5100</v>
      </c>
      <c r="H459">
        <v>13.2</v>
      </c>
      <c r="I459">
        <v>26560.799999999999</v>
      </c>
      <c r="J459" t="s">
        <v>87</v>
      </c>
      <c r="K459" t="s">
        <v>117</v>
      </c>
      <c r="L459">
        <v>0</v>
      </c>
      <c r="M459" t="b">
        <v>1</v>
      </c>
      <c r="N459" t="s">
        <v>2828</v>
      </c>
      <c r="O459" t="s">
        <v>2515</v>
      </c>
      <c r="P459">
        <v>34</v>
      </c>
      <c r="Q459" t="s">
        <v>2862</v>
      </c>
      <c r="R459">
        <v>2237</v>
      </c>
    </row>
    <row r="460" spans="1:18" x14ac:dyDescent="0.3">
      <c r="A460" t="s">
        <v>1061</v>
      </c>
      <c r="B460" s="45">
        <v>45593</v>
      </c>
      <c r="C460" t="s">
        <v>1062</v>
      </c>
      <c r="D460" t="s">
        <v>179</v>
      </c>
      <c r="E460" t="s">
        <v>238</v>
      </c>
      <c r="F460">
        <v>6</v>
      </c>
      <c r="G460">
        <v>3350</v>
      </c>
      <c r="H460">
        <v>11.8</v>
      </c>
      <c r="I460">
        <v>17728.2</v>
      </c>
      <c r="J460" t="s">
        <v>93</v>
      </c>
      <c r="K460" t="s">
        <v>112</v>
      </c>
      <c r="L460">
        <v>0</v>
      </c>
      <c r="M460" t="b">
        <v>1</v>
      </c>
      <c r="N460" t="s">
        <v>2828</v>
      </c>
      <c r="O460" t="s">
        <v>2515</v>
      </c>
      <c r="P460">
        <v>54</v>
      </c>
      <c r="Q460" t="s">
        <v>2871</v>
      </c>
      <c r="R460">
        <v>1728</v>
      </c>
    </row>
    <row r="461" spans="1:18" x14ac:dyDescent="0.3">
      <c r="A461" t="s">
        <v>1058</v>
      </c>
      <c r="B461" s="45">
        <v>45588</v>
      </c>
      <c r="C461" t="s">
        <v>299</v>
      </c>
      <c r="D461" t="s">
        <v>157</v>
      </c>
      <c r="E461" t="s">
        <v>103</v>
      </c>
      <c r="F461">
        <v>10</v>
      </c>
      <c r="G461">
        <v>3450</v>
      </c>
      <c r="H461">
        <v>19.100000000000001</v>
      </c>
      <c r="I461">
        <v>27910.5</v>
      </c>
      <c r="J461" t="s">
        <v>87</v>
      </c>
      <c r="K461" t="s">
        <v>133</v>
      </c>
      <c r="L461">
        <v>0</v>
      </c>
      <c r="M461" t="b">
        <v>1</v>
      </c>
      <c r="N461" t="s">
        <v>2828</v>
      </c>
      <c r="O461" t="s">
        <v>2507</v>
      </c>
      <c r="P461">
        <v>29</v>
      </c>
      <c r="Q461" t="s">
        <v>2855</v>
      </c>
      <c r="R461">
        <v>2420</v>
      </c>
    </row>
    <row r="462" spans="1:18" x14ac:dyDescent="0.3">
      <c r="A462" t="s">
        <v>1052</v>
      </c>
      <c r="B462" s="45">
        <v>45649</v>
      </c>
      <c r="C462" t="s">
        <v>250</v>
      </c>
      <c r="D462" t="s">
        <v>443</v>
      </c>
      <c r="E462" t="s">
        <v>103</v>
      </c>
      <c r="F462">
        <v>5</v>
      </c>
      <c r="G462">
        <v>5080</v>
      </c>
      <c r="H462">
        <v>23.8</v>
      </c>
      <c r="I462">
        <v>19354.8</v>
      </c>
      <c r="J462" t="s">
        <v>87</v>
      </c>
      <c r="K462" t="s">
        <v>117</v>
      </c>
      <c r="L462">
        <v>0</v>
      </c>
      <c r="M462" t="b">
        <v>1</v>
      </c>
      <c r="N462" t="s">
        <v>2817</v>
      </c>
      <c r="O462" t="s">
        <v>2515</v>
      </c>
      <c r="P462">
        <v>34</v>
      </c>
      <c r="Q462" t="s">
        <v>2855</v>
      </c>
      <c r="R462">
        <v>2459</v>
      </c>
    </row>
    <row r="463" spans="1:18" x14ac:dyDescent="0.3">
      <c r="A463" t="s">
        <v>1045</v>
      </c>
      <c r="B463" s="45">
        <v>45572</v>
      </c>
      <c r="C463" t="s">
        <v>403</v>
      </c>
      <c r="D463" t="s">
        <v>515</v>
      </c>
      <c r="E463" t="s">
        <v>128</v>
      </c>
      <c r="F463">
        <v>9</v>
      </c>
      <c r="G463">
        <v>6940</v>
      </c>
      <c r="H463">
        <v>8</v>
      </c>
      <c r="I463">
        <v>57463.199999999997</v>
      </c>
      <c r="J463" t="s">
        <v>87</v>
      </c>
      <c r="K463" t="s">
        <v>117</v>
      </c>
      <c r="L463">
        <v>0</v>
      </c>
      <c r="M463" t="b">
        <v>1</v>
      </c>
      <c r="N463" t="s">
        <v>2839</v>
      </c>
      <c r="O463" t="s">
        <v>2507</v>
      </c>
      <c r="P463">
        <v>59</v>
      </c>
      <c r="Q463" t="s">
        <v>2879</v>
      </c>
      <c r="R463">
        <v>2827</v>
      </c>
    </row>
    <row r="464" spans="1:18" x14ac:dyDescent="0.3">
      <c r="A464" t="s">
        <v>1042</v>
      </c>
      <c r="B464" s="45">
        <v>45607</v>
      </c>
      <c r="C464" t="s">
        <v>194</v>
      </c>
      <c r="D464" t="s">
        <v>461</v>
      </c>
      <c r="E464" t="s">
        <v>252</v>
      </c>
      <c r="F464">
        <v>6</v>
      </c>
      <c r="G464">
        <v>3780</v>
      </c>
      <c r="H464">
        <v>12.7</v>
      </c>
      <c r="I464">
        <v>19799.64</v>
      </c>
      <c r="J464" t="s">
        <v>87</v>
      </c>
      <c r="K464" t="s">
        <v>88</v>
      </c>
      <c r="L464">
        <v>0</v>
      </c>
      <c r="M464" t="b">
        <v>1</v>
      </c>
      <c r="N464" t="s">
        <v>2839</v>
      </c>
      <c r="O464" t="s">
        <v>2515</v>
      </c>
      <c r="P464">
        <v>44</v>
      </c>
      <c r="Q464" t="s">
        <v>2862</v>
      </c>
      <c r="R464">
        <v>1860</v>
      </c>
    </row>
    <row r="465" spans="1:18" x14ac:dyDescent="0.3">
      <c r="A465" t="s">
        <v>1039</v>
      </c>
      <c r="B465" s="45">
        <v>45609</v>
      </c>
      <c r="C465" t="s">
        <v>310</v>
      </c>
      <c r="D465" t="s">
        <v>226</v>
      </c>
      <c r="E465" t="s">
        <v>297</v>
      </c>
      <c r="F465">
        <v>4</v>
      </c>
      <c r="G465">
        <v>3730</v>
      </c>
      <c r="H465">
        <v>3.4</v>
      </c>
      <c r="I465">
        <v>14412.72</v>
      </c>
      <c r="J465" t="s">
        <v>140</v>
      </c>
      <c r="K465" t="s">
        <v>117</v>
      </c>
      <c r="L465">
        <v>0</v>
      </c>
      <c r="M465" t="b">
        <v>1</v>
      </c>
      <c r="N465" t="s">
        <v>2817</v>
      </c>
      <c r="O465" t="s">
        <v>2507</v>
      </c>
      <c r="P465">
        <v>42</v>
      </c>
      <c r="Q465" t="s">
        <v>2855</v>
      </c>
      <c r="R465">
        <v>2135</v>
      </c>
    </row>
    <row r="466" spans="1:18" x14ac:dyDescent="0.3">
      <c r="A466" t="s">
        <v>1031</v>
      </c>
      <c r="B466" s="45">
        <v>45589</v>
      </c>
      <c r="C466" t="s">
        <v>557</v>
      </c>
      <c r="D466" t="s">
        <v>351</v>
      </c>
      <c r="E466" t="s">
        <v>86</v>
      </c>
      <c r="F466">
        <v>10</v>
      </c>
      <c r="G466">
        <v>4060</v>
      </c>
      <c r="H466">
        <v>3.6</v>
      </c>
      <c r="I466">
        <v>39138.400000000001</v>
      </c>
      <c r="J466" t="s">
        <v>93</v>
      </c>
      <c r="K466" t="s">
        <v>112</v>
      </c>
      <c r="L466">
        <v>0</v>
      </c>
      <c r="M466" t="b">
        <v>1</v>
      </c>
      <c r="N466" t="s">
        <v>2806</v>
      </c>
      <c r="O466" t="s">
        <v>2507</v>
      </c>
      <c r="P466">
        <v>65</v>
      </c>
      <c r="Q466" t="s">
        <v>2855</v>
      </c>
      <c r="R466">
        <v>2911</v>
      </c>
    </row>
    <row r="467" spans="1:18" x14ac:dyDescent="0.3">
      <c r="A467" t="s">
        <v>889</v>
      </c>
      <c r="B467" s="45">
        <v>45626</v>
      </c>
      <c r="C467" t="s">
        <v>669</v>
      </c>
      <c r="D467" t="s">
        <v>279</v>
      </c>
      <c r="E467" t="s">
        <v>238</v>
      </c>
      <c r="F467">
        <v>7</v>
      </c>
      <c r="G467">
        <v>2660</v>
      </c>
      <c r="H467">
        <v>27.4</v>
      </c>
      <c r="I467">
        <v>13518.12</v>
      </c>
      <c r="J467" t="s">
        <v>140</v>
      </c>
      <c r="K467" t="s">
        <v>133</v>
      </c>
      <c r="L467">
        <v>0</v>
      </c>
      <c r="M467" t="b">
        <v>0</v>
      </c>
      <c r="N467" t="s">
        <v>2784</v>
      </c>
      <c r="O467" t="s">
        <v>2507</v>
      </c>
      <c r="P467">
        <v>31</v>
      </c>
      <c r="Q467" t="s">
        <v>2871</v>
      </c>
      <c r="R467">
        <v>1259</v>
      </c>
    </row>
    <row r="468" spans="1:18" x14ac:dyDescent="0.3">
      <c r="A468" t="s">
        <v>1028</v>
      </c>
      <c r="B468" s="45">
        <v>45589</v>
      </c>
      <c r="C468" t="s">
        <v>101</v>
      </c>
      <c r="D468" t="s">
        <v>195</v>
      </c>
      <c r="E468" t="s">
        <v>285</v>
      </c>
      <c r="F468">
        <v>1</v>
      </c>
      <c r="G468">
        <v>2860</v>
      </c>
      <c r="H468">
        <v>10.4</v>
      </c>
      <c r="I468">
        <v>2562.56</v>
      </c>
      <c r="J468" t="s">
        <v>140</v>
      </c>
      <c r="K468" t="s">
        <v>99</v>
      </c>
      <c r="L468">
        <v>0</v>
      </c>
      <c r="M468" t="b">
        <v>1</v>
      </c>
      <c r="N468" t="s">
        <v>2839</v>
      </c>
      <c r="O468" t="s">
        <v>2509</v>
      </c>
      <c r="P468">
        <v>46</v>
      </c>
      <c r="Q468" t="s">
        <v>2871</v>
      </c>
      <c r="R468">
        <v>2028</v>
      </c>
    </row>
    <row r="469" spans="1:18" x14ac:dyDescent="0.3">
      <c r="A469" t="s">
        <v>1022</v>
      </c>
      <c r="B469" s="45">
        <v>45633</v>
      </c>
      <c r="C469" t="s">
        <v>983</v>
      </c>
      <c r="D469" t="s">
        <v>97</v>
      </c>
      <c r="E469" t="s">
        <v>303</v>
      </c>
      <c r="F469">
        <v>10</v>
      </c>
      <c r="G469">
        <v>470</v>
      </c>
      <c r="H469">
        <v>2.1</v>
      </c>
      <c r="I469">
        <v>4601.3</v>
      </c>
      <c r="J469" t="s">
        <v>87</v>
      </c>
      <c r="K469" t="s">
        <v>117</v>
      </c>
      <c r="L469">
        <v>0</v>
      </c>
      <c r="M469" t="b">
        <v>0</v>
      </c>
      <c r="N469" t="s">
        <v>2839</v>
      </c>
      <c r="O469" t="s">
        <v>2515</v>
      </c>
      <c r="P469">
        <v>36</v>
      </c>
      <c r="Q469" t="s">
        <v>2871</v>
      </c>
      <c r="R469">
        <v>302</v>
      </c>
    </row>
    <row r="470" spans="1:18" x14ac:dyDescent="0.3">
      <c r="A470" t="s">
        <v>1019</v>
      </c>
      <c r="B470" s="45">
        <v>45632</v>
      </c>
      <c r="C470" t="s">
        <v>602</v>
      </c>
      <c r="D470" t="s">
        <v>245</v>
      </c>
      <c r="E470" t="s">
        <v>297</v>
      </c>
      <c r="F470">
        <v>7</v>
      </c>
      <c r="G470">
        <v>2270</v>
      </c>
      <c r="H470">
        <v>27.9</v>
      </c>
      <c r="I470">
        <v>11456.69</v>
      </c>
      <c r="J470" t="s">
        <v>87</v>
      </c>
      <c r="K470" t="s">
        <v>94</v>
      </c>
      <c r="L470">
        <v>0</v>
      </c>
      <c r="M470" t="b">
        <v>1</v>
      </c>
      <c r="N470" t="s">
        <v>2806</v>
      </c>
      <c r="O470" t="s">
        <v>2507</v>
      </c>
      <c r="P470">
        <v>61</v>
      </c>
      <c r="Q470" t="s">
        <v>2855</v>
      </c>
      <c r="R470">
        <v>1412</v>
      </c>
    </row>
    <row r="471" spans="1:18" x14ac:dyDescent="0.3">
      <c r="A471" t="s">
        <v>1017</v>
      </c>
      <c r="B471" s="45">
        <v>45654</v>
      </c>
      <c r="C471" t="s">
        <v>291</v>
      </c>
      <c r="D471" t="s">
        <v>279</v>
      </c>
      <c r="E471" t="s">
        <v>132</v>
      </c>
      <c r="F471">
        <v>1</v>
      </c>
      <c r="G471">
        <v>2660</v>
      </c>
      <c r="H471">
        <v>11.6</v>
      </c>
      <c r="I471">
        <v>2351.44</v>
      </c>
      <c r="J471" t="s">
        <v>87</v>
      </c>
      <c r="K471" t="s">
        <v>99</v>
      </c>
      <c r="L471">
        <v>0</v>
      </c>
      <c r="M471" t="b">
        <v>0</v>
      </c>
      <c r="N471" t="s">
        <v>2784</v>
      </c>
      <c r="O471" t="s">
        <v>2507</v>
      </c>
      <c r="P471">
        <v>35</v>
      </c>
      <c r="Q471" t="s">
        <v>2862</v>
      </c>
      <c r="R471">
        <v>1259</v>
      </c>
    </row>
    <row r="472" spans="1:18" x14ac:dyDescent="0.3">
      <c r="A472" t="s">
        <v>1011</v>
      </c>
      <c r="B472" s="45">
        <v>45649</v>
      </c>
      <c r="C472" t="s">
        <v>105</v>
      </c>
      <c r="D472" t="s">
        <v>200</v>
      </c>
      <c r="E472" t="s">
        <v>238</v>
      </c>
      <c r="F472">
        <v>4</v>
      </c>
      <c r="G472">
        <v>2760</v>
      </c>
      <c r="H472">
        <v>19.8</v>
      </c>
      <c r="I472">
        <v>8854.08</v>
      </c>
      <c r="J472" t="s">
        <v>87</v>
      </c>
      <c r="K472" t="s">
        <v>94</v>
      </c>
      <c r="L472">
        <v>0</v>
      </c>
      <c r="M472" t="b">
        <v>1</v>
      </c>
      <c r="N472" t="s">
        <v>2806</v>
      </c>
      <c r="O472" t="s">
        <v>2507</v>
      </c>
      <c r="P472">
        <v>36</v>
      </c>
      <c r="Q472" t="s">
        <v>2871</v>
      </c>
      <c r="R472">
        <v>1435</v>
      </c>
    </row>
    <row r="473" spans="1:18" x14ac:dyDescent="0.3">
      <c r="A473" t="s">
        <v>1009</v>
      </c>
      <c r="B473" s="45">
        <v>45604</v>
      </c>
      <c r="C473" t="s">
        <v>785</v>
      </c>
      <c r="D473" t="s">
        <v>245</v>
      </c>
      <c r="E473" t="s">
        <v>297</v>
      </c>
      <c r="F473">
        <v>3</v>
      </c>
      <c r="G473">
        <v>2270</v>
      </c>
      <c r="H473">
        <v>6.5</v>
      </c>
      <c r="I473">
        <v>6367.35</v>
      </c>
      <c r="J473" t="s">
        <v>87</v>
      </c>
      <c r="K473" t="s">
        <v>88</v>
      </c>
      <c r="L473">
        <v>0</v>
      </c>
      <c r="M473" t="b">
        <v>1</v>
      </c>
      <c r="N473" t="s">
        <v>2806</v>
      </c>
      <c r="O473" t="s">
        <v>2507</v>
      </c>
      <c r="P473">
        <v>31</v>
      </c>
      <c r="Q473" t="s">
        <v>2855</v>
      </c>
      <c r="R473">
        <v>1412</v>
      </c>
    </row>
    <row r="474" spans="1:18" x14ac:dyDescent="0.3">
      <c r="A474" t="s">
        <v>1005</v>
      </c>
      <c r="B474" s="45">
        <v>45571</v>
      </c>
      <c r="C474" t="s">
        <v>1006</v>
      </c>
      <c r="D474" t="s">
        <v>110</v>
      </c>
      <c r="E474" t="s">
        <v>273</v>
      </c>
      <c r="F474">
        <v>1</v>
      </c>
      <c r="G474">
        <v>370</v>
      </c>
      <c r="H474">
        <v>10.3</v>
      </c>
      <c r="I474">
        <v>331.89</v>
      </c>
      <c r="J474" t="s">
        <v>144</v>
      </c>
      <c r="K474" t="s">
        <v>117</v>
      </c>
      <c r="L474">
        <v>0</v>
      </c>
      <c r="M474" t="b">
        <v>1</v>
      </c>
      <c r="N474" t="s">
        <v>2817</v>
      </c>
      <c r="O474" t="s">
        <v>2515</v>
      </c>
      <c r="P474">
        <v>44</v>
      </c>
      <c r="Q474" t="s">
        <v>2862</v>
      </c>
      <c r="R474">
        <v>288</v>
      </c>
    </row>
    <row r="475" spans="1:18" x14ac:dyDescent="0.3">
      <c r="A475" t="s">
        <v>997</v>
      </c>
      <c r="B475" s="45">
        <v>45572</v>
      </c>
      <c r="C475" t="s">
        <v>197</v>
      </c>
      <c r="D475" t="s">
        <v>135</v>
      </c>
      <c r="E475" t="s">
        <v>204</v>
      </c>
      <c r="F475">
        <v>6</v>
      </c>
      <c r="G475">
        <v>2640</v>
      </c>
      <c r="H475">
        <v>26.3</v>
      </c>
      <c r="I475">
        <v>11674.08</v>
      </c>
      <c r="J475" t="s">
        <v>87</v>
      </c>
      <c r="K475" t="s">
        <v>88</v>
      </c>
      <c r="L475">
        <v>0</v>
      </c>
      <c r="M475" t="b">
        <v>1</v>
      </c>
      <c r="N475" t="s">
        <v>2784</v>
      </c>
      <c r="O475" t="s">
        <v>2509</v>
      </c>
      <c r="P475">
        <v>47</v>
      </c>
      <c r="Q475" t="s">
        <v>2862</v>
      </c>
      <c r="R475">
        <v>1149</v>
      </c>
    </row>
    <row r="476" spans="1:18" x14ac:dyDescent="0.3">
      <c r="A476" t="s">
        <v>996</v>
      </c>
      <c r="B476" s="45">
        <v>45568</v>
      </c>
      <c r="C476" t="s">
        <v>266</v>
      </c>
      <c r="D476" t="s">
        <v>102</v>
      </c>
      <c r="E476" t="s">
        <v>128</v>
      </c>
      <c r="F476">
        <v>3</v>
      </c>
      <c r="G476">
        <v>3660</v>
      </c>
      <c r="H476">
        <v>3.2</v>
      </c>
      <c r="I476">
        <v>10628.64</v>
      </c>
      <c r="J476" t="s">
        <v>93</v>
      </c>
      <c r="K476" t="s">
        <v>99</v>
      </c>
      <c r="L476">
        <v>0</v>
      </c>
      <c r="M476" t="b">
        <v>0</v>
      </c>
      <c r="N476" t="s">
        <v>2806</v>
      </c>
      <c r="O476" t="s">
        <v>2509</v>
      </c>
      <c r="P476">
        <v>55</v>
      </c>
      <c r="Q476" t="s">
        <v>2879</v>
      </c>
      <c r="R476">
        <v>2214</v>
      </c>
    </row>
    <row r="477" spans="1:18" x14ac:dyDescent="0.3">
      <c r="A477" t="s">
        <v>992</v>
      </c>
      <c r="B477" s="45">
        <v>45638</v>
      </c>
      <c r="C477" t="s">
        <v>910</v>
      </c>
      <c r="D477" t="s">
        <v>151</v>
      </c>
      <c r="E477" t="s">
        <v>154</v>
      </c>
      <c r="F477">
        <v>6</v>
      </c>
      <c r="G477">
        <v>2400</v>
      </c>
      <c r="H477">
        <v>19.2</v>
      </c>
      <c r="I477">
        <v>11635.2</v>
      </c>
      <c r="J477" t="s">
        <v>140</v>
      </c>
      <c r="K477" t="s">
        <v>99</v>
      </c>
      <c r="L477">
        <v>0</v>
      </c>
      <c r="M477" t="b">
        <v>1</v>
      </c>
      <c r="N477" t="s">
        <v>2839</v>
      </c>
      <c r="O477" t="s">
        <v>2507</v>
      </c>
      <c r="P477">
        <v>55</v>
      </c>
      <c r="Q477" t="s">
        <v>2871</v>
      </c>
      <c r="R477">
        <v>974</v>
      </c>
    </row>
    <row r="478" spans="1:18" x14ac:dyDescent="0.3">
      <c r="A478" t="s">
        <v>903</v>
      </c>
      <c r="B478" s="45">
        <v>45631</v>
      </c>
      <c r="C478" t="s">
        <v>390</v>
      </c>
      <c r="D478" t="s">
        <v>182</v>
      </c>
      <c r="E478" t="s">
        <v>154</v>
      </c>
      <c r="F478">
        <v>2</v>
      </c>
      <c r="G478">
        <v>1010</v>
      </c>
      <c r="H478">
        <v>5.2</v>
      </c>
      <c r="I478">
        <v>1914.96</v>
      </c>
      <c r="J478" t="s">
        <v>140</v>
      </c>
      <c r="K478" t="s">
        <v>88</v>
      </c>
      <c r="L478">
        <v>0</v>
      </c>
      <c r="M478" t="b">
        <v>1</v>
      </c>
      <c r="N478" t="s">
        <v>2839</v>
      </c>
      <c r="O478" t="s">
        <v>2515</v>
      </c>
      <c r="P478">
        <v>54</v>
      </c>
      <c r="Q478" t="s">
        <v>2871</v>
      </c>
      <c r="R478">
        <v>516</v>
      </c>
    </row>
    <row r="479" spans="1:18" x14ac:dyDescent="0.3">
      <c r="A479" t="s">
        <v>904</v>
      </c>
      <c r="B479" s="45">
        <v>45588</v>
      </c>
      <c r="C479" t="s">
        <v>905</v>
      </c>
      <c r="D479" t="s">
        <v>282</v>
      </c>
      <c r="E479" t="s">
        <v>215</v>
      </c>
      <c r="F479">
        <v>9</v>
      </c>
      <c r="G479">
        <v>300</v>
      </c>
      <c r="H479">
        <v>7.9</v>
      </c>
      <c r="I479">
        <v>2486.6999999999998</v>
      </c>
      <c r="J479" t="s">
        <v>87</v>
      </c>
      <c r="K479" t="s">
        <v>112</v>
      </c>
      <c r="L479">
        <v>0</v>
      </c>
      <c r="M479" t="b">
        <v>1</v>
      </c>
      <c r="N479" t="s">
        <v>2784</v>
      </c>
      <c r="O479" t="s">
        <v>2515</v>
      </c>
      <c r="P479">
        <v>43</v>
      </c>
      <c r="Q479" t="s">
        <v>2855</v>
      </c>
      <c r="R479">
        <v>128</v>
      </c>
    </row>
    <row r="480" spans="1:18" x14ac:dyDescent="0.3">
      <c r="A480" t="s">
        <v>991</v>
      </c>
      <c r="B480" s="45">
        <v>45610</v>
      </c>
      <c r="C480" t="s">
        <v>190</v>
      </c>
      <c r="D480" t="s">
        <v>195</v>
      </c>
      <c r="E480" t="s">
        <v>303</v>
      </c>
      <c r="F480">
        <v>5</v>
      </c>
      <c r="G480">
        <v>2860</v>
      </c>
      <c r="H480">
        <v>26.8</v>
      </c>
      <c r="I480">
        <v>10467.6</v>
      </c>
      <c r="J480" t="s">
        <v>87</v>
      </c>
      <c r="K480" t="s">
        <v>133</v>
      </c>
      <c r="L480">
        <v>0</v>
      </c>
      <c r="M480" t="b">
        <v>1</v>
      </c>
      <c r="N480" t="s">
        <v>2839</v>
      </c>
      <c r="O480" t="s">
        <v>2509</v>
      </c>
      <c r="P480">
        <v>56</v>
      </c>
      <c r="Q480" t="s">
        <v>2871</v>
      </c>
      <c r="R480">
        <v>2028</v>
      </c>
    </row>
    <row r="481" spans="1:18" x14ac:dyDescent="0.3">
      <c r="A481" t="s">
        <v>987</v>
      </c>
      <c r="B481" s="45">
        <v>45592</v>
      </c>
      <c r="C481" t="s">
        <v>878</v>
      </c>
      <c r="D481" t="s">
        <v>292</v>
      </c>
      <c r="E481" t="s">
        <v>121</v>
      </c>
      <c r="F481">
        <v>2</v>
      </c>
      <c r="G481">
        <v>620</v>
      </c>
      <c r="H481">
        <v>8</v>
      </c>
      <c r="I481">
        <v>1140.8</v>
      </c>
      <c r="J481" t="s">
        <v>87</v>
      </c>
      <c r="K481" t="s">
        <v>112</v>
      </c>
      <c r="L481">
        <v>0</v>
      </c>
      <c r="M481" t="b">
        <v>1</v>
      </c>
      <c r="N481" t="s">
        <v>2795</v>
      </c>
      <c r="O481" t="s">
        <v>2509</v>
      </c>
      <c r="P481">
        <v>62</v>
      </c>
      <c r="Q481" t="s">
        <v>2871</v>
      </c>
      <c r="R481">
        <v>396</v>
      </c>
    </row>
    <row r="482" spans="1:18" x14ac:dyDescent="0.3">
      <c r="A482" t="s">
        <v>982</v>
      </c>
      <c r="B482" s="45">
        <v>45605</v>
      </c>
      <c r="C482" t="s">
        <v>983</v>
      </c>
      <c r="D482" t="s">
        <v>120</v>
      </c>
      <c r="E482" t="s">
        <v>107</v>
      </c>
      <c r="F482">
        <v>1</v>
      </c>
      <c r="G482">
        <v>1430</v>
      </c>
      <c r="H482">
        <v>19.600000000000001</v>
      </c>
      <c r="I482">
        <v>1149.72</v>
      </c>
      <c r="J482" t="s">
        <v>87</v>
      </c>
      <c r="K482" t="s">
        <v>117</v>
      </c>
      <c r="L482">
        <v>0</v>
      </c>
      <c r="M482" t="b">
        <v>1</v>
      </c>
      <c r="N482" t="s">
        <v>2784</v>
      </c>
      <c r="O482" t="s">
        <v>2515</v>
      </c>
      <c r="P482">
        <v>36</v>
      </c>
      <c r="Q482" t="s">
        <v>2855</v>
      </c>
      <c r="R482">
        <v>861</v>
      </c>
    </row>
    <row r="483" spans="1:18" x14ac:dyDescent="0.3">
      <c r="A483" t="s">
        <v>964</v>
      </c>
      <c r="B483" s="45">
        <v>45634</v>
      </c>
      <c r="C483" t="s">
        <v>643</v>
      </c>
      <c r="D483" t="s">
        <v>360</v>
      </c>
      <c r="E483" t="s">
        <v>343</v>
      </c>
      <c r="F483">
        <v>4</v>
      </c>
      <c r="G483">
        <v>5410</v>
      </c>
      <c r="H483">
        <v>11.3</v>
      </c>
      <c r="I483">
        <v>19194.68</v>
      </c>
      <c r="J483" t="s">
        <v>144</v>
      </c>
      <c r="K483" t="s">
        <v>112</v>
      </c>
      <c r="L483">
        <v>0</v>
      </c>
      <c r="M483" t="b">
        <v>1</v>
      </c>
      <c r="N483" t="s">
        <v>2839</v>
      </c>
      <c r="O483" t="s">
        <v>2515</v>
      </c>
      <c r="P483">
        <v>27</v>
      </c>
      <c r="Q483" t="s">
        <v>2879</v>
      </c>
      <c r="R483">
        <v>2265</v>
      </c>
    </row>
    <row r="484" spans="1:18" x14ac:dyDescent="0.3">
      <c r="A484" t="s">
        <v>960</v>
      </c>
      <c r="B484" s="45">
        <v>45566</v>
      </c>
      <c r="C484" t="s">
        <v>289</v>
      </c>
      <c r="D484" t="s">
        <v>443</v>
      </c>
      <c r="E484" t="s">
        <v>103</v>
      </c>
      <c r="F484">
        <v>4</v>
      </c>
      <c r="G484">
        <v>5080</v>
      </c>
      <c r="H484">
        <v>28.6</v>
      </c>
      <c r="I484">
        <v>14508.48</v>
      </c>
      <c r="J484" t="s">
        <v>87</v>
      </c>
      <c r="K484" t="s">
        <v>94</v>
      </c>
      <c r="L484">
        <v>0</v>
      </c>
      <c r="M484" t="b">
        <v>1</v>
      </c>
      <c r="N484" t="s">
        <v>2817</v>
      </c>
      <c r="O484" t="s">
        <v>2507</v>
      </c>
      <c r="P484">
        <v>38</v>
      </c>
      <c r="Q484" t="s">
        <v>2855</v>
      </c>
      <c r="R484">
        <v>2459</v>
      </c>
    </row>
    <row r="485" spans="1:18" x14ac:dyDescent="0.3">
      <c r="A485" t="s">
        <v>957</v>
      </c>
      <c r="B485" s="45">
        <v>45638</v>
      </c>
      <c r="C485" t="s">
        <v>186</v>
      </c>
      <c r="D485" t="s">
        <v>364</v>
      </c>
      <c r="E485" t="s">
        <v>238</v>
      </c>
      <c r="F485">
        <v>2</v>
      </c>
      <c r="G485">
        <v>5330</v>
      </c>
      <c r="H485">
        <v>26.5</v>
      </c>
      <c r="I485">
        <v>7835.1</v>
      </c>
      <c r="J485" t="s">
        <v>87</v>
      </c>
      <c r="K485" t="s">
        <v>94</v>
      </c>
      <c r="L485">
        <v>0</v>
      </c>
      <c r="M485" t="b">
        <v>1</v>
      </c>
      <c r="N485" t="s">
        <v>2784</v>
      </c>
      <c r="O485" t="s">
        <v>2515</v>
      </c>
      <c r="P485">
        <v>52</v>
      </c>
      <c r="Q485" t="s">
        <v>2871</v>
      </c>
      <c r="R485">
        <v>2405</v>
      </c>
    </row>
    <row r="486" spans="1:18" x14ac:dyDescent="0.3">
      <c r="A486" t="s">
        <v>951</v>
      </c>
      <c r="B486" s="45">
        <v>45656</v>
      </c>
      <c r="C486" t="s">
        <v>952</v>
      </c>
      <c r="D486" t="s">
        <v>85</v>
      </c>
      <c r="E486" t="s">
        <v>325</v>
      </c>
      <c r="F486">
        <v>5</v>
      </c>
      <c r="G486">
        <v>3620</v>
      </c>
      <c r="H486">
        <v>18.2</v>
      </c>
      <c r="I486">
        <v>14805.8</v>
      </c>
      <c r="J486" t="s">
        <v>87</v>
      </c>
      <c r="K486" t="s">
        <v>133</v>
      </c>
      <c r="L486">
        <v>0</v>
      </c>
      <c r="M486" t="b">
        <v>1</v>
      </c>
      <c r="N486" t="s">
        <v>2795</v>
      </c>
      <c r="O486" t="s">
        <v>2507</v>
      </c>
      <c r="P486">
        <v>35</v>
      </c>
      <c r="Q486" t="s">
        <v>2862</v>
      </c>
      <c r="R486">
        <v>2509</v>
      </c>
    </row>
    <row r="487" spans="1:18" x14ac:dyDescent="0.3">
      <c r="A487" t="s">
        <v>949</v>
      </c>
      <c r="B487" s="45">
        <v>45613</v>
      </c>
      <c r="C487" t="s">
        <v>823</v>
      </c>
      <c r="D487" t="s">
        <v>173</v>
      </c>
      <c r="E487" t="s">
        <v>215</v>
      </c>
      <c r="F487">
        <v>5</v>
      </c>
      <c r="G487">
        <v>2720</v>
      </c>
      <c r="H487">
        <v>10.3</v>
      </c>
      <c r="I487">
        <v>12199.2</v>
      </c>
      <c r="J487" t="s">
        <v>140</v>
      </c>
      <c r="K487" t="s">
        <v>94</v>
      </c>
      <c r="L487">
        <v>0</v>
      </c>
      <c r="M487" t="b">
        <v>1</v>
      </c>
      <c r="N487" t="s">
        <v>2795</v>
      </c>
      <c r="O487" t="s">
        <v>2507</v>
      </c>
      <c r="P487">
        <v>32</v>
      </c>
      <c r="Q487" t="s">
        <v>2855</v>
      </c>
      <c r="R487">
        <v>1962</v>
      </c>
    </row>
    <row r="488" spans="1:18" x14ac:dyDescent="0.3">
      <c r="A488" t="s">
        <v>947</v>
      </c>
      <c r="B488" s="45">
        <v>45612</v>
      </c>
      <c r="C488" t="s">
        <v>948</v>
      </c>
      <c r="D488" t="s">
        <v>264</v>
      </c>
      <c r="E488" t="s">
        <v>325</v>
      </c>
      <c r="F488">
        <v>9</v>
      </c>
      <c r="G488">
        <v>4070</v>
      </c>
      <c r="H488">
        <v>15.6</v>
      </c>
      <c r="I488">
        <v>30915.72</v>
      </c>
      <c r="J488" t="s">
        <v>87</v>
      </c>
      <c r="K488" t="s">
        <v>88</v>
      </c>
      <c r="L488">
        <v>0</v>
      </c>
      <c r="M488" t="b">
        <v>1</v>
      </c>
      <c r="N488" t="s">
        <v>2806</v>
      </c>
      <c r="O488" t="s">
        <v>2507</v>
      </c>
      <c r="P488">
        <v>65</v>
      </c>
      <c r="Q488" t="s">
        <v>2862</v>
      </c>
      <c r="R488">
        <v>2027</v>
      </c>
    </row>
    <row r="489" spans="1:18" x14ac:dyDescent="0.3">
      <c r="A489" t="s">
        <v>946</v>
      </c>
      <c r="B489" s="45">
        <v>45629</v>
      </c>
      <c r="C489" t="s">
        <v>101</v>
      </c>
      <c r="D489" t="s">
        <v>364</v>
      </c>
      <c r="E489" t="s">
        <v>154</v>
      </c>
      <c r="F489">
        <v>10</v>
      </c>
      <c r="G489">
        <v>5330</v>
      </c>
      <c r="H489">
        <v>0.7</v>
      </c>
      <c r="I489">
        <v>52926.9</v>
      </c>
      <c r="J489" t="s">
        <v>87</v>
      </c>
      <c r="K489" t="s">
        <v>99</v>
      </c>
      <c r="L489">
        <v>0</v>
      </c>
      <c r="M489" t="b">
        <v>1</v>
      </c>
      <c r="N489" t="s">
        <v>2784</v>
      </c>
      <c r="O489" t="s">
        <v>2509</v>
      </c>
      <c r="P489">
        <v>46</v>
      </c>
      <c r="Q489" t="s">
        <v>2871</v>
      </c>
      <c r="R489">
        <v>2405</v>
      </c>
    </row>
    <row r="490" spans="1:18" x14ac:dyDescent="0.3">
      <c r="A490" t="s">
        <v>941</v>
      </c>
      <c r="B490" s="45">
        <v>45569</v>
      </c>
      <c r="C490" t="s">
        <v>105</v>
      </c>
      <c r="D490" t="s">
        <v>176</v>
      </c>
      <c r="E490" t="s">
        <v>154</v>
      </c>
      <c r="F490">
        <v>10</v>
      </c>
      <c r="G490">
        <v>1650</v>
      </c>
      <c r="H490">
        <v>22.9</v>
      </c>
      <c r="I490">
        <v>12721.5</v>
      </c>
      <c r="J490" t="s">
        <v>144</v>
      </c>
      <c r="K490" t="s">
        <v>94</v>
      </c>
      <c r="L490">
        <v>0</v>
      </c>
      <c r="M490" t="b">
        <v>1</v>
      </c>
      <c r="N490" t="s">
        <v>2828</v>
      </c>
      <c r="O490" t="s">
        <v>2507</v>
      </c>
      <c r="P490">
        <v>36</v>
      </c>
      <c r="Q490" t="s">
        <v>2871</v>
      </c>
      <c r="R490">
        <v>1222</v>
      </c>
    </row>
    <row r="491" spans="1:18" x14ac:dyDescent="0.3">
      <c r="A491" t="s">
        <v>939</v>
      </c>
      <c r="B491" s="45">
        <v>45637</v>
      </c>
      <c r="C491" t="s">
        <v>357</v>
      </c>
      <c r="D491" t="s">
        <v>282</v>
      </c>
      <c r="E491" t="s">
        <v>128</v>
      </c>
      <c r="F491">
        <v>4</v>
      </c>
      <c r="G491">
        <v>300</v>
      </c>
      <c r="H491">
        <v>16.7</v>
      </c>
      <c r="I491">
        <v>999.6</v>
      </c>
      <c r="J491" t="s">
        <v>87</v>
      </c>
      <c r="K491" t="s">
        <v>99</v>
      </c>
      <c r="L491">
        <v>0</v>
      </c>
      <c r="M491" t="b">
        <v>1</v>
      </c>
      <c r="N491" t="s">
        <v>2784</v>
      </c>
      <c r="O491" t="s">
        <v>2515</v>
      </c>
      <c r="P491">
        <v>38</v>
      </c>
      <c r="Q491" t="s">
        <v>2879</v>
      </c>
      <c r="R491">
        <v>128</v>
      </c>
    </row>
    <row r="492" spans="1:18" x14ac:dyDescent="0.3">
      <c r="A492" t="s">
        <v>920</v>
      </c>
      <c r="B492" s="45">
        <v>45639</v>
      </c>
      <c r="C492" t="s">
        <v>921</v>
      </c>
      <c r="D492" t="s">
        <v>408</v>
      </c>
      <c r="E492" t="s">
        <v>285</v>
      </c>
      <c r="F492">
        <v>8</v>
      </c>
      <c r="G492">
        <v>3970</v>
      </c>
      <c r="H492">
        <v>23.7</v>
      </c>
      <c r="I492">
        <v>24232.880000000001</v>
      </c>
      <c r="J492" t="s">
        <v>87</v>
      </c>
      <c r="K492" t="s">
        <v>117</v>
      </c>
      <c r="L492">
        <v>0</v>
      </c>
      <c r="M492" t="b">
        <v>1</v>
      </c>
      <c r="N492" t="s">
        <v>2784</v>
      </c>
      <c r="O492" t="s">
        <v>2507</v>
      </c>
      <c r="P492">
        <v>28</v>
      </c>
      <c r="Q492" t="s">
        <v>2871</v>
      </c>
      <c r="R492">
        <v>2865</v>
      </c>
    </row>
    <row r="493" spans="1:18" x14ac:dyDescent="0.3">
      <c r="A493" t="s">
        <v>938</v>
      </c>
      <c r="B493" s="45">
        <v>45586</v>
      </c>
      <c r="C493" t="s">
        <v>613</v>
      </c>
      <c r="D493" t="s">
        <v>191</v>
      </c>
      <c r="E493" t="s">
        <v>121</v>
      </c>
      <c r="F493">
        <v>9</v>
      </c>
      <c r="G493">
        <v>5100</v>
      </c>
      <c r="H493">
        <v>11.1</v>
      </c>
      <c r="I493">
        <v>40805.1</v>
      </c>
      <c r="J493" t="s">
        <v>140</v>
      </c>
      <c r="K493" t="s">
        <v>112</v>
      </c>
      <c r="L493">
        <v>0</v>
      </c>
      <c r="M493" t="b">
        <v>1</v>
      </c>
      <c r="N493" t="s">
        <v>2828</v>
      </c>
      <c r="O493" t="s">
        <v>2507</v>
      </c>
      <c r="P493">
        <v>44</v>
      </c>
      <c r="Q493" t="s">
        <v>2871</v>
      </c>
      <c r="R493">
        <v>2237</v>
      </c>
    </row>
    <row r="494" spans="1:18" x14ac:dyDescent="0.3">
      <c r="A494" t="s">
        <v>936</v>
      </c>
      <c r="B494" s="45">
        <v>45638</v>
      </c>
      <c r="C494" t="s">
        <v>359</v>
      </c>
      <c r="D494" t="s">
        <v>151</v>
      </c>
      <c r="E494" t="s">
        <v>111</v>
      </c>
      <c r="F494">
        <v>4</v>
      </c>
      <c r="G494">
        <v>2400</v>
      </c>
      <c r="H494">
        <v>19.100000000000001</v>
      </c>
      <c r="I494">
        <v>7766.4</v>
      </c>
      <c r="J494" t="s">
        <v>87</v>
      </c>
      <c r="K494" t="s">
        <v>99</v>
      </c>
      <c r="L494">
        <v>0</v>
      </c>
      <c r="M494" t="b">
        <v>1</v>
      </c>
      <c r="N494" t="s">
        <v>2839</v>
      </c>
      <c r="O494" t="s">
        <v>2515</v>
      </c>
      <c r="P494">
        <v>28</v>
      </c>
      <c r="Q494" t="s">
        <v>2879</v>
      </c>
      <c r="R494">
        <v>974</v>
      </c>
    </row>
    <row r="495" spans="1:18" x14ac:dyDescent="0.3">
      <c r="A495" t="s">
        <v>932</v>
      </c>
      <c r="B495" s="45">
        <v>45577</v>
      </c>
      <c r="C495" t="s">
        <v>272</v>
      </c>
      <c r="D495" t="s">
        <v>461</v>
      </c>
      <c r="E495" t="s">
        <v>325</v>
      </c>
      <c r="F495">
        <v>10</v>
      </c>
      <c r="G495">
        <v>3780</v>
      </c>
      <c r="H495">
        <v>24.1</v>
      </c>
      <c r="I495">
        <v>28690.2</v>
      </c>
      <c r="J495" t="s">
        <v>144</v>
      </c>
      <c r="K495" t="s">
        <v>94</v>
      </c>
      <c r="L495">
        <v>0</v>
      </c>
      <c r="M495" t="b">
        <v>1</v>
      </c>
      <c r="N495" t="s">
        <v>2839</v>
      </c>
      <c r="O495" t="s">
        <v>2515</v>
      </c>
      <c r="P495">
        <v>55</v>
      </c>
      <c r="Q495" t="s">
        <v>2862</v>
      </c>
      <c r="R495">
        <v>1860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1CFF4-4623-4324-A1B7-A861F1AB8A88}">
  <dimension ref="A1:R495"/>
  <sheetViews>
    <sheetView workbookViewId="0">
      <selection activeCell="A3" sqref="A3:R495"/>
    </sheetView>
  </sheetViews>
  <sheetFormatPr defaultRowHeight="14.4" x14ac:dyDescent="0.3"/>
  <cols>
    <col min="1" max="1" width="10.33203125" bestFit="1" customWidth="1"/>
    <col min="2" max="2" width="12.5546875" bestFit="1" customWidth="1"/>
    <col min="3" max="3" width="13.6640625" bestFit="1" customWidth="1"/>
    <col min="4" max="4" width="12.44140625" bestFit="1" customWidth="1"/>
    <col min="5" max="5" width="13.5546875" bestFit="1" customWidth="1"/>
    <col min="6" max="6" width="10.33203125" bestFit="1" customWidth="1"/>
    <col min="7" max="7" width="11.6640625" bestFit="1" customWidth="1"/>
    <col min="8" max="8" width="14.109375" bestFit="1" customWidth="1"/>
    <col min="9" max="9" width="14.5546875" bestFit="1" customWidth="1"/>
    <col min="10" max="10" width="16.88671875" bestFit="1" customWidth="1"/>
    <col min="11" max="12" width="10.6640625" bestFit="1" customWidth="1"/>
    <col min="13" max="13" width="10.44140625" bestFit="1" customWidth="1"/>
    <col min="14" max="14" width="10.5546875" bestFit="1" customWidth="1"/>
    <col min="15" max="15" width="10.44140625" bestFit="1" customWidth="1"/>
    <col min="16" max="17" width="9" bestFit="1" customWidth="1"/>
    <col min="18" max="18" width="11" bestFit="1" customWidth="1"/>
  </cols>
  <sheetData>
    <row r="1" spans="1:18" x14ac:dyDescent="0.3">
      <c r="A1" s="46" t="s">
        <v>3044</v>
      </c>
    </row>
    <row r="3" spans="1:18" x14ac:dyDescent="0.3">
      <c r="A3" t="s">
        <v>72</v>
      </c>
      <c r="B3" t="s">
        <v>73</v>
      </c>
      <c r="C3" t="s">
        <v>74</v>
      </c>
      <c r="D3" t="s">
        <v>75</v>
      </c>
      <c r="E3" t="s">
        <v>76</v>
      </c>
      <c r="F3" t="s">
        <v>77</v>
      </c>
      <c r="G3" t="s">
        <v>78</v>
      </c>
      <c r="H3" t="s">
        <v>79</v>
      </c>
      <c r="I3" t="s">
        <v>80</v>
      </c>
      <c r="J3" t="s">
        <v>81</v>
      </c>
      <c r="K3" t="s">
        <v>82</v>
      </c>
      <c r="L3" t="s">
        <v>3026</v>
      </c>
      <c r="M3" t="s">
        <v>2782</v>
      </c>
      <c r="N3" t="s">
        <v>2780</v>
      </c>
      <c r="O3" t="s">
        <v>2504</v>
      </c>
      <c r="P3" t="s">
        <v>2502</v>
      </c>
      <c r="Q3" t="s">
        <v>2851</v>
      </c>
      <c r="R3" t="s">
        <v>2781</v>
      </c>
    </row>
    <row r="4" spans="1:18" x14ac:dyDescent="0.3">
      <c r="A4" t="s">
        <v>2498</v>
      </c>
      <c r="B4" s="45">
        <v>45592</v>
      </c>
      <c r="C4" t="s">
        <v>757</v>
      </c>
      <c r="D4" t="s">
        <v>338</v>
      </c>
      <c r="E4" t="s">
        <v>273</v>
      </c>
      <c r="F4">
        <v>4</v>
      </c>
      <c r="G4">
        <v>2210</v>
      </c>
      <c r="H4">
        <v>18.2</v>
      </c>
      <c r="I4">
        <v>7231.12</v>
      </c>
      <c r="J4" t="s">
        <v>93</v>
      </c>
      <c r="K4" t="s">
        <v>117</v>
      </c>
      <c r="L4">
        <v>0</v>
      </c>
      <c r="M4" t="b">
        <v>1</v>
      </c>
      <c r="N4" t="s">
        <v>2806</v>
      </c>
      <c r="O4" t="s">
        <v>2509</v>
      </c>
      <c r="P4">
        <v>43</v>
      </c>
      <c r="Q4" t="s">
        <v>2862</v>
      </c>
      <c r="R4">
        <v>1010</v>
      </c>
    </row>
    <row r="5" spans="1:18" x14ac:dyDescent="0.3">
      <c r="A5" t="s">
        <v>2497</v>
      </c>
      <c r="B5" s="45">
        <v>45585</v>
      </c>
      <c r="C5" t="s">
        <v>563</v>
      </c>
      <c r="D5" t="s">
        <v>408</v>
      </c>
      <c r="E5" t="s">
        <v>238</v>
      </c>
      <c r="F5">
        <v>6</v>
      </c>
      <c r="G5">
        <v>3970</v>
      </c>
      <c r="H5">
        <v>5.8</v>
      </c>
      <c r="I5">
        <v>22438.44</v>
      </c>
      <c r="J5" t="s">
        <v>93</v>
      </c>
      <c r="K5" t="s">
        <v>88</v>
      </c>
      <c r="L5">
        <v>0</v>
      </c>
      <c r="M5" t="b">
        <v>1</v>
      </c>
      <c r="N5" t="s">
        <v>2784</v>
      </c>
      <c r="O5" t="s">
        <v>2515</v>
      </c>
      <c r="P5">
        <v>24</v>
      </c>
      <c r="Q5" t="s">
        <v>2871</v>
      </c>
      <c r="R5">
        <v>2865</v>
      </c>
    </row>
    <row r="6" spans="1:18" x14ac:dyDescent="0.3">
      <c r="A6" t="s">
        <v>2491</v>
      </c>
      <c r="B6" s="45">
        <v>45616</v>
      </c>
      <c r="C6" t="s">
        <v>1104</v>
      </c>
      <c r="D6" t="s">
        <v>191</v>
      </c>
      <c r="E6" t="s">
        <v>252</v>
      </c>
      <c r="F6">
        <v>5</v>
      </c>
      <c r="G6">
        <v>5100</v>
      </c>
      <c r="H6">
        <v>28.4</v>
      </c>
      <c r="I6">
        <v>18258</v>
      </c>
      <c r="J6" t="s">
        <v>87</v>
      </c>
      <c r="K6" t="s">
        <v>117</v>
      </c>
      <c r="L6">
        <v>0</v>
      </c>
      <c r="M6" t="b">
        <v>1</v>
      </c>
      <c r="N6" t="s">
        <v>2828</v>
      </c>
      <c r="O6" t="s">
        <v>2509</v>
      </c>
      <c r="P6">
        <v>31</v>
      </c>
      <c r="Q6" t="s">
        <v>2862</v>
      </c>
      <c r="R6">
        <v>2237</v>
      </c>
    </row>
    <row r="7" spans="1:18" x14ac:dyDescent="0.3">
      <c r="A7" t="s">
        <v>2490</v>
      </c>
      <c r="B7" s="45">
        <v>45645</v>
      </c>
      <c r="C7" t="s">
        <v>166</v>
      </c>
      <c r="D7" t="s">
        <v>502</v>
      </c>
      <c r="E7" t="s">
        <v>103</v>
      </c>
      <c r="F7">
        <v>10</v>
      </c>
      <c r="G7">
        <v>1090</v>
      </c>
      <c r="H7">
        <v>29.2</v>
      </c>
      <c r="I7">
        <v>7717.2</v>
      </c>
      <c r="J7" t="s">
        <v>140</v>
      </c>
      <c r="K7" t="s">
        <v>133</v>
      </c>
      <c r="L7">
        <v>0</v>
      </c>
      <c r="M7" t="b">
        <v>1</v>
      </c>
      <c r="N7" t="s">
        <v>2817</v>
      </c>
      <c r="O7" t="s">
        <v>2507</v>
      </c>
      <c r="P7">
        <v>32</v>
      </c>
      <c r="Q7" t="s">
        <v>2855</v>
      </c>
      <c r="R7">
        <v>464</v>
      </c>
    </row>
    <row r="8" spans="1:18" x14ac:dyDescent="0.3">
      <c r="A8" t="s">
        <v>104</v>
      </c>
      <c r="B8" s="45">
        <v>45611</v>
      </c>
      <c r="C8" t="s">
        <v>105</v>
      </c>
      <c r="D8" t="s">
        <v>106</v>
      </c>
      <c r="E8" t="s">
        <v>107</v>
      </c>
      <c r="F8">
        <v>1</v>
      </c>
      <c r="G8">
        <v>3160</v>
      </c>
      <c r="H8">
        <v>26</v>
      </c>
      <c r="I8">
        <v>2338.4</v>
      </c>
      <c r="J8" t="s">
        <v>87</v>
      </c>
      <c r="K8" t="s">
        <v>94</v>
      </c>
      <c r="L8">
        <v>0</v>
      </c>
      <c r="M8" t="b">
        <v>1</v>
      </c>
      <c r="N8" t="s">
        <v>2795</v>
      </c>
      <c r="O8" t="s">
        <v>2507</v>
      </c>
      <c r="P8">
        <v>36</v>
      </c>
      <c r="Q8" t="s">
        <v>2855</v>
      </c>
      <c r="R8">
        <v>1886</v>
      </c>
    </row>
    <row r="9" spans="1:18" x14ac:dyDescent="0.3">
      <c r="A9" t="s">
        <v>2480</v>
      </c>
      <c r="B9" s="45">
        <v>45635</v>
      </c>
      <c r="C9" t="s">
        <v>1006</v>
      </c>
      <c r="D9" t="s">
        <v>295</v>
      </c>
      <c r="E9" t="s">
        <v>103</v>
      </c>
      <c r="F9">
        <v>10</v>
      </c>
      <c r="G9">
        <v>2030</v>
      </c>
      <c r="H9">
        <v>29.2</v>
      </c>
      <c r="I9">
        <v>14372.4</v>
      </c>
      <c r="J9" t="s">
        <v>87</v>
      </c>
      <c r="K9" t="s">
        <v>117</v>
      </c>
      <c r="L9">
        <v>0</v>
      </c>
      <c r="M9" t="b">
        <v>1</v>
      </c>
      <c r="N9" t="s">
        <v>2817</v>
      </c>
      <c r="O9" t="s">
        <v>2515</v>
      </c>
      <c r="P9">
        <v>44</v>
      </c>
      <c r="Q9" t="s">
        <v>2855</v>
      </c>
      <c r="R9">
        <v>1143</v>
      </c>
    </row>
    <row r="10" spans="1:18" x14ac:dyDescent="0.3">
      <c r="A10" t="s">
        <v>2477</v>
      </c>
      <c r="B10" s="45">
        <v>45589</v>
      </c>
      <c r="C10" t="s">
        <v>945</v>
      </c>
      <c r="D10" t="s">
        <v>97</v>
      </c>
      <c r="E10" t="s">
        <v>128</v>
      </c>
      <c r="F10">
        <v>3</v>
      </c>
      <c r="G10">
        <v>470</v>
      </c>
      <c r="H10">
        <v>14.2</v>
      </c>
      <c r="I10">
        <v>1209.78</v>
      </c>
      <c r="J10" t="s">
        <v>87</v>
      </c>
      <c r="K10" t="s">
        <v>88</v>
      </c>
      <c r="L10">
        <v>0</v>
      </c>
      <c r="M10" t="b">
        <v>0</v>
      </c>
      <c r="N10" t="s">
        <v>2839</v>
      </c>
      <c r="O10" t="s">
        <v>2507</v>
      </c>
      <c r="P10">
        <v>54</v>
      </c>
      <c r="Q10" t="s">
        <v>2879</v>
      </c>
      <c r="R10">
        <v>302</v>
      </c>
    </row>
    <row r="11" spans="1:18" x14ac:dyDescent="0.3">
      <c r="A11" t="s">
        <v>118</v>
      </c>
      <c r="B11" s="45">
        <v>45617</v>
      </c>
      <c r="C11" t="s">
        <v>119</v>
      </c>
      <c r="D11" t="s">
        <v>120</v>
      </c>
      <c r="E11" t="s">
        <v>121</v>
      </c>
      <c r="F11">
        <v>8</v>
      </c>
      <c r="G11">
        <v>1430</v>
      </c>
      <c r="H11">
        <v>2.4</v>
      </c>
      <c r="I11">
        <v>11165.44</v>
      </c>
      <c r="J11" t="s">
        <v>87</v>
      </c>
      <c r="K11" t="s">
        <v>117</v>
      </c>
      <c r="L11">
        <v>0</v>
      </c>
      <c r="M11" t="b">
        <v>1</v>
      </c>
      <c r="N11" t="s">
        <v>2784</v>
      </c>
      <c r="O11" t="s">
        <v>2509</v>
      </c>
      <c r="P11">
        <v>57</v>
      </c>
      <c r="Q11" t="s">
        <v>2871</v>
      </c>
      <c r="R11">
        <v>861</v>
      </c>
    </row>
    <row r="12" spans="1:18" x14ac:dyDescent="0.3">
      <c r="A12" t="s">
        <v>2467</v>
      </c>
      <c r="B12" s="45">
        <v>45586</v>
      </c>
      <c r="C12" t="s">
        <v>333</v>
      </c>
      <c r="D12" t="s">
        <v>659</v>
      </c>
      <c r="E12" t="s">
        <v>170</v>
      </c>
      <c r="F12">
        <v>3</v>
      </c>
      <c r="G12">
        <v>3560</v>
      </c>
      <c r="H12">
        <v>23.6</v>
      </c>
      <c r="I12">
        <v>8159.52</v>
      </c>
      <c r="J12" t="s">
        <v>87</v>
      </c>
      <c r="K12" t="s">
        <v>133</v>
      </c>
      <c r="L12">
        <v>0</v>
      </c>
      <c r="M12" t="b">
        <v>1</v>
      </c>
      <c r="N12" t="s">
        <v>2795</v>
      </c>
      <c r="O12" t="s">
        <v>2515</v>
      </c>
      <c r="P12">
        <v>65</v>
      </c>
      <c r="Q12" t="s">
        <v>2879</v>
      </c>
      <c r="R12">
        <v>2629</v>
      </c>
    </row>
    <row r="13" spans="1:18" x14ac:dyDescent="0.3">
      <c r="A13" t="s">
        <v>2459</v>
      </c>
      <c r="B13" s="45">
        <v>45598</v>
      </c>
      <c r="C13" t="s">
        <v>717</v>
      </c>
      <c r="D13" t="s">
        <v>264</v>
      </c>
      <c r="E13" t="s">
        <v>192</v>
      </c>
      <c r="F13">
        <v>10</v>
      </c>
      <c r="G13">
        <v>4070</v>
      </c>
      <c r="H13">
        <v>11.6</v>
      </c>
      <c r="I13">
        <v>35978.800000000003</v>
      </c>
      <c r="J13" t="s">
        <v>87</v>
      </c>
      <c r="K13" t="s">
        <v>94</v>
      </c>
      <c r="L13">
        <v>0</v>
      </c>
      <c r="M13" t="b">
        <v>1</v>
      </c>
      <c r="N13" t="s">
        <v>2806</v>
      </c>
      <c r="O13" t="s">
        <v>2507</v>
      </c>
      <c r="P13">
        <v>24</v>
      </c>
      <c r="Q13" t="s">
        <v>2871</v>
      </c>
      <c r="R13">
        <v>2027</v>
      </c>
    </row>
    <row r="14" spans="1:18" x14ac:dyDescent="0.3">
      <c r="A14" t="s">
        <v>2458</v>
      </c>
      <c r="B14" s="45">
        <v>45633</v>
      </c>
      <c r="C14" t="s">
        <v>613</v>
      </c>
      <c r="D14" t="s">
        <v>267</v>
      </c>
      <c r="E14" t="s">
        <v>128</v>
      </c>
      <c r="F14">
        <v>4</v>
      </c>
      <c r="G14">
        <v>1220</v>
      </c>
      <c r="H14">
        <v>2.7</v>
      </c>
      <c r="I14">
        <v>4748.24</v>
      </c>
      <c r="J14" t="s">
        <v>87</v>
      </c>
      <c r="K14" t="s">
        <v>112</v>
      </c>
      <c r="L14">
        <v>0</v>
      </c>
      <c r="M14" t="b">
        <v>1</v>
      </c>
      <c r="N14" t="s">
        <v>2784</v>
      </c>
      <c r="O14" t="s">
        <v>2507</v>
      </c>
      <c r="P14">
        <v>44</v>
      </c>
      <c r="Q14" t="s">
        <v>2879</v>
      </c>
      <c r="R14">
        <v>517</v>
      </c>
    </row>
    <row r="15" spans="1:18" x14ac:dyDescent="0.3">
      <c r="A15" t="s">
        <v>2452</v>
      </c>
      <c r="B15" s="45">
        <v>45618</v>
      </c>
      <c r="C15" t="s">
        <v>440</v>
      </c>
      <c r="D15" t="s">
        <v>187</v>
      </c>
      <c r="E15" t="s">
        <v>192</v>
      </c>
      <c r="F15">
        <v>6</v>
      </c>
      <c r="G15">
        <v>3570</v>
      </c>
      <c r="H15">
        <v>28.5</v>
      </c>
      <c r="I15">
        <v>15315.3</v>
      </c>
      <c r="J15" t="s">
        <v>140</v>
      </c>
      <c r="K15" t="s">
        <v>88</v>
      </c>
      <c r="L15">
        <v>0</v>
      </c>
      <c r="M15" t="b">
        <v>1</v>
      </c>
      <c r="N15" t="s">
        <v>2784</v>
      </c>
      <c r="O15" t="s">
        <v>2515</v>
      </c>
      <c r="P15">
        <v>30</v>
      </c>
      <c r="Q15" t="s">
        <v>2871</v>
      </c>
      <c r="R15">
        <v>1665</v>
      </c>
    </row>
    <row r="16" spans="1:18" x14ac:dyDescent="0.3">
      <c r="A16" t="s">
        <v>2446</v>
      </c>
      <c r="B16" s="45">
        <v>45592</v>
      </c>
      <c r="C16" t="s">
        <v>96</v>
      </c>
      <c r="D16" t="s">
        <v>282</v>
      </c>
      <c r="E16" t="s">
        <v>325</v>
      </c>
      <c r="F16">
        <v>3</v>
      </c>
      <c r="G16">
        <v>300</v>
      </c>
      <c r="H16">
        <v>24.8</v>
      </c>
      <c r="I16">
        <v>676.8</v>
      </c>
      <c r="J16" t="s">
        <v>87</v>
      </c>
      <c r="K16" t="s">
        <v>99</v>
      </c>
      <c r="L16">
        <v>0</v>
      </c>
      <c r="M16" t="b">
        <v>1</v>
      </c>
      <c r="N16" t="s">
        <v>2784</v>
      </c>
      <c r="O16" t="s">
        <v>2507</v>
      </c>
      <c r="P16">
        <v>52</v>
      </c>
      <c r="Q16" t="s">
        <v>2862</v>
      </c>
      <c r="R16">
        <v>128</v>
      </c>
    </row>
    <row r="17" spans="1:18" x14ac:dyDescent="0.3">
      <c r="A17" t="s">
        <v>2445</v>
      </c>
      <c r="B17" s="45">
        <v>45639</v>
      </c>
      <c r="C17" t="s">
        <v>781</v>
      </c>
      <c r="D17" t="s">
        <v>85</v>
      </c>
      <c r="E17" t="s">
        <v>204</v>
      </c>
      <c r="F17">
        <v>2</v>
      </c>
      <c r="G17">
        <v>3620</v>
      </c>
      <c r="H17">
        <v>15.6</v>
      </c>
      <c r="I17">
        <v>6110.56</v>
      </c>
      <c r="J17" t="s">
        <v>87</v>
      </c>
      <c r="K17" t="s">
        <v>99</v>
      </c>
      <c r="L17">
        <v>0</v>
      </c>
      <c r="M17" t="b">
        <v>1</v>
      </c>
      <c r="N17" t="s">
        <v>2795</v>
      </c>
      <c r="O17" t="s">
        <v>2515</v>
      </c>
      <c r="P17">
        <v>29</v>
      </c>
      <c r="Q17" t="s">
        <v>2862</v>
      </c>
      <c r="R17">
        <v>2509</v>
      </c>
    </row>
    <row r="18" spans="1:18" x14ac:dyDescent="0.3">
      <c r="A18" t="s">
        <v>2442</v>
      </c>
      <c r="B18" s="45">
        <v>45626</v>
      </c>
      <c r="C18" t="s">
        <v>561</v>
      </c>
      <c r="D18" t="s">
        <v>173</v>
      </c>
      <c r="E18" t="s">
        <v>121</v>
      </c>
      <c r="F18">
        <v>10</v>
      </c>
      <c r="G18">
        <v>2720</v>
      </c>
      <c r="H18">
        <v>3.4</v>
      </c>
      <c r="I18">
        <v>26275.200000000001</v>
      </c>
      <c r="J18" t="s">
        <v>87</v>
      </c>
      <c r="K18" t="s">
        <v>133</v>
      </c>
      <c r="L18">
        <v>0</v>
      </c>
      <c r="M18" t="b">
        <v>1</v>
      </c>
      <c r="N18" t="s">
        <v>2795</v>
      </c>
      <c r="O18" t="s">
        <v>2515</v>
      </c>
      <c r="P18">
        <v>43</v>
      </c>
      <c r="Q18" t="s">
        <v>2871</v>
      </c>
      <c r="R18">
        <v>1962</v>
      </c>
    </row>
    <row r="19" spans="1:18" x14ac:dyDescent="0.3">
      <c r="A19" t="s">
        <v>2433</v>
      </c>
      <c r="B19" s="45">
        <v>45633</v>
      </c>
      <c r="C19" t="s">
        <v>299</v>
      </c>
      <c r="D19" t="s">
        <v>182</v>
      </c>
      <c r="E19" t="s">
        <v>107</v>
      </c>
      <c r="F19">
        <v>9</v>
      </c>
      <c r="G19">
        <v>1010</v>
      </c>
      <c r="H19">
        <v>17.8</v>
      </c>
      <c r="I19">
        <v>7471.98</v>
      </c>
      <c r="J19" t="s">
        <v>87</v>
      </c>
      <c r="K19" t="s">
        <v>133</v>
      </c>
      <c r="L19">
        <v>0</v>
      </c>
      <c r="M19" t="b">
        <v>1</v>
      </c>
      <c r="N19" t="s">
        <v>2839</v>
      </c>
      <c r="O19" t="s">
        <v>2507</v>
      </c>
      <c r="P19">
        <v>29</v>
      </c>
      <c r="Q19" t="s">
        <v>2855</v>
      </c>
      <c r="R19">
        <v>516</v>
      </c>
    </row>
    <row r="20" spans="1:18" x14ac:dyDescent="0.3">
      <c r="A20" t="s">
        <v>2428</v>
      </c>
      <c r="B20" s="45">
        <v>45650</v>
      </c>
      <c r="C20" t="s">
        <v>956</v>
      </c>
      <c r="D20" t="s">
        <v>179</v>
      </c>
      <c r="E20" t="s">
        <v>98</v>
      </c>
      <c r="F20">
        <v>9</v>
      </c>
      <c r="G20">
        <v>3350</v>
      </c>
      <c r="H20">
        <v>5.0999999999999996</v>
      </c>
      <c r="I20">
        <v>28612.35</v>
      </c>
      <c r="J20" t="s">
        <v>87</v>
      </c>
      <c r="K20" t="s">
        <v>112</v>
      </c>
      <c r="L20">
        <v>0</v>
      </c>
      <c r="M20" t="b">
        <v>1</v>
      </c>
      <c r="N20" t="s">
        <v>2828</v>
      </c>
      <c r="O20" t="s">
        <v>2507</v>
      </c>
      <c r="P20">
        <v>49</v>
      </c>
      <c r="Q20" t="s">
        <v>2862</v>
      </c>
      <c r="R20">
        <v>1728</v>
      </c>
    </row>
    <row r="21" spans="1:18" x14ac:dyDescent="0.3">
      <c r="A21" t="s">
        <v>155</v>
      </c>
      <c r="B21" s="45">
        <v>45654</v>
      </c>
      <c r="C21" t="s">
        <v>156</v>
      </c>
      <c r="D21" t="s">
        <v>157</v>
      </c>
      <c r="E21" t="s">
        <v>158</v>
      </c>
      <c r="F21">
        <v>8</v>
      </c>
      <c r="G21">
        <v>3450</v>
      </c>
      <c r="H21">
        <v>18.5</v>
      </c>
      <c r="I21">
        <v>22494</v>
      </c>
      <c r="J21" t="s">
        <v>87</v>
      </c>
      <c r="K21" t="s">
        <v>133</v>
      </c>
      <c r="L21">
        <v>0</v>
      </c>
      <c r="M21" t="b">
        <v>1</v>
      </c>
      <c r="N21" t="s">
        <v>2828</v>
      </c>
      <c r="O21" t="s">
        <v>2509</v>
      </c>
      <c r="P21">
        <v>32</v>
      </c>
      <c r="Q21" t="s">
        <v>2871</v>
      </c>
      <c r="R21">
        <v>2420</v>
      </c>
    </row>
    <row r="22" spans="1:18" x14ac:dyDescent="0.3">
      <c r="A22" t="s">
        <v>159</v>
      </c>
      <c r="B22" s="45">
        <v>45626</v>
      </c>
      <c r="C22" t="s">
        <v>160</v>
      </c>
      <c r="D22" t="s">
        <v>161</v>
      </c>
      <c r="E22" t="s">
        <v>154</v>
      </c>
      <c r="F22">
        <v>5</v>
      </c>
      <c r="G22">
        <v>3450</v>
      </c>
      <c r="H22">
        <v>7.3</v>
      </c>
      <c r="I22">
        <v>15990.75</v>
      </c>
      <c r="J22" t="s">
        <v>87</v>
      </c>
      <c r="K22" t="s">
        <v>112</v>
      </c>
      <c r="L22">
        <v>0</v>
      </c>
      <c r="M22" t="b">
        <v>1</v>
      </c>
      <c r="N22" t="s">
        <v>2839</v>
      </c>
      <c r="O22" t="s">
        <v>2507</v>
      </c>
      <c r="P22">
        <v>54</v>
      </c>
      <c r="Q22" t="s">
        <v>2871</v>
      </c>
      <c r="R22">
        <v>2467</v>
      </c>
    </row>
    <row r="23" spans="1:18" x14ac:dyDescent="0.3">
      <c r="A23" t="s">
        <v>2419</v>
      </c>
      <c r="B23" s="45">
        <v>45634</v>
      </c>
      <c r="C23" t="s">
        <v>779</v>
      </c>
      <c r="D23" t="s">
        <v>279</v>
      </c>
      <c r="E23" t="s">
        <v>154</v>
      </c>
      <c r="F23">
        <v>5</v>
      </c>
      <c r="G23">
        <v>2660</v>
      </c>
      <c r="H23">
        <v>4.7</v>
      </c>
      <c r="I23">
        <v>12674.9</v>
      </c>
      <c r="J23" t="s">
        <v>87</v>
      </c>
      <c r="K23" t="s">
        <v>117</v>
      </c>
      <c r="L23">
        <v>0</v>
      </c>
      <c r="M23" t="b">
        <v>0</v>
      </c>
      <c r="N23" t="s">
        <v>2784</v>
      </c>
      <c r="O23" t="s">
        <v>2507</v>
      </c>
      <c r="P23">
        <v>27</v>
      </c>
      <c r="Q23" t="s">
        <v>2871</v>
      </c>
      <c r="R23">
        <v>1259</v>
      </c>
    </row>
    <row r="24" spans="1:18" x14ac:dyDescent="0.3">
      <c r="A24" t="s">
        <v>2415</v>
      </c>
      <c r="B24" s="45">
        <v>45600</v>
      </c>
      <c r="C24" t="s">
        <v>910</v>
      </c>
      <c r="D24" t="s">
        <v>234</v>
      </c>
      <c r="E24" t="s">
        <v>98</v>
      </c>
      <c r="F24">
        <v>1</v>
      </c>
      <c r="G24">
        <v>3780</v>
      </c>
      <c r="H24">
        <v>13.7</v>
      </c>
      <c r="I24">
        <v>3262.14</v>
      </c>
      <c r="J24" t="s">
        <v>87</v>
      </c>
      <c r="K24" t="s">
        <v>99</v>
      </c>
      <c r="L24">
        <v>0</v>
      </c>
      <c r="M24" t="b">
        <v>1</v>
      </c>
      <c r="N24" t="s">
        <v>2806</v>
      </c>
      <c r="O24" t="s">
        <v>2507</v>
      </c>
      <c r="P24">
        <v>55</v>
      </c>
      <c r="Q24" t="s">
        <v>2862</v>
      </c>
      <c r="R24">
        <v>2436</v>
      </c>
    </row>
    <row r="25" spans="1:18" x14ac:dyDescent="0.3">
      <c r="A25" t="s">
        <v>2410</v>
      </c>
      <c r="B25" s="45">
        <v>45610</v>
      </c>
      <c r="C25" t="s">
        <v>336</v>
      </c>
      <c r="D25" t="s">
        <v>115</v>
      </c>
      <c r="E25" t="s">
        <v>116</v>
      </c>
      <c r="F25">
        <v>9</v>
      </c>
      <c r="G25">
        <v>960</v>
      </c>
      <c r="H25">
        <v>29</v>
      </c>
      <c r="I25">
        <v>6134.4</v>
      </c>
      <c r="J25" t="s">
        <v>87</v>
      </c>
      <c r="K25" t="s">
        <v>112</v>
      </c>
      <c r="L25">
        <v>0</v>
      </c>
      <c r="M25" t="b">
        <v>1</v>
      </c>
      <c r="N25" t="s">
        <v>2839</v>
      </c>
      <c r="O25" t="s">
        <v>2507</v>
      </c>
      <c r="P25">
        <v>49</v>
      </c>
      <c r="Q25" t="s">
        <v>2879</v>
      </c>
      <c r="R25">
        <v>705</v>
      </c>
    </row>
    <row r="26" spans="1:18" x14ac:dyDescent="0.3">
      <c r="A26" t="s">
        <v>2406</v>
      </c>
      <c r="B26" s="45">
        <v>45625</v>
      </c>
      <c r="C26" t="s">
        <v>420</v>
      </c>
      <c r="D26" t="s">
        <v>110</v>
      </c>
      <c r="E26" t="s">
        <v>148</v>
      </c>
      <c r="F26">
        <v>9</v>
      </c>
      <c r="G26">
        <v>370</v>
      </c>
      <c r="H26">
        <v>13.8</v>
      </c>
      <c r="I26">
        <v>2870.46</v>
      </c>
      <c r="J26" t="s">
        <v>87</v>
      </c>
      <c r="K26" t="s">
        <v>99</v>
      </c>
      <c r="L26">
        <v>0</v>
      </c>
      <c r="M26" t="b">
        <v>1</v>
      </c>
      <c r="N26" t="s">
        <v>2817</v>
      </c>
      <c r="O26" t="s">
        <v>2507</v>
      </c>
      <c r="P26">
        <v>44</v>
      </c>
      <c r="Q26" t="s">
        <v>2855</v>
      </c>
      <c r="R26">
        <v>288</v>
      </c>
    </row>
    <row r="27" spans="1:18" x14ac:dyDescent="0.3">
      <c r="A27" t="s">
        <v>2397</v>
      </c>
      <c r="B27" s="45">
        <v>45580</v>
      </c>
      <c r="C27" t="s">
        <v>606</v>
      </c>
      <c r="D27" t="s">
        <v>367</v>
      </c>
      <c r="E27" t="s">
        <v>285</v>
      </c>
      <c r="F27">
        <v>10</v>
      </c>
      <c r="G27">
        <v>2380</v>
      </c>
      <c r="H27">
        <v>28.3</v>
      </c>
      <c r="I27">
        <v>17064.599999999999</v>
      </c>
      <c r="J27" t="s">
        <v>87</v>
      </c>
      <c r="K27" t="s">
        <v>112</v>
      </c>
      <c r="L27">
        <v>0</v>
      </c>
      <c r="M27" t="b">
        <v>1</v>
      </c>
      <c r="N27" t="s">
        <v>2806</v>
      </c>
      <c r="O27" t="s">
        <v>2507</v>
      </c>
      <c r="P27">
        <v>52</v>
      </c>
      <c r="Q27" t="s">
        <v>2871</v>
      </c>
      <c r="R27">
        <v>1182</v>
      </c>
    </row>
    <row r="28" spans="1:18" x14ac:dyDescent="0.3">
      <c r="A28" t="s">
        <v>2395</v>
      </c>
      <c r="B28" s="45">
        <v>45622</v>
      </c>
      <c r="C28" t="s">
        <v>673</v>
      </c>
      <c r="D28" t="s">
        <v>200</v>
      </c>
      <c r="E28" t="s">
        <v>139</v>
      </c>
      <c r="F28">
        <v>1</v>
      </c>
      <c r="G28">
        <v>2760</v>
      </c>
      <c r="H28">
        <v>2.5</v>
      </c>
      <c r="I28">
        <v>2691</v>
      </c>
      <c r="J28" t="s">
        <v>140</v>
      </c>
      <c r="K28" t="s">
        <v>112</v>
      </c>
      <c r="L28">
        <v>0</v>
      </c>
      <c r="M28" t="b">
        <v>1</v>
      </c>
      <c r="N28" t="s">
        <v>2806</v>
      </c>
      <c r="O28" t="s">
        <v>2507</v>
      </c>
      <c r="P28">
        <v>35</v>
      </c>
      <c r="Q28" t="s">
        <v>2855</v>
      </c>
      <c r="R28">
        <v>1435</v>
      </c>
    </row>
    <row r="29" spans="1:18" x14ac:dyDescent="0.3">
      <c r="A29" t="s">
        <v>180</v>
      </c>
      <c r="B29" s="45">
        <v>45570</v>
      </c>
      <c r="C29" t="s">
        <v>181</v>
      </c>
      <c r="D29" t="s">
        <v>182</v>
      </c>
      <c r="E29" t="s">
        <v>121</v>
      </c>
      <c r="F29">
        <v>2</v>
      </c>
      <c r="G29">
        <v>1010</v>
      </c>
      <c r="H29">
        <v>16.5</v>
      </c>
      <c r="I29">
        <v>1686.7</v>
      </c>
      <c r="J29" t="s">
        <v>140</v>
      </c>
      <c r="K29" t="s">
        <v>99</v>
      </c>
      <c r="L29">
        <v>0</v>
      </c>
      <c r="M29" t="b">
        <v>1</v>
      </c>
      <c r="N29" t="s">
        <v>2839</v>
      </c>
      <c r="O29" t="s">
        <v>2507</v>
      </c>
      <c r="P29">
        <v>31</v>
      </c>
      <c r="Q29" t="s">
        <v>2871</v>
      </c>
      <c r="R29">
        <v>516</v>
      </c>
    </row>
    <row r="30" spans="1:18" x14ac:dyDescent="0.3">
      <c r="A30" t="s">
        <v>2390</v>
      </c>
      <c r="B30" s="45">
        <v>45640</v>
      </c>
      <c r="C30" t="s">
        <v>266</v>
      </c>
      <c r="D30" t="s">
        <v>102</v>
      </c>
      <c r="E30" t="s">
        <v>132</v>
      </c>
      <c r="F30">
        <v>1</v>
      </c>
      <c r="G30">
        <v>3660</v>
      </c>
      <c r="H30">
        <v>1.5</v>
      </c>
      <c r="I30">
        <v>3605.1</v>
      </c>
      <c r="J30" t="s">
        <v>93</v>
      </c>
      <c r="K30" t="s">
        <v>99</v>
      </c>
      <c r="L30">
        <v>0</v>
      </c>
      <c r="M30" t="b">
        <v>0</v>
      </c>
      <c r="N30" t="s">
        <v>2806</v>
      </c>
      <c r="O30" t="s">
        <v>2509</v>
      </c>
      <c r="P30">
        <v>55</v>
      </c>
      <c r="Q30" t="s">
        <v>2862</v>
      </c>
      <c r="R30">
        <v>2214</v>
      </c>
    </row>
    <row r="31" spans="1:18" x14ac:dyDescent="0.3">
      <c r="A31" t="s">
        <v>2389</v>
      </c>
      <c r="B31" s="45">
        <v>45603</v>
      </c>
      <c r="C31" t="s">
        <v>281</v>
      </c>
      <c r="D31" t="s">
        <v>282</v>
      </c>
      <c r="E31" t="s">
        <v>92</v>
      </c>
      <c r="F31">
        <v>10</v>
      </c>
      <c r="G31">
        <v>300</v>
      </c>
      <c r="H31">
        <v>23.9</v>
      </c>
      <c r="I31">
        <v>2283</v>
      </c>
      <c r="J31" t="s">
        <v>87</v>
      </c>
      <c r="K31" t="s">
        <v>88</v>
      </c>
      <c r="L31">
        <v>0</v>
      </c>
      <c r="M31" t="b">
        <v>1</v>
      </c>
      <c r="N31" t="s">
        <v>2784</v>
      </c>
      <c r="O31" t="s">
        <v>2507</v>
      </c>
      <c r="P31">
        <v>25</v>
      </c>
      <c r="Q31" t="s">
        <v>2855</v>
      </c>
      <c r="R31">
        <v>128</v>
      </c>
    </row>
    <row r="32" spans="1:18" x14ac:dyDescent="0.3">
      <c r="A32" t="s">
        <v>2388</v>
      </c>
      <c r="B32" s="45">
        <v>45621</v>
      </c>
      <c r="C32" t="s">
        <v>1038</v>
      </c>
      <c r="D32" t="s">
        <v>151</v>
      </c>
      <c r="E32" t="s">
        <v>252</v>
      </c>
      <c r="F32">
        <v>4</v>
      </c>
      <c r="G32">
        <v>2400</v>
      </c>
      <c r="H32">
        <v>16.600000000000001</v>
      </c>
      <c r="I32">
        <v>8006.4</v>
      </c>
      <c r="J32" t="s">
        <v>93</v>
      </c>
      <c r="K32" t="s">
        <v>117</v>
      </c>
      <c r="L32">
        <v>0</v>
      </c>
      <c r="M32" t="b">
        <v>1</v>
      </c>
      <c r="N32" t="s">
        <v>2839</v>
      </c>
      <c r="O32" t="s">
        <v>2509</v>
      </c>
      <c r="P32">
        <v>55</v>
      </c>
      <c r="Q32" t="s">
        <v>2862</v>
      </c>
      <c r="R32">
        <v>974</v>
      </c>
    </row>
    <row r="33" spans="1:18" x14ac:dyDescent="0.3">
      <c r="A33" t="s">
        <v>2381</v>
      </c>
      <c r="B33" s="45">
        <v>45622</v>
      </c>
      <c r="C33" t="s">
        <v>2382</v>
      </c>
      <c r="D33" t="s">
        <v>338</v>
      </c>
      <c r="E33" t="s">
        <v>229</v>
      </c>
      <c r="F33">
        <v>3</v>
      </c>
      <c r="G33">
        <v>2210</v>
      </c>
      <c r="H33">
        <v>8.5</v>
      </c>
      <c r="I33">
        <v>6066.45</v>
      </c>
      <c r="J33" t="s">
        <v>87</v>
      </c>
      <c r="K33" t="s">
        <v>99</v>
      </c>
      <c r="L33">
        <v>0</v>
      </c>
      <c r="M33" t="b">
        <v>1</v>
      </c>
      <c r="N33" t="s">
        <v>2806</v>
      </c>
      <c r="O33" t="e">
        <v>#N/A</v>
      </c>
      <c r="P33" t="e">
        <v>#N/A</v>
      </c>
      <c r="Q33" t="s">
        <v>2879</v>
      </c>
      <c r="R33">
        <v>1010</v>
      </c>
    </row>
    <row r="34" spans="1:18" x14ac:dyDescent="0.3">
      <c r="A34" t="s">
        <v>196</v>
      </c>
      <c r="B34" s="45">
        <v>45569</v>
      </c>
      <c r="C34" t="s">
        <v>197</v>
      </c>
      <c r="D34" t="s">
        <v>127</v>
      </c>
      <c r="E34" t="s">
        <v>103</v>
      </c>
      <c r="F34">
        <v>7</v>
      </c>
      <c r="G34">
        <v>970</v>
      </c>
      <c r="H34">
        <v>29.8</v>
      </c>
      <c r="I34">
        <v>4766.58</v>
      </c>
      <c r="J34" t="s">
        <v>87</v>
      </c>
      <c r="K34" t="s">
        <v>88</v>
      </c>
      <c r="L34">
        <v>0</v>
      </c>
      <c r="M34" t="b">
        <v>1</v>
      </c>
      <c r="N34" t="s">
        <v>2806</v>
      </c>
      <c r="O34" t="s">
        <v>2509</v>
      </c>
      <c r="P34">
        <v>47</v>
      </c>
      <c r="Q34" t="s">
        <v>2855</v>
      </c>
      <c r="R34">
        <v>434</v>
      </c>
    </row>
    <row r="35" spans="1:18" x14ac:dyDescent="0.3">
      <c r="A35" t="s">
        <v>198</v>
      </c>
      <c r="B35" s="45">
        <v>45641</v>
      </c>
      <c r="C35" t="s">
        <v>199</v>
      </c>
      <c r="D35" t="s">
        <v>200</v>
      </c>
      <c r="E35" t="s">
        <v>201</v>
      </c>
      <c r="F35">
        <v>4</v>
      </c>
      <c r="G35">
        <v>2760</v>
      </c>
      <c r="H35">
        <v>5.9</v>
      </c>
      <c r="I35">
        <v>10388.64</v>
      </c>
      <c r="J35" t="s">
        <v>87</v>
      </c>
      <c r="K35" t="s">
        <v>133</v>
      </c>
      <c r="L35">
        <v>0</v>
      </c>
      <c r="M35" t="b">
        <v>1</v>
      </c>
      <c r="N35" t="s">
        <v>2806</v>
      </c>
      <c r="O35" t="s">
        <v>2507</v>
      </c>
      <c r="P35">
        <v>53</v>
      </c>
      <c r="Q35" t="s">
        <v>2879</v>
      </c>
      <c r="R35">
        <v>1435</v>
      </c>
    </row>
    <row r="36" spans="1:18" x14ac:dyDescent="0.3">
      <c r="A36" t="s">
        <v>2377</v>
      </c>
      <c r="B36" s="45">
        <v>45588</v>
      </c>
      <c r="C36" t="s">
        <v>528</v>
      </c>
      <c r="D36" t="s">
        <v>110</v>
      </c>
      <c r="E36" t="s">
        <v>297</v>
      </c>
      <c r="F36">
        <v>1</v>
      </c>
      <c r="G36">
        <v>370</v>
      </c>
      <c r="H36">
        <v>27</v>
      </c>
      <c r="I36">
        <v>270.10000000000002</v>
      </c>
      <c r="J36" t="s">
        <v>93</v>
      </c>
      <c r="K36" t="s">
        <v>112</v>
      </c>
      <c r="L36">
        <v>0</v>
      </c>
      <c r="M36" t="b">
        <v>1</v>
      </c>
      <c r="N36" t="s">
        <v>2817</v>
      </c>
      <c r="O36" t="s">
        <v>2507</v>
      </c>
      <c r="P36">
        <v>44</v>
      </c>
      <c r="Q36" t="s">
        <v>2855</v>
      </c>
      <c r="R36">
        <v>288</v>
      </c>
    </row>
    <row r="37" spans="1:18" x14ac:dyDescent="0.3">
      <c r="A37" t="s">
        <v>205</v>
      </c>
      <c r="B37" s="45">
        <v>45576</v>
      </c>
      <c r="C37" t="s">
        <v>206</v>
      </c>
      <c r="D37" t="s">
        <v>143</v>
      </c>
      <c r="E37" t="s">
        <v>121</v>
      </c>
      <c r="F37">
        <v>1</v>
      </c>
      <c r="G37">
        <v>3250</v>
      </c>
      <c r="H37">
        <v>10.7</v>
      </c>
      <c r="I37">
        <v>2902.25</v>
      </c>
      <c r="J37" t="s">
        <v>87</v>
      </c>
      <c r="K37" t="s">
        <v>133</v>
      </c>
      <c r="L37">
        <v>0</v>
      </c>
      <c r="M37" t="b">
        <v>1</v>
      </c>
      <c r="N37" t="s">
        <v>2817</v>
      </c>
      <c r="O37" t="s">
        <v>2515</v>
      </c>
      <c r="P37">
        <v>40</v>
      </c>
      <c r="Q37" t="s">
        <v>2871</v>
      </c>
      <c r="R37">
        <v>1556</v>
      </c>
    </row>
    <row r="38" spans="1:18" x14ac:dyDescent="0.3">
      <c r="A38" t="s">
        <v>2376</v>
      </c>
      <c r="B38" s="45">
        <v>45629</v>
      </c>
      <c r="C38" t="s">
        <v>225</v>
      </c>
      <c r="D38" t="s">
        <v>245</v>
      </c>
      <c r="E38" t="s">
        <v>297</v>
      </c>
      <c r="F38">
        <v>4</v>
      </c>
      <c r="G38">
        <v>2270</v>
      </c>
      <c r="H38">
        <v>15.8</v>
      </c>
      <c r="I38">
        <v>7645.36</v>
      </c>
      <c r="J38" t="s">
        <v>87</v>
      </c>
      <c r="K38" t="s">
        <v>94</v>
      </c>
      <c r="L38">
        <v>0</v>
      </c>
      <c r="M38" t="b">
        <v>1</v>
      </c>
      <c r="N38" t="s">
        <v>2806</v>
      </c>
      <c r="O38" t="s">
        <v>2507</v>
      </c>
      <c r="P38">
        <v>37</v>
      </c>
      <c r="Q38" t="s">
        <v>2855</v>
      </c>
      <c r="R38">
        <v>1412</v>
      </c>
    </row>
    <row r="39" spans="1:18" x14ac:dyDescent="0.3">
      <c r="A39" t="s">
        <v>2373</v>
      </c>
      <c r="B39" s="45">
        <v>45645</v>
      </c>
      <c r="C39" t="s">
        <v>403</v>
      </c>
      <c r="D39" t="s">
        <v>659</v>
      </c>
      <c r="E39" t="s">
        <v>116</v>
      </c>
      <c r="F39">
        <v>5</v>
      </c>
      <c r="G39">
        <v>3560</v>
      </c>
      <c r="H39">
        <v>24</v>
      </c>
      <c r="I39">
        <v>13528</v>
      </c>
      <c r="J39" t="s">
        <v>87</v>
      </c>
      <c r="K39" t="s">
        <v>117</v>
      </c>
      <c r="L39">
        <v>0</v>
      </c>
      <c r="M39" t="b">
        <v>1</v>
      </c>
      <c r="N39" t="s">
        <v>2795</v>
      </c>
      <c r="O39" t="s">
        <v>2507</v>
      </c>
      <c r="P39">
        <v>59</v>
      </c>
      <c r="Q39" t="s">
        <v>2879</v>
      </c>
      <c r="R39">
        <v>2629</v>
      </c>
    </row>
    <row r="40" spans="1:18" x14ac:dyDescent="0.3">
      <c r="A40" t="s">
        <v>211</v>
      </c>
      <c r="B40" s="45">
        <v>45646</v>
      </c>
      <c r="C40" t="s">
        <v>212</v>
      </c>
      <c r="D40" t="s">
        <v>124</v>
      </c>
      <c r="E40" t="s">
        <v>204</v>
      </c>
      <c r="F40">
        <v>2</v>
      </c>
      <c r="G40">
        <v>5490</v>
      </c>
      <c r="H40">
        <v>21.1</v>
      </c>
      <c r="I40">
        <v>8663.2199999999993</v>
      </c>
      <c r="J40" t="s">
        <v>140</v>
      </c>
      <c r="K40" t="s">
        <v>112</v>
      </c>
      <c r="L40">
        <v>0</v>
      </c>
      <c r="M40" t="b">
        <v>1</v>
      </c>
      <c r="N40" t="s">
        <v>2817</v>
      </c>
      <c r="O40" t="s">
        <v>2515</v>
      </c>
      <c r="P40">
        <v>36</v>
      </c>
      <c r="Q40" t="s">
        <v>2862</v>
      </c>
      <c r="R40">
        <v>2549</v>
      </c>
    </row>
    <row r="41" spans="1:18" x14ac:dyDescent="0.3">
      <c r="A41" t="s">
        <v>2369</v>
      </c>
      <c r="B41" s="45">
        <v>45644</v>
      </c>
      <c r="C41" t="s">
        <v>1816</v>
      </c>
      <c r="D41" t="s">
        <v>367</v>
      </c>
      <c r="E41" t="s">
        <v>188</v>
      </c>
      <c r="F41">
        <v>9</v>
      </c>
      <c r="G41">
        <v>2380</v>
      </c>
      <c r="H41">
        <v>8.1</v>
      </c>
      <c r="I41">
        <v>19684.98</v>
      </c>
      <c r="J41" t="s">
        <v>140</v>
      </c>
      <c r="K41" t="s">
        <v>99</v>
      </c>
      <c r="L41">
        <v>0</v>
      </c>
      <c r="M41" t="b">
        <v>1</v>
      </c>
      <c r="N41" t="s">
        <v>2806</v>
      </c>
      <c r="O41" t="s">
        <v>2507</v>
      </c>
      <c r="P41">
        <v>62</v>
      </c>
      <c r="Q41" t="s">
        <v>2862</v>
      </c>
      <c r="R41">
        <v>1182</v>
      </c>
    </row>
    <row r="42" spans="1:18" x14ac:dyDescent="0.3">
      <c r="A42" t="s">
        <v>2367</v>
      </c>
      <c r="B42" s="45">
        <v>45623</v>
      </c>
      <c r="C42" t="s">
        <v>411</v>
      </c>
      <c r="D42" t="s">
        <v>226</v>
      </c>
      <c r="E42" t="s">
        <v>204</v>
      </c>
      <c r="F42">
        <v>3</v>
      </c>
      <c r="G42">
        <v>3730</v>
      </c>
      <c r="H42">
        <v>18.100000000000001</v>
      </c>
      <c r="I42">
        <v>9164.61</v>
      </c>
      <c r="J42" t="s">
        <v>87</v>
      </c>
      <c r="K42" t="s">
        <v>112</v>
      </c>
      <c r="L42">
        <v>0</v>
      </c>
      <c r="M42" t="b">
        <v>1</v>
      </c>
      <c r="N42" t="s">
        <v>2817</v>
      </c>
      <c r="O42" t="s">
        <v>2507</v>
      </c>
      <c r="P42">
        <v>61</v>
      </c>
      <c r="Q42" t="s">
        <v>2862</v>
      </c>
      <c r="R42">
        <v>2135</v>
      </c>
    </row>
    <row r="43" spans="1:18" x14ac:dyDescent="0.3">
      <c r="A43" t="s">
        <v>218</v>
      </c>
      <c r="B43" s="45">
        <v>45599</v>
      </c>
      <c r="C43" t="s">
        <v>219</v>
      </c>
      <c r="D43" t="s">
        <v>176</v>
      </c>
      <c r="E43" t="s">
        <v>154</v>
      </c>
      <c r="F43">
        <v>9</v>
      </c>
      <c r="G43">
        <v>1650</v>
      </c>
      <c r="H43">
        <v>11.6</v>
      </c>
      <c r="I43">
        <v>13127.4</v>
      </c>
      <c r="J43" t="s">
        <v>87</v>
      </c>
      <c r="K43" t="s">
        <v>99</v>
      </c>
      <c r="L43">
        <v>0</v>
      </c>
      <c r="M43" t="b">
        <v>1</v>
      </c>
      <c r="N43" t="s">
        <v>2828</v>
      </c>
      <c r="O43" t="s">
        <v>2515</v>
      </c>
      <c r="P43">
        <v>50</v>
      </c>
      <c r="Q43" t="s">
        <v>2871</v>
      </c>
      <c r="R43">
        <v>1222</v>
      </c>
    </row>
    <row r="44" spans="1:18" x14ac:dyDescent="0.3">
      <c r="A44" t="s">
        <v>220</v>
      </c>
      <c r="B44" s="45">
        <v>45606</v>
      </c>
      <c r="C44" t="s">
        <v>221</v>
      </c>
      <c r="D44" t="s">
        <v>124</v>
      </c>
      <c r="E44" t="s">
        <v>103</v>
      </c>
      <c r="F44">
        <v>4</v>
      </c>
      <c r="G44">
        <v>5490</v>
      </c>
      <c r="H44">
        <v>12.8</v>
      </c>
      <c r="I44">
        <v>19149.12</v>
      </c>
      <c r="J44" t="s">
        <v>140</v>
      </c>
      <c r="K44" t="s">
        <v>94</v>
      </c>
      <c r="L44">
        <v>0</v>
      </c>
      <c r="M44" t="b">
        <v>1</v>
      </c>
      <c r="N44" t="s">
        <v>2817</v>
      </c>
      <c r="O44" t="e">
        <v>#N/A</v>
      </c>
      <c r="P44" t="e">
        <v>#N/A</v>
      </c>
      <c r="Q44" t="s">
        <v>2855</v>
      </c>
      <c r="R44">
        <v>2549</v>
      </c>
    </row>
    <row r="45" spans="1:18" x14ac:dyDescent="0.3">
      <c r="A45" t="s">
        <v>2364</v>
      </c>
      <c r="B45" s="45">
        <v>45648</v>
      </c>
      <c r="C45" t="s">
        <v>1350</v>
      </c>
      <c r="D45" t="s">
        <v>351</v>
      </c>
      <c r="E45" t="s">
        <v>297</v>
      </c>
      <c r="F45">
        <v>2</v>
      </c>
      <c r="G45">
        <v>4060</v>
      </c>
      <c r="H45">
        <v>11.3</v>
      </c>
      <c r="I45">
        <v>7202.44</v>
      </c>
      <c r="J45" t="s">
        <v>87</v>
      </c>
      <c r="K45" t="s">
        <v>112</v>
      </c>
      <c r="L45">
        <v>0</v>
      </c>
      <c r="M45" t="b">
        <v>1</v>
      </c>
      <c r="N45" t="s">
        <v>2806</v>
      </c>
      <c r="O45" t="s">
        <v>2507</v>
      </c>
      <c r="P45">
        <v>38</v>
      </c>
      <c r="Q45" t="s">
        <v>2855</v>
      </c>
      <c r="R45">
        <v>2911</v>
      </c>
    </row>
    <row r="46" spans="1:18" x14ac:dyDescent="0.3">
      <c r="A46" t="s">
        <v>2362</v>
      </c>
      <c r="B46" s="45">
        <v>45627</v>
      </c>
      <c r="C46" t="s">
        <v>528</v>
      </c>
      <c r="D46" t="s">
        <v>173</v>
      </c>
      <c r="E46" t="s">
        <v>215</v>
      </c>
      <c r="F46">
        <v>6</v>
      </c>
      <c r="G46">
        <v>2720</v>
      </c>
      <c r="H46">
        <v>25.1</v>
      </c>
      <c r="I46">
        <v>12223.68</v>
      </c>
      <c r="J46" t="s">
        <v>140</v>
      </c>
      <c r="K46" t="s">
        <v>112</v>
      </c>
      <c r="L46">
        <v>0</v>
      </c>
      <c r="M46" t="b">
        <v>1</v>
      </c>
      <c r="N46" t="s">
        <v>2795</v>
      </c>
      <c r="O46" t="s">
        <v>2507</v>
      </c>
      <c r="P46">
        <v>44</v>
      </c>
      <c r="Q46" t="s">
        <v>2855</v>
      </c>
      <c r="R46">
        <v>1962</v>
      </c>
    </row>
    <row r="47" spans="1:18" x14ac:dyDescent="0.3">
      <c r="A47" t="s">
        <v>2361</v>
      </c>
      <c r="B47" s="45">
        <v>45634</v>
      </c>
      <c r="C47" t="s">
        <v>686</v>
      </c>
      <c r="D47" t="s">
        <v>195</v>
      </c>
      <c r="E47" t="s">
        <v>98</v>
      </c>
      <c r="F47">
        <v>4</v>
      </c>
      <c r="G47">
        <v>2860</v>
      </c>
      <c r="H47">
        <v>14.3</v>
      </c>
      <c r="I47">
        <v>9804.08</v>
      </c>
      <c r="J47" t="s">
        <v>87</v>
      </c>
      <c r="K47" t="s">
        <v>112</v>
      </c>
      <c r="L47">
        <v>0</v>
      </c>
      <c r="M47" t="b">
        <v>1</v>
      </c>
      <c r="N47" t="s">
        <v>2839</v>
      </c>
      <c r="O47" t="s">
        <v>2507</v>
      </c>
      <c r="P47">
        <v>35</v>
      </c>
      <c r="Q47" t="s">
        <v>2862</v>
      </c>
      <c r="R47">
        <v>2028</v>
      </c>
    </row>
    <row r="48" spans="1:18" x14ac:dyDescent="0.3">
      <c r="A48" t="s">
        <v>2356</v>
      </c>
      <c r="B48" s="45">
        <v>45652</v>
      </c>
      <c r="C48" t="s">
        <v>741</v>
      </c>
      <c r="D48" t="s">
        <v>151</v>
      </c>
      <c r="E48" t="s">
        <v>343</v>
      </c>
      <c r="F48">
        <v>3</v>
      </c>
      <c r="G48">
        <v>2400</v>
      </c>
      <c r="H48">
        <v>20.7</v>
      </c>
      <c r="I48">
        <v>5709.6</v>
      </c>
      <c r="J48" t="s">
        <v>87</v>
      </c>
      <c r="K48" t="s">
        <v>133</v>
      </c>
      <c r="L48">
        <v>0</v>
      </c>
      <c r="M48" t="b">
        <v>1</v>
      </c>
      <c r="N48" t="s">
        <v>2839</v>
      </c>
      <c r="O48" t="s">
        <v>2515</v>
      </c>
      <c r="P48">
        <v>29</v>
      </c>
      <c r="Q48" t="s">
        <v>2879</v>
      </c>
      <c r="R48">
        <v>974</v>
      </c>
    </row>
    <row r="49" spans="1:18" x14ac:dyDescent="0.3">
      <c r="A49" t="s">
        <v>2351</v>
      </c>
      <c r="B49" s="45">
        <v>45650</v>
      </c>
      <c r="C49" t="s">
        <v>541</v>
      </c>
      <c r="D49" t="s">
        <v>267</v>
      </c>
      <c r="E49" t="s">
        <v>238</v>
      </c>
      <c r="F49">
        <v>5</v>
      </c>
      <c r="G49">
        <v>1220</v>
      </c>
      <c r="H49">
        <v>18.7</v>
      </c>
      <c r="I49">
        <v>4959.3</v>
      </c>
      <c r="J49" t="s">
        <v>87</v>
      </c>
      <c r="K49" t="s">
        <v>94</v>
      </c>
      <c r="L49">
        <v>0</v>
      </c>
      <c r="M49" t="b">
        <v>1</v>
      </c>
      <c r="N49" t="s">
        <v>2784</v>
      </c>
      <c r="O49" t="s">
        <v>2509</v>
      </c>
      <c r="P49">
        <v>34</v>
      </c>
      <c r="Q49" t="s">
        <v>2871</v>
      </c>
      <c r="R49">
        <v>517</v>
      </c>
    </row>
    <row r="50" spans="1:18" x14ac:dyDescent="0.3">
      <c r="A50" t="s">
        <v>2350</v>
      </c>
      <c r="B50" s="45">
        <v>45605</v>
      </c>
      <c r="C50" t="s">
        <v>142</v>
      </c>
      <c r="D50" t="s">
        <v>264</v>
      </c>
      <c r="E50" t="s">
        <v>132</v>
      </c>
      <c r="F50">
        <v>6</v>
      </c>
      <c r="G50">
        <v>4070</v>
      </c>
      <c r="H50">
        <v>28.9</v>
      </c>
      <c r="I50">
        <v>17362.62</v>
      </c>
      <c r="J50" t="s">
        <v>87</v>
      </c>
      <c r="K50" t="s">
        <v>88</v>
      </c>
      <c r="L50">
        <v>0</v>
      </c>
      <c r="M50" t="b">
        <v>1</v>
      </c>
      <c r="N50" t="s">
        <v>2806</v>
      </c>
      <c r="O50" t="s">
        <v>2515</v>
      </c>
      <c r="P50">
        <v>39</v>
      </c>
      <c r="Q50" t="s">
        <v>2862</v>
      </c>
      <c r="R50">
        <v>2027</v>
      </c>
    </row>
    <row r="51" spans="1:18" x14ac:dyDescent="0.3">
      <c r="A51" t="s">
        <v>2347</v>
      </c>
      <c r="B51" s="45">
        <v>45569</v>
      </c>
      <c r="C51" t="s">
        <v>856</v>
      </c>
      <c r="D51" t="s">
        <v>270</v>
      </c>
      <c r="E51" t="s">
        <v>238</v>
      </c>
      <c r="F51">
        <v>7</v>
      </c>
      <c r="G51">
        <v>4610</v>
      </c>
      <c r="H51">
        <v>0.9</v>
      </c>
      <c r="I51">
        <v>31979.57</v>
      </c>
      <c r="J51" t="s">
        <v>87</v>
      </c>
      <c r="K51" t="s">
        <v>88</v>
      </c>
      <c r="L51">
        <v>0</v>
      </c>
      <c r="M51" t="b">
        <v>1</v>
      </c>
      <c r="N51" t="s">
        <v>2817</v>
      </c>
      <c r="O51" t="s">
        <v>2515</v>
      </c>
      <c r="P51">
        <v>59</v>
      </c>
      <c r="Q51" t="s">
        <v>2871</v>
      </c>
      <c r="R51">
        <v>1850</v>
      </c>
    </row>
    <row r="52" spans="1:18" x14ac:dyDescent="0.3">
      <c r="A52" t="s">
        <v>2339</v>
      </c>
      <c r="B52" s="45">
        <v>45605</v>
      </c>
      <c r="C52" t="s">
        <v>1816</v>
      </c>
      <c r="D52" t="s">
        <v>143</v>
      </c>
      <c r="E52" t="s">
        <v>111</v>
      </c>
      <c r="F52">
        <v>3</v>
      </c>
      <c r="G52">
        <v>3250</v>
      </c>
      <c r="H52">
        <v>19.600000000000001</v>
      </c>
      <c r="I52">
        <v>7839</v>
      </c>
      <c r="J52" t="s">
        <v>93</v>
      </c>
      <c r="K52" t="s">
        <v>99</v>
      </c>
      <c r="L52">
        <v>0</v>
      </c>
      <c r="M52" t="b">
        <v>1</v>
      </c>
      <c r="N52" t="s">
        <v>2817</v>
      </c>
      <c r="O52" t="s">
        <v>2507</v>
      </c>
      <c r="P52">
        <v>62</v>
      </c>
      <c r="Q52" t="s">
        <v>2879</v>
      </c>
      <c r="R52">
        <v>1556</v>
      </c>
    </row>
    <row r="53" spans="1:18" x14ac:dyDescent="0.3">
      <c r="A53" t="s">
        <v>2335</v>
      </c>
      <c r="B53" s="45">
        <v>45647</v>
      </c>
      <c r="C53" t="s">
        <v>945</v>
      </c>
      <c r="D53" t="s">
        <v>355</v>
      </c>
      <c r="E53" t="s">
        <v>103</v>
      </c>
      <c r="F53">
        <v>2</v>
      </c>
      <c r="G53">
        <v>2510</v>
      </c>
      <c r="H53">
        <v>28.2</v>
      </c>
      <c r="I53">
        <v>3604.36</v>
      </c>
      <c r="J53" t="s">
        <v>87</v>
      </c>
      <c r="K53" t="s">
        <v>88</v>
      </c>
      <c r="L53">
        <v>0</v>
      </c>
      <c r="M53" t="b">
        <v>0</v>
      </c>
      <c r="N53" t="s">
        <v>2795</v>
      </c>
      <c r="O53" t="s">
        <v>2507</v>
      </c>
      <c r="P53">
        <v>54</v>
      </c>
      <c r="Q53" t="s">
        <v>2855</v>
      </c>
      <c r="R53">
        <v>1075</v>
      </c>
    </row>
    <row r="54" spans="1:18" x14ac:dyDescent="0.3">
      <c r="A54" t="s">
        <v>2332</v>
      </c>
      <c r="B54" s="45">
        <v>45593</v>
      </c>
      <c r="C54" t="s">
        <v>582</v>
      </c>
      <c r="D54" t="s">
        <v>355</v>
      </c>
      <c r="E54" t="s">
        <v>192</v>
      </c>
      <c r="F54">
        <v>4</v>
      </c>
      <c r="G54">
        <v>2510</v>
      </c>
      <c r="H54">
        <v>23.2</v>
      </c>
      <c r="I54">
        <v>7710.72</v>
      </c>
      <c r="J54" t="s">
        <v>87</v>
      </c>
      <c r="K54" t="s">
        <v>94</v>
      </c>
      <c r="L54">
        <v>0</v>
      </c>
      <c r="M54" t="b">
        <v>0</v>
      </c>
      <c r="N54" t="s">
        <v>2795</v>
      </c>
      <c r="O54" t="s">
        <v>2515</v>
      </c>
      <c r="P54">
        <v>59</v>
      </c>
      <c r="Q54" t="s">
        <v>2871</v>
      </c>
      <c r="R54">
        <v>1075</v>
      </c>
    </row>
    <row r="55" spans="1:18" x14ac:dyDescent="0.3">
      <c r="A55" t="s">
        <v>2330</v>
      </c>
      <c r="B55" s="45">
        <v>45633</v>
      </c>
      <c r="C55" t="s">
        <v>895</v>
      </c>
      <c r="D55" t="s">
        <v>195</v>
      </c>
      <c r="E55" t="s">
        <v>139</v>
      </c>
      <c r="F55">
        <v>6</v>
      </c>
      <c r="G55">
        <v>2860</v>
      </c>
      <c r="H55">
        <v>10.5</v>
      </c>
      <c r="I55">
        <v>15358.2</v>
      </c>
      <c r="J55" t="s">
        <v>140</v>
      </c>
      <c r="K55" t="s">
        <v>117</v>
      </c>
      <c r="L55">
        <v>0</v>
      </c>
      <c r="M55" t="b">
        <v>1</v>
      </c>
      <c r="N55" t="s">
        <v>2839</v>
      </c>
      <c r="O55" t="s">
        <v>2507</v>
      </c>
      <c r="P55">
        <v>46</v>
      </c>
      <c r="Q55" t="s">
        <v>2855</v>
      </c>
      <c r="R55">
        <v>2028</v>
      </c>
    </row>
    <row r="56" spans="1:18" x14ac:dyDescent="0.3">
      <c r="A56" t="s">
        <v>251</v>
      </c>
      <c r="B56" s="45">
        <v>45616</v>
      </c>
      <c r="C56" t="s">
        <v>105</v>
      </c>
      <c r="D56" t="s">
        <v>234</v>
      </c>
      <c r="E56" t="s">
        <v>252</v>
      </c>
      <c r="F56">
        <v>5</v>
      </c>
      <c r="G56">
        <v>3780</v>
      </c>
      <c r="H56">
        <v>18.5</v>
      </c>
      <c r="I56">
        <v>15403.5</v>
      </c>
      <c r="J56" t="s">
        <v>87</v>
      </c>
      <c r="K56" t="s">
        <v>94</v>
      </c>
      <c r="L56">
        <v>0</v>
      </c>
      <c r="M56" t="b">
        <v>1</v>
      </c>
      <c r="N56" t="s">
        <v>2806</v>
      </c>
      <c r="O56" t="s">
        <v>2507</v>
      </c>
      <c r="P56">
        <v>36</v>
      </c>
      <c r="Q56" t="s">
        <v>2862</v>
      </c>
      <c r="R56">
        <v>2436</v>
      </c>
    </row>
    <row r="57" spans="1:18" x14ac:dyDescent="0.3">
      <c r="A57" t="s">
        <v>2321</v>
      </c>
      <c r="B57" s="45">
        <v>45614</v>
      </c>
      <c r="C57" t="s">
        <v>333</v>
      </c>
      <c r="D57" t="s">
        <v>164</v>
      </c>
      <c r="E57" t="s">
        <v>170</v>
      </c>
      <c r="F57">
        <v>5</v>
      </c>
      <c r="G57">
        <v>1080</v>
      </c>
      <c r="H57">
        <v>6</v>
      </c>
      <c r="I57">
        <v>5076</v>
      </c>
      <c r="J57" t="s">
        <v>87</v>
      </c>
      <c r="K57" t="s">
        <v>133</v>
      </c>
      <c r="L57">
        <v>0</v>
      </c>
      <c r="M57" t="b">
        <v>1</v>
      </c>
      <c r="N57" t="s">
        <v>2817</v>
      </c>
      <c r="O57" t="s">
        <v>2515</v>
      </c>
      <c r="P57">
        <v>65</v>
      </c>
      <c r="Q57" t="s">
        <v>2879</v>
      </c>
      <c r="R57">
        <v>519</v>
      </c>
    </row>
    <row r="58" spans="1:18" x14ac:dyDescent="0.3">
      <c r="A58" t="s">
        <v>2316</v>
      </c>
      <c r="B58" s="45">
        <v>45643</v>
      </c>
      <c r="C58" t="s">
        <v>602</v>
      </c>
      <c r="D58" t="s">
        <v>135</v>
      </c>
      <c r="E58" t="s">
        <v>215</v>
      </c>
      <c r="F58">
        <v>8</v>
      </c>
      <c r="G58">
        <v>2640</v>
      </c>
      <c r="H58">
        <v>22.3</v>
      </c>
      <c r="I58">
        <v>16410.240000000002</v>
      </c>
      <c r="J58" t="s">
        <v>87</v>
      </c>
      <c r="K58" t="s">
        <v>94</v>
      </c>
      <c r="L58">
        <v>0</v>
      </c>
      <c r="M58" t="b">
        <v>1</v>
      </c>
      <c r="N58" t="s">
        <v>2784</v>
      </c>
      <c r="O58" t="s">
        <v>2507</v>
      </c>
      <c r="P58">
        <v>61</v>
      </c>
      <c r="Q58" t="s">
        <v>2855</v>
      </c>
      <c r="R58">
        <v>1149</v>
      </c>
    </row>
    <row r="59" spans="1:18" x14ac:dyDescent="0.3">
      <c r="A59" t="s">
        <v>257</v>
      </c>
      <c r="B59" s="45">
        <v>45649</v>
      </c>
      <c r="C59" t="s">
        <v>258</v>
      </c>
      <c r="D59" t="s">
        <v>259</v>
      </c>
      <c r="E59" t="s">
        <v>154</v>
      </c>
      <c r="F59">
        <v>4</v>
      </c>
      <c r="G59">
        <v>1540</v>
      </c>
      <c r="H59">
        <v>28.8</v>
      </c>
      <c r="I59">
        <v>4385.92</v>
      </c>
      <c r="J59" t="s">
        <v>87</v>
      </c>
      <c r="K59" t="s">
        <v>99</v>
      </c>
      <c r="L59">
        <v>0</v>
      </c>
      <c r="M59" t="b">
        <v>0</v>
      </c>
      <c r="N59" t="s">
        <v>2828</v>
      </c>
      <c r="O59" t="s">
        <v>2515</v>
      </c>
      <c r="P59">
        <v>55</v>
      </c>
      <c r="Q59" t="s">
        <v>2871</v>
      </c>
      <c r="R59">
        <v>647</v>
      </c>
    </row>
    <row r="60" spans="1:18" x14ac:dyDescent="0.3">
      <c r="A60" t="s">
        <v>260</v>
      </c>
      <c r="B60" s="45">
        <v>45616</v>
      </c>
      <c r="C60" t="s">
        <v>261</v>
      </c>
      <c r="D60" t="s">
        <v>164</v>
      </c>
      <c r="E60" t="s">
        <v>238</v>
      </c>
      <c r="F60">
        <v>1</v>
      </c>
      <c r="G60">
        <v>1080</v>
      </c>
      <c r="H60">
        <v>23</v>
      </c>
      <c r="I60">
        <v>831.6</v>
      </c>
      <c r="J60" t="s">
        <v>140</v>
      </c>
      <c r="K60" t="s">
        <v>99</v>
      </c>
      <c r="L60">
        <v>0</v>
      </c>
      <c r="M60" t="b">
        <v>1</v>
      </c>
      <c r="N60" t="s">
        <v>2817</v>
      </c>
      <c r="O60" t="s">
        <v>2507</v>
      </c>
      <c r="P60">
        <v>54</v>
      </c>
      <c r="Q60" t="s">
        <v>2871</v>
      </c>
      <c r="R60">
        <v>519</v>
      </c>
    </row>
    <row r="61" spans="1:18" x14ac:dyDescent="0.3">
      <c r="A61" t="s">
        <v>262</v>
      </c>
      <c r="B61" s="45">
        <v>45573</v>
      </c>
      <c r="C61" t="s">
        <v>263</v>
      </c>
      <c r="D61" t="s">
        <v>264</v>
      </c>
      <c r="E61" t="s">
        <v>86</v>
      </c>
      <c r="F61">
        <v>1</v>
      </c>
      <c r="G61">
        <v>4070</v>
      </c>
      <c r="H61">
        <v>6.7</v>
      </c>
      <c r="I61">
        <v>3797.31</v>
      </c>
      <c r="J61" t="s">
        <v>87</v>
      </c>
      <c r="K61" t="s">
        <v>133</v>
      </c>
      <c r="L61">
        <v>0</v>
      </c>
      <c r="M61" t="b">
        <v>1</v>
      </c>
      <c r="N61" t="s">
        <v>2806</v>
      </c>
      <c r="O61" t="s">
        <v>2507</v>
      </c>
      <c r="P61">
        <v>53</v>
      </c>
      <c r="Q61" t="s">
        <v>2855</v>
      </c>
      <c r="R61">
        <v>2027</v>
      </c>
    </row>
    <row r="62" spans="1:18" x14ac:dyDescent="0.3">
      <c r="A62" t="s">
        <v>2310</v>
      </c>
      <c r="B62" s="45">
        <v>45629</v>
      </c>
      <c r="C62" t="s">
        <v>142</v>
      </c>
      <c r="D62" t="s">
        <v>167</v>
      </c>
      <c r="E62" t="s">
        <v>201</v>
      </c>
      <c r="F62">
        <v>7</v>
      </c>
      <c r="G62">
        <v>2480</v>
      </c>
      <c r="H62">
        <v>17.3</v>
      </c>
      <c r="I62">
        <v>14356.72</v>
      </c>
      <c r="J62" t="s">
        <v>87</v>
      </c>
      <c r="K62" t="s">
        <v>88</v>
      </c>
      <c r="L62">
        <v>0</v>
      </c>
      <c r="M62" t="b">
        <v>1</v>
      </c>
      <c r="N62" t="s">
        <v>2795</v>
      </c>
      <c r="O62" t="s">
        <v>2515</v>
      </c>
      <c r="P62">
        <v>39</v>
      </c>
      <c r="Q62" t="s">
        <v>2879</v>
      </c>
      <c r="R62">
        <v>1173</v>
      </c>
    </row>
    <row r="63" spans="1:18" x14ac:dyDescent="0.3">
      <c r="A63" t="s">
        <v>2309</v>
      </c>
      <c r="B63" s="45">
        <v>45600</v>
      </c>
      <c r="C63" t="s">
        <v>231</v>
      </c>
      <c r="D63" t="s">
        <v>276</v>
      </c>
      <c r="E63" t="s">
        <v>346</v>
      </c>
      <c r="F63">
        <v>8</v>
      </c>
      <c r="G63">
        <v>3020</v>
      </c>
      <c r="H63">
        <v>14.5</v>
      </c>
      <c r="I63">
        <v>20656.8</v>
      </c>
      <c r="J63" t="s">
        <v>87</v>
      </c>
      <c r="K63" t="s">
        <v>117</v>
      </c>
      <c r="L63">
        <v>0</v>
      </c>
      <c r="M63" t="b">
        <v>1</v>
      </c>
      <c r="N63" t="s">
        <v>2828</v>
      </c>
      <c r="O63" t="s">
        <v>2515</v>
      </c>
      <c r="P63">
        <v>64</v>
      </c>
      <c r="Q63" t="s">
        <v>2862</v>
      </c>
      <c r="R63">
        <v>1626</v>
      </c>
    </row>
    <row r="64" spans="1:18" x14ac:dyDescent="0.3">
      <c r="A64" t="s">
        <v>271</v>
      </c>
      <c r="B64" s="45">
        <v>45589</v>
      </c>
      <c r="C64" t="s">
        <v>272</v>
      </c>
      <c r="D64" t="s">
        <v>164</v>
      </c>
      <c r="E64" t="s">
        <v>273</v>
      </c>
      <c r="F64">
        <v>8</v>
      </c>
      <c r="G64">
        <v>1080</v>
      </c>
      <c r="H64">
        <v>28.4</v>
      </c>
      <c r="I64">
        <v>6186.24</v>
      </c>
      <c r="J64" t="s">
        <v>87</v>
      </c>
      <c r="K64" t="s">
        <v>94</v>
      </c>
      <c r="L64">
        <v>0</v>
      </c>
      <c r="M64" t="b">
        <v>1</v>
      </c>
      <c r="N64" t="s">
        <v>2817</v>
      </c>
      <c r="O64" t="s">
        <v>2515</v>
      </c>
      <c r="P64">
        <v>55</v>
      </c>
      <c r="Q64" t="s">
        <v>2862</v>
      </c>
      <c r="R64">
        <v>519</v>
      </c>
    </row>
    <row r="65" spans="1:18" x14ac:dyDescent="0.3">
      <c r="A65" t="s">
        <v>2299</v>
      </c>
      <c r="B65" s="45">
        <v>45578</v>
      </c>
      <c r="C65" t="s">
        <v>206</v>
      </c>
      <c r="D65" t="s">
        <v>234</v>
      </c>
      <c r="E65" t="s">
        <v>92</v>
      </c>
      <c r="F65">
        <v>10</v>
      </c>
      <c r="G65">
        <v>3780</v>
      </c>
      <c r="H65">
        <v>23.7</v>
      </c>
      <c r="I65">
        <v>28841.4</v>
      </c>
      <c r="J65" t="s">
        <v>87</v>
      </c>
      <c r="K65" t="s">
        <v>133</v>
      </c>
      <c r="L65">
        <v>0</v>
      </c>
      <c r="M65" t="b">
        <v>1</v>
      </c>
      <c r="N65" t="s">
        <v>2806</v>
      </c>
      <c r="O65" t="s">
        <v>2515</v>
      </c>
      <c r="P65">
        <v>40</v>
      </c>
      <c r="Q65" t="s">
        <v>2855</v>
      </c>
      <c r="R65">
        <v>2436</v>
      </c>
    </row>
    <row r="66" spans="1:18" x14ac:dyDescent="0.3">
      <c r="A66" t="s">
        <v>2295</v>
      </c>
      <c r="B66" s="45">
        <v>45634</v>
      </c>
      <c r="C66" t="s">
        <v>602</v>
      </c>
      <c r="D66" t="s">
        <v>176</v>
      </c>
      <c r="E66" t="s">
        <v>343</v>
      </c>
      <c r="F66">
        <v>9</v>
      </c>
      <c r="G66">
        <v>1650</v>
      </c>
      <c r="H66">
        <v>26.8</v>
      </c>
      <c r="I66">
        <v>10870.2</v>
      </c>
      <c r="J66" t="s">
        <v>87</v>
      </c>
      <c r="K66" t="s">
        <v>94</v>
      </c>
      <c r="L66">
        <v>0</v>
      </c>
      <c r="M66" t="b">
        <v>1</v>
      </c>
      <c r="N66" t="s">
        <v>2828</v>
      </c>
      <c r="O66" t="s">
        <v>2507</v>
      </c>
      <c r="P66">
        <v>61</v>
      </c>
      <c r="Q66" t="s">
        <v>2879</v>
      </c>
      <c r="R66">
        <v>1222</v>
      </c>
    </row>
    <row r="67" spans="1:18" x14ac:dyDescent="0.3">
      <c r="A67" t="s">
        <v>280</v>
      </c>
      <c r="B67" s="45">
        <v>45599</v>
      </c>
      <c r="C67" t="s">
        <v>281</v>
      </c>
      <c r="D67" t="s">
        <v>282</v>
      </c>
      <c r="E67" t="s">
        <v>148</v>
      </c>
      <c r="F67">
        <v>9</v>
      </c>
      <c r="G67">
        <v>300</v>
      </c>
      <c r="H67">
        <v>25.3</v>
      </c>
      <c r="I67">
        <v>2016.9</v>
      </c>
      <c r="J67" t="s">
        <v>87</v>
      </c>
      <c r="K67" t="s">
        <v>88</v>
      </c>
      <c r="L67">
        <v>0</v>
      </c>
      <c r="M67" t="b">
        <v>1</v>
      </c>
      <c r="N67" t="s">
        <v>2784</v>
      </c>
      <c r="O67" t="s">
        <v>2507</v>
      </c>
      <c r="P67">
        <v>25</v>
      </c>
      <c r="Q67" t="s">
        <v>2855</v>
      </c>
      <c r="R67">
        <v>128</v>
      </c>
    </row>
    <row r="68" spans="1:18" x14ac:dyDescent="0.3">
      <c r="A68" t="s">
        <v>2292</v>
      </c>
      <c r="B68" s="45">
        <v>45580</v>
      </c>
      <c r="C68" t="s">
        <v>1664</v>
      </c>
      <c r="D68" t="s">
        <v>237</v>
      </c>
      <c r="E68" t="s">
        <v>158</v>
      </c>
      <c r="F68">
        <v>1</v>
      </c>
      <c r="G68">
        <v>3640</v>
      </c>
      <c r="H68">
        <v>15.8</v>
      </c>
      <c r="I68">
        <v>3064.88</v>
      </c>
      <c r="J68" t="s">
        <v>87</v>
      </c>
      <c r="K68" t="s">
        <v>117</v>
      </c>
      <c r="L68">
        <v>0</v>
      </c>
      <c r="M68" t="b">
        <v>1</v>
      </c>
      <c r="N68" t="s">
        <v>2795</v>
      </c>
      <c r="O68" t="s">
        <v>2507</v>
      </c>
      <c r="P68">
        <v>48</v>
      </c>
      <c r="Q68" t="s">
        <v>2871</v>
      </c>
      <c r="R68">
        <v>2611</v>
      </c>
    </row>
    <row r="69" spans="1:18" x14ac:dyDescent="0.3">
      <c r="A69" t="s">
        <v>2290</v>
      </c>
      <c r="B69" s="45">
        <v>45600</v>
      </c>
      <c r="C69" t="s">
        <v>390</v>
      </c>
      <c r="D69" t="s">
        <v>279</v>
      </c>
      <c r="E69" t="s">
        <v>92</v>
      </c>
      <c r="F69">
        <v>6</v>
      </c>
      <c r="G69">
        <v>2660</v>
      </c>
      <c r="H69">
        <v>14.9</v>
      </c>
      <c r="I69">
        <v>13581.96</v>
      </c>
      <c r="J69" t="s">
        <v>87</v>
      </c>
      <c r="K69" t="s">
        <v>88</v>
      </c>
      <c r="L69">
        <v>0</v>
      </c>
      <c r="M69" t="b">
        <v>0</v>
      </c>
      <c r="N69" t="s">
        <v>2784</v>
      </c>
      <c r="O69" t="s">
        <v>2515</v>
      </c>
      <c r="P69">
        <v>54</v>
      </c>
      <c r="Q69" t="s">
        <v>2855</v>
      </c>
      <c r="R69">
        <v>1259</v>
      </c>
    </row>
    <row r="70" spans="1:18" x14ac:dyDescent="0.3">
      <c r="A70" t="s">
        <v>2283</v>
      </c>
      <c r="B70" s="45">
        <v>45610</v>
      </c>
      <c r="C70" t="s">
        <v>563</v>
      </c>
      <c r="D70" t="s">
        <v>102</v>
      </c>
      <c r="E70" t="s">
        <v>86</v>
      </c>
      <c r="F70">
        <v>9</v>
      </c>
      <c r="G70">
        <v>3660</v>
      </c>
      <c r="H70">
        <v>9.3000000000000007</v>
      </c>
      <c r="I70">
        <v>29876.58</v>
      </c>
      <c r="J70" t="s">
        <v>140</v>
      </c>
      <c r="K70" t="s">
        <v>88</v>
      </c>
      <c r="L70">
        <v>0</v>
      </c>
      <c r="M70" t="b">
        <v>0</v>
      </c>
      <c r="N70" t="s">
        <v>2806</v>
      </c>
      <c r="O70" t="s">
        <v>2515</v>
      </c>
      <c r="P70">
        <v>24</v>
      </c>
      <c r="Q70" t="s">
        <v>2855</v>
      </c>
      <c r="R70">
        <v>2214</v>
      </c>
    </row>
    <row r="71" spans="1:18" x14ac:dyDescent="0.3">
      <c r="A71" t="s">
        <v>2280</v>
      </c>
      <c r="B71" s="45">
        <v>45606</v>
      </c>
      <c r="C71" t="s">
        <v>1350</v>
      </c>
      <c r="D71" t="s">
        <v>179</v>
      </c>
      <c r="E71" t="s">
        <v>297</v>
      </c>
      <c r="F71">
        <v>10</v>
      </c>
      <c r="G71">
        <v>3350</v>
      </c>
      <c r="H71">
        <v>12.1</v>
      </c>
      <c r="I71">
        <v>29446.5</v>
      </c>
      <c r="J71" t="s">
        <v>87</v>
      </c>
      <c r="K71" t="s">
        <v>112</v>
      </c>
      <c r="L71">
        <v>0</v>
      </c>
      <c r="M71" t="b">
        <v>1</v>
      </c>
      <c r="N71" t="s">
        <v>2828</v>
      </c>
      <c r="O71" t="s">
        <v>2507</v>
      </c>
      <c r="P71">
        <v>38</v>
      </c>
      <c r="Q71" t="s">
        <v>2855</v>
      </c>
      <c r="R71">
        <v>1728</v>
      </c>
    </row>
    <row r="72" spans="1:18" x14ac:dyDescent="0.3">
      <c r="A72" t="s">
        <v>2278</v>
      </c>
      <c r="B72" s="45">
        <v>45644</v>
      </c>
      <c r="C72" t="s">
        <v>795</v>
      </c>
      <c r="D72" t="s">
        <v>135</v>
      </c>
      <c r="E72" t="s">
        <v>238</v>
      </c>
      <c r="F72">
        <v>3</v>
      </c>
      <c r="G72">
        <v>2640</v>
      </c>
      <c r="H72">
        <v>10.199999999999999</v>
      </c>
      <c r="I72">
        <v>7112.16</v>
      </c>
      <c r="J72" t="s">
        <v>140</v>
      </c>
      <c r="K72" t="s">
        <v>94</v>
      </c>
      <c r="L72">
        <v>0</v>
      </c>
      <c r="M72" t="b">
        <v>1</v>
      </c>
      <c r="N72" t="s">
        <v>2784</v>
      </c>
      <c r="O72" t="s">
        <v>2507</v>
      </c>
      <c r="P72">
        <v>22</v>
      </c>
      <c r="Q72" t="s">
        <v>2871</v>
      </c>
      <c r="R72">
        <v>1149</v>
      </c>
    </row>
    <row r="73" spans="1:18" x14ac:dyDescent="0.3">
      <c r="A73" t="s">
        <v>2275</v>
      </c>
      <c r="B73" s="45">
        <v>45571</v>
      </c>
      <c r="C73" t="s">
        <v>328</v>
      </c>
      <c r="D73" t="s">
        <v>355</v>
      </c>
      <c r="E73" t="s">
        <v>297</v>
      </c>
      <c r="F73">
        <v>5</v>
      </c>
      <c r="G73">
        <v>2510</v>
      </c>
      <c r="H73">
        <v>22.2</v>
      </c>
      <c r="I73">
        <v>9763.9</v>
      </c>
      <c r="J73" t="s">
        <v>87</v>
      </c>
      <c r="K73" t="s">
        <v>94</v>
      </c>
      <c r="L73">
        <v>0</v>
      </c>
      <c r="M73" t="b">
        <v>0</v>
      </c>
      <c r="N73" t="s">
        <v>2795</v>
      </c>
      <c r="O73" t="s">
        <v>2507</v>
      </c>
      <c r="P73">
        <v>28</v>
      </c>
      <c r="Q73" t="s">
        <v>2855</v>
      </c>
      <c r="R73">
        <v>1075</v>
      </c>
    </row>
    <row r="74" spans="1:18" x14ac:dyDescent="0.3">
      <c r="A74" t="s">
        <v>2270</v>
      </c>
      <c r="B74" s="45">
        <v>45580</v>
      </c>
      <c r="C74" t="s">
        <v>507</v>
      </c>
      <c r="D74" t="s">
        <v>110</v>
      </c>
      <c r="E74" t="s">
        <v>128</v>
      </c>
      <c r="F74">
        <v>2</v>
      </c>
      <c r="G74">
        <v>370</v>
      </c>
      <c r="H74">
        <v>24</v>
      </c>
      <c r="I74">
        <v>562.4</v>
      </c>
      <c r="J74" t="s">
        <v>87</v>
      </c>
      <c r="K74" t="s">
        <v>88</v>
      </c>
      <c r="L74">
        <v>0</v>
      </c>
      <c r="M74" t="b">
        <v>1</v>
      </c>
      <c r="N74" t="s">
        <v>2817</v>
      </c>
      <c r="O74" t="s">
        <v>2507</v>
      </c>
      <c r="P74">
        <v>59</v>
      </c>
      <c r="Q74" t="s">
        <v>2879</v>
      </c>
      <c r="R74">
        <v>288</v>
      </c>
    </row>
    <row r="75" spans="1:18" x14ac:dyDescent="0.3">
      <c r="A75" t="s">
        <v>2269</v>
      </c>
      <c r="B75" s="45">
        <v>45633</v>
      </c>
      <c r="C75" t="s">
        <v>602</v>
      </c>
      <c r="D75" t="s">
        <v>97</v>
      </c>
      <c r="E75" t="s">
        <v>343</v>
      </c>
      <c r="F75">
        <v>3</v>
      </c>
      <c r="G75">
        <v>470</v>
      </c>
      <c r="H75">
        <v>18.600000000000001</v>
      </c>
      <c r="I75">
        <v>1147.74</v>
      </c>
      <c r="J75" t="s">
        <v>87</v>
      </c>
      <c r="K75" t="s">
        <v>94</v>
      </c>
      <c r="L75">
        <v>0</v>
      </c>
      <c r="M75" t="b">
        <v>0</v>
      </c>
      <c r="N75" t="s">
        <v>2839</v>
      </c>
      <c r="O75" t="s">
        <v>2507</v>
      </c>
      <c r="P75">
        <v>61</v>
      </c>
      <c r="Q75" t="s">
        <v>2879</v>
      </c>
      <c r="R75">
        <v>302</v>
      </c>
    </row>
    <row r="76" spans="1:18" x14ac:dyDescent="0.3">
      <c r="A76" t="s">
        <v>2268</v>
      </c>
      <c r="B76" s="45">
        <v>45609</v>
      </c>
      <c r="C76" t="s">
        <v>403</v>
      </c>
      <c r="D76" t="s">
        <v>200</v>
      </c>
      <c r="E76" t="s">
        <v>215</v>
      </c>
      <c r="F76">
        <v>3</v>
      </c>
      <c r="G76">
        <v>2760</v>
      </c>
      <c r="H76">
        <v>2.4</v>
      </c>
      <c r="I76">
        <v>8081.28</v>
      </c>
      <c r="J76" t="s">
        <v>87</v>
      </c>
      <c r="K76" t="s">
        <v>117</v>
      </c>
      <c r="L76">
        <v>0</v>
      </c>
      <c r="M76" t="b">
        <v>1</v>
      </c>
      <c r="N76" t="s">
        <v>2806</v>
      </c>
      <c r="O76" t="s">
        <v>2507</v>
      </c>
      <c r="P76">
        <v>59</v>
      </c>
      <c r="Q76" t="s">
        <v>2855</v>
      </c>
      <c r="R76">
        <v>1435</v>
      </c>
    </row>
    <row r="77" spans="1:18" x14ac:dyDescent="0.3">
      <c r="A77" t="s">
        <v>302</v>
      </c>
      <c r="B77" s="45">
        <v>45585</v>
      </c>
      <c r="C77" t="s">
        <v>258</v>
      </c>
      <c r="D77" t="s">
        <v>110</v>
      </c>
      <c r="E77" t="s">
        <v>303</v>
      </c>
      <c r="F77">
        <v>1</v>
      </c>
      <c r="G77">
        <v>370</v>
      </c>
      <c r="H77">
        <v>28.9</v>
      </c>
      <c r="I77">
        <v>263.07</v>
      </c>
      <c r="J77" t="s">
        <v>87</v>
      </c>
      <c r="K77" t="s">
        <v>99</v>
      </c>
      <c r="L77">
        <v>0</v>
      </c>
      <c r="M77" t="b">
        <v>1</v>
      </c>
      <c r="N77" t="s">
        <v>2817</v>
      </c>
      <c r="O77" t="s">
        <v>2515</v>
      </c>
      <c r="P77">
        <v>55</v>
      </c>
      <c r="Q77" t="s">
        <v>2871</v>
      </c>
      <c r="R77">
        <v>288</v>
      </c>
    </row>
    <row r="78" spans="1:18" x14ac:dyDescent="0.3">
      <c r="A78" t="s">
        <v>2265</v>
      </c>
      <c r="B78" s="45">
        <v>45597</v>
      </c>
      <c r="C78" t="s">
        <v>986</v>
      </c>
      <c r="D78" t="s">
        <v>282</v>
      </c>
      <c r="E78" t="s">
        <v>215</v>
      </c>
      <c r="F78">
        <v>3</v>
      </c>
      <c r="G78">
        <v>300</v>
      </c>
      <c r="H78">
        <v>7.5</v>
      </c>
      <c r="I78">
        <v>832.5</v>
      </c>
      <c r="J78" t="s">
        <v>144</v>
      </c>
      <c r="K78" t="s">
        <v>94</v>
      </c>
      <c r="L78">
        <v>0</v>
      </c>
      <c r="M78" t="b">
        <v>1</v>
      </c>
      <c r="N78" t="s">
        <v>2784</v>
      </c>
      <c r="O78" t="s">
        <v>2509</v>
      </c>
      <c r="P78">
        <v>52</v>
      </c>
      <c r="Q78" t="s">
        <v>2855</v>
      </c>
      <c r="R78">
        <v>128</v>
      </c>
    </row>
    <row r="79" spans="1:18" x14ac:dyDescent="0.3">
      <c r="A79" t="s">
        <v>2254</v>
      </c>
      <c r="B79" s="45">
        <v>45617</v>
      </c>
      <c r="C79" t="s">
        <v>258</v>
      </c>
      <c r="D79" t="s">
        <v>367</v>
      </c>
      <c r="E79" t="s">
        <v>285</v>
      </c>
      <c r="F79">
        <v>8</v>
      </c>
      <c r="G79">
        <v>2380</v>
      </c>
      <c r="H79">
        <v>3.8</v>
      </c>
      <c r="I79">
        <v>18316.48</v>
      </c>
      <c r="J79" t="s">
        <v>87</v>
      </c>
      <c r="K79" t="s">
        <v>99</v>
      </c>
      <c r="L79">
        <v>0</v>
      </c>
      <c r="M79" t="b">
        <v>1</v>
      </c>
      <c r="N79" t="s">
        <v>2806</v>
      </c>
      <c r="O79" t="s">
        <v>2515</v>
      </c>
      <c r="P79">
        <v>55</v>
      </c>
      <c r="Q79" t="s">
        <v>2871</v>
      </c>
      <c r="R79">
        <v>1182</v>
      </c>
    </row>
    <row r="80" spans="1:18" x14ac:dyDescent="0.3">
      <c r="A80" t="s">
        <v>2249</v>
      </c>
      <c r="B80" s="45">
        <v>45587</v>
      </c>
      <c r="C80" t="s">
        <v>1261</v>
      </c>
      <c r="D80" t="s">
        <v>164</v>
      </c>
      <c r="E80" t="s">
        <v>98</v>
      </c>
      <c r="F80">
        <v>7</v>
      </c>
      <c r="G80">
        <v>1080</v>
      </c>
      <c r="H80">
        <v>12.9</v>
      </c>
      <c r="I80">
        <v>6584.76</v>
      </c>
      <c r="J80" t="s">
        <v>87</v>
      </c>
      <c r="K80" t="s">
        <v>117</v>
      </c>
      <c r="L80">
        <v>0</v>
      </c>
      <c r="M80" t="b">
        <v>1</v>
      </c>
      <c r="N80" t="s">
        <v>2817</v>
      </c>
      <c r="O80" t="s">
        <v>2507</v>
      </c>
      <c r="P80">
        <v>54</v>
      </c>
      <c r="Q80" t="s">
        <v>2862</v>
      </c>
      <c r="R80">
        <v>519</v>
      </c>
    </row>
    <row r="81" spans="1:18" x14ac:dyDescent="0.3">
      <c r="A81" t="s">
        <v>2242</v>
      </c>
      <c r="B81" s="45">
        <v>45651</v>
      </c>
      <c r="C81" t="s">
        <v>697</v>
      </c>
      <c r="D81" t="s">
        <v>184</v>
      </c>
      <c r="E81" t="s">
        <v>325</v>
      </c>
      <c r="F81">
        <v>5</v>
      </c>
      <c r="G81">
        <v>4880</v>
      </c>
      <c r="H81">
        <v>22.9</v>
      </c>
      <c r="I81">
        <v>18812.400000000001</v>
      </c>
      <c r="J81" t="s">
        <v>87</v>
      </c>
      <c r="K81" t="s">
        <v>133</v>
      </c>
      <c r="L81">
        <v>0</v>
      </c>
      <c r="M81" t="b">
        <v>1</v>
      </c>
      <c r="N81" t="s">
        <v>2828</v>
      </c>
      <c r="O81" t="s">
        <v>2507</v>
      </c>
      <c r="P81">
        <v>65</v>
      </c>
      <c r="Q81" t="s">
        <v>2862</v>
      </c>
      <c r="R81">
        <v>2768</v>
      </c>
    </row>
    <row r="82" spans="1:18" x14ac:dyDescent="0.3">
      <c r="A82" t="s">
        <v>311</v>
      </c>
      <c r="B82" s="45">
        <v>45615</v>
      </c>
      <c r="C82" t="s">
        <v>312</v>
      </c>
      <c r="D82" t="s">
        <v>138</v>
      </c>
      <c r="E82" t="s">
        <v>128</v>
      </c>
      <c r="F82">
        <v>2</v>
      </c>
      <c r="G82">
        <v>2600</v>
      </c>
      <c r="H82">
        <v>1.9</v>
      </c>
      <c r="I82">
        <v>5101.2</v>
      </c>
      <c r="J82" t="s">
        <v>93</v>
      </c>
      <c r="K82" t="s">
        <v>133</v>
      </c>
      <c r="L82">
        <v>0</v>
      </c>
      <c r="M82" t="b">
        <v>1</v>
      </c>
      <c r="N82" t="s">
        <v>2784</v>
      </c>
      <c r="O82" t="s">
        <v>2507</v>
      </c>
      <c r="P82">
        <v>46</v>
      </c>
      <c r="Q82" t="s">
        <v>2879</v>
      </c>
      <c r="R82">
        <v>1052</v>
      </c>
    </row>
    <row r="83" spans="1:18" x14ac:dyDescent="0.3">
      <c r="A83" t="s">
        <v>2240</v>
      </c>
      <c r="B83" s="45">
        <v>45602</v>
      </c>
      <c r="C83" t="s">
        <v>247</v>
      </c>
      <c r="D83" t="s">
        <v>143</v>
      </c>
      <c r="E83" t="s">
        <v>215</v>
      </c>
      <c r="F83">
        <v>5</v>
      </c>
      <c r="G83">
        <v>3250</v>
      </c>
      <c r="H83">
        <v>19.899999999999999</v>
      </c>
      <c r="I83">
        <v>13016.25</v>
      </c>
      <c r="J83" t="s">
        <v>87</v>
      </c>
      <c r="K83" t="s">
        <v>117</v>
      </c>
      <c r="L83">
        <v>0</v>
      </c>
      <c r="M83" t="b">
        <v>1</v>
      </c>
      <c r="N83" t="s">
        <v>2817</v>
      </c>
      <c r="O83" t="s">
        <v>2507</v>
      </c>
      <c r="P83">
        <v>34</v>
      </c>
      <c r="Q83" t="s">
        <v>2855</v>
      </c>
      <c r="R83">
        <v>1556</v>
      </c>
    </row>
    <row r="84" spans="1:18" x14ac:dyDescent="0.3">
      <c r="A84" t="s">
        <v>2236</v>
      </c>
      <c r="B84" s="45">
        <v>45596</v>
      </c>
      <c r="C84" t="s">
        <v>1234</v>
      </c>
      <c r="D84" t="s">
        <v>167</v>
      </c>
      <c r="E84" t="s">
        <v>158</v>
      </c>
      <c r="F84">
        <v>3</v>
      </c>
      <c r="G84">
        <v>2480</v>
      </c>
      <c r="H84">
        <v>28.7</v>
      </c>
      <c r="I84">
        <v>5304.72</v>
      </c>
      <c r="J84" t="s">
        <v>93</v>
      </c>
      <c r="K84" t="s">
        <v>112</v>
      </c>
      <c r="L84">
        <v>0</v>
      </c>
      <c r="M84" t="b">
        <v>1</v>
      </c>
      <c r="N84" t="s">
        <v>2795</v>
      </c>
      <c r="O84" t="s">
        <v>2507</v>
      </c>
      <c r="P84">
        <v>29</v>
      </c>
      <c r="Q84" t="s">
        <v>2871</v>
      </c>
      <c r="R84">
        <v>1173</v>
      </c>
    </row>
    <row r="85" spans="1:18" x14ac:dyDescent="0.3">
      <c r="A85" t="s">
        <v>2229</v>
      </c>
      <c r="B85" s="45">
        <v>45614</v>
      </c>
      <c r="C85" t="s">
        <v>440</v>
      </c>
      <c r="D85" t="s">
        <v>264</v>
      </c>
      <c r="E85" t="s">
        <v>192</v>
      </c>
      <c r="F85">
        <v>1</v>
      </c>
      <c r="G85">
        <v>4070</v>
      </c>
      <c r="H85">
        <v>9.3000000000000007</v>
      </c>
      <c r="I85">
        <v>3691.49</v>
      </c>
      <c r="J85" t="s">
        <v>144</v>
      </c>
      <c r="K85" t="s">
        <v>88</v>
      </c>
      <c r="L85">
        <v>0</v>
      </c>
      <c r="M85" t="b">
        <v>1</v>
      </c>
      <c r="N85" t="s">
        <v>2806</v>
      </c>
      <c r="O85" t="s">
        <v>2515</v>
      </c>
      <c r="P85">
        <v>30</v>
      </c>
      <c r="Q85" t="s">
        <v>2871</v>
      </c>
      <c r="R85">
        <v>2027</v>
      </c>
    </row>
    <row r="86" spans="1:18" x14ac:dyDescent="0.3">
      <c r="A86" t="s">
        <v>2228</v>
      </c>
      <c r="B86" s="45">
        <v>45617</v>
      </c>
      <c r="C86" t="s">
        <v>244</v>
      </c>
      <c r="D86" t="s">
        <v>295</v>
      </c>
      <c r="E86" t="s">
        <v>201</v>
      </c>
      <c r="F86">
        <v>5</v>
      </c>
      <c r="G86">
        <v>2030</v>
      </c>
      <c r="H86">
        <v>0.9</v>
      </c>
      <c r="I86">
        <v>10058.65</v>
      </c>
      <c r="J86" t="s">
        <v>140</v>
      </c>
      <c r="K86" t="s">
        <v>94</v>
      </c>
      <c r="L86">
        <v>0</v>
      </c>
      <c r="M86" t="b">
        <v>1</v>
      </c>
      <c r="N86" t="s">
        <v>2817</v>
      </c>
      <c r="O86" t="s">
        <v>2509</v>
      </c>
      <c r="P86">
        <v>52</v>
      </c>
      <c r="Q86" t="s">
        <v>2879</v>
      </c>
      <c r="R86">
        <v>1143</v>
      </c>
    </row>
    <row r="87" spans="1:18" x14ac:dyDescent="0.3">
      <c r="A87" t="s">
        <v>2226</v>
      </c>
      <c r="B87" s="45">
        <v>45576</v>
      </c>
      <c r="C87" t="s">
        <v>447</v>
      </c>
      <c r="D87" t="s">
        <v>270</v>
      </c>
      <c r="E87" t="s">
        <v>325</v>
      </c>
      <c r="F87">
        <v>8</v>
      </c>
      <c r="G87">
        <v>4610</v>
      </c>
      <c r="H87">
        <v>24.5</v>
      </c>
      <c r="I87">
        <v>27844.400000000001</v>
      </c>
      <c r="J87" t="s">
        <v>87</v>
      </c>
      <c r="K87" t="s">
        <v>112</v>
      </c>
      <c r="L87">
        <v>0</v>
      </c>
      <c r="M87" t="b">
        <v>1</v>
      </c>
      <c r="N87" t="s">
        <v>2817</v>
      </c>
      <c r="O87" t="s">
        <v>2507</v>
      </c>
      <c r="P87">
        <v>41</v>
      </c>
      <c r="Q87" t="s">
        <v>2862</v>
      </c>
      <c r="R87">
        <v>1850</v>
      </c>
    </row>
    <row r="88" spans="1:18" x14ac:dyDescent="0.3">
      <c r="A88" t="s">
        <v>2218</v>
      </c>
      <c r="B88" s="45">
        <v>45589</v>
      </c>
      <c r="C88" t="s">
        <v>902</v>
      </c>
      <c r="D88" t="s">
        <v>200</v>
      </c>
      <c r="E88" t="s">
        <v>252</v>
      </c>
      <c r="F88">
        <v>1</v>
      </c>
      <c r="G88">
        <v>2760</v>
      </c>
      <c r="H88">
        <v>17.8</v>
      </c>
      <c r="I88">
        <v>2268.7199999999998</v>
      </c>
      <c r="J88" t="s">
        <v>144</v>
      </c>
      <c r="K88" t="s">
        <v>112</v>
      </c>
      <c r="L88">
        <v>0</v>
      </c>
      <c r="M88" t="b">
        <v>1</v>
      </c>
      <c r="N88" t="s">
        <v>2806</v>
      </c>
      <c r="O88" t="s">
        <v>2507</v>
      </c>
      <c r="P88">
        <v>37</v>
      </c>
      <c r="Q88" t="s">
        <v>2862</v>
      </c>
      <c r="R88">
        <v>1435</v>
      </c>
    </row>
    <row r="89" spans="1:18" x14ac:dyDescent="0.3">
      <c r="A89" t="s">
        <v>2217</v>
      </c>
      <c r="B89" s="45">
        <v>45647</v>
      </c>
      <c r="C89" t="s">
        <v>895</v>
      </c>
      <c r="D89" t="s">
        <v>191</v>
      </c>
      <c r="E89" t="s">
        <v>343</v>
      </c>
      <c r="F89">
        <v>10</v>
      </c>
      <c r="G89">
        <v>5100</v>
      </c>
      <c r="H89">
        <v>12.7</v>
      </c>
      <c r="I89">
        <v>44523</v>
      </c>
      <c r="J89" t="s">
        <v>87</v>
      </c>
      <c r="K89" t="s">
        <v>117</v>
      </c>
      <c r="L89">
        <v>0</v>
      </c>
      <c r="M89" t="b">
        <v>1</v>
      </c>
      <c r="N89" t="s">
        <v>2828</v>
      </c>
      <c r="O89" t="s">
        <v>2507</v>
      </c>
      <c r="P89">
        <v>46</v>
      </c>
      <c r="Q89" t="s">
        <v>2879</v>
      </c>
      <c r="R89">
        <v>2237</v>
      </c>
    </row>
    <row r="90" spans="1:18" x14ac:dyDescent="0.3">
      <c r="A90" t="s">
        <v>327</v>
      </c>
      <c r="B90" s="45">
        <v>45600</v>
      </c>
      <c r="C90" t="s">
        <v>328</v>
      </c>
      <c r="D90" t="s">
        <v>97</v>
      </c>
      <c r="E90" t="s">
        <v>201</v>
      </c>
      <c r="F90">
        <v>2</v>
      </c>
      <c r="G90">
        <v>470</v>
      </c>
      <c r="H90">
        <v>5.4</v>
      </c>
      <c r="I90">
        <v>889.24</v>
      </c>
      <c r="J90" t="s">
        <v>87</v>
      </c>
      <c r="K90" t="s">
        <v>94</v>
      </c>
      <c r="L90">
        <v>0</v>
      </c>
      <c r="M90" t="b">
        <v>0</v>
      </c>
      <c r="N90" t="s">
        <v>2839</v>
      </c>
      <c r="O90" t="s">
        <v>2507</v>
      </c>
      <c r="P90">
        <v>28</v>
      </c>
      <c r="Q90" t="s">
        <v>2879</v>
      </c>
      <c r="R90">
        <v>302</v>
      </c>
    </row>
    <row r="91" spans="1:18" x14ac:dyDescent="0.3">
      <c r="A91" t="s">
        <v>329</v>
      </c>
      <c r="B91" s="45">
        <v>45587</v>
      </c>
      <c r="C91" t="s">
        <v>172</v>
      </c>
      <c r="D91" t="s">
        <v>120</v>
      </c>
      <c r="E91" t="s">
        <v>132</v>
      </c>
      <c r="F91">
        <v>3</v>
      </c>
      <c r="G91">
        <v>1430</v>
      </c>
      <c r="H91">
        <v>6.5</v>
      </c>
      <c r="I91">
        <v>4011.15</v>
      </c>
      <c r="J91" t="s">
        <v>87</v>
      </c>
      <c r="K91" t="s">
        <v>88</v>
      </c>
      <c r="L91">
        <v>0</v>
      </c>
      <c r="M91" t="b">
        <v>1</v>
      </c>
      <c r="N91" t="s">
        <v>2784</v>
      </c>
      <c r="O91" t="s">
        <v>2507</v>
      </c>
      <c r="P91">
        <v>50</v>
      </c>
      <c r="Q91" t="s">
        <v>2862</v>
      </c>
      <c r="R91">
        <v>861</v>
      </c>
    </row>
    <row r="92" spans="1:18" x14ac:dyDescent="0.3">
      <c r="A92" t="s">
        <v>2215</v>
      </c>
      <c r="B92" s="45">
        <v>45612</v>
      </c>
      <c r="C92" t="s">
        <v>561</v>
      </c>
      <c r="D92" t="s">
        <v>248</v>
      </c>
      <c r="E92" t="s">
        <v>252</v>
      </c>
      <c r="F92">
        <v>1</v>
      </c>
      <c r="G92">
        <v>3870</v>
      </c>
      <c r="H92">
        <v>27.3</v>
      </c>
      <c r="I92">
        <v>2813.49</v>
      </c>
      <c r="J92" t="s">
        <v>87</v>
      </c>
      <c r="K92" t="s">
        <v>133</v>
      </c>
      <c r="L92">
        <v>0</v>
      </c>
      <c r="M92" t="b">
        <v>1</v>
      </c>
      <c r="N92" t="s">
        <v>2784</v>
      </c>
      <c r="O92" t="s">
        <v>2515</v>
      </c>
      <c r="P92">
        <v>43</v>
      </c>
      <c r="Q92" t="s">
        <v>2862</v>
      </c>
      <c r="R92">
        <v>1559</v>
      </c>
    </row>
    <row r="93" spans="1:18" x14ac:dyDescent="0.3">
      <c r="A93" t="s">
        <v>2208</v>
      </c>
      <c r="B93" s="45">
        <v>45631</v>
      </c>
      <c r="C93" t="s">
        <v>565</v>
      </c>
      <c r="D93" t="s">
        <v>355</v>
      </c>
      <c r="E93" t="s">
        <v>98</v>
      </c>
      <c r="F93">
        <v>4</v>
      </c>
      <c r="G93">
        <v>2510</v>
      </c>
      <c r="H93">
        <v>26.6</v>
      </c>
      <c r="I93">
        <v>7369.36</v>
      </c>
      <c r="J93" t="s">
        <v>87</v>
      </c>
      <c r="K93" t="s">
        <v>112</v>
      </c>
      <c r="L93">
        <v>0</v>
      </c>
      <c r="M93" t="b">
        <v>0</v>
      </c>
      <c r="N93" t="s">
        <v>2795</v>
      </c>
      <c r="O93" t="s">
        <v>2515</v>
      </c>
      <c r="P93">
        <v>61</v>
      </c>
      <c r="Q93" t="s">
        <v>2862</v>
      </c>
      <c r="R93">
        <v>1075</v>
      </c>
    </row>
    <row r="94" spans="1:18" x14ac:dyDescent="0.3">
      <c r="A94" t="s">
        <v>334</v>
      </c>
      <c r="B94" s="45">
        <v>45622</v>
      </c>
      <c r="C94" t="s">
        <v>305</v>
      </c>
      <c r="D94" t="s">
        <v>245</v>
      </c>
      <c r="E94" t="s">
        <v>132</v>
      </c>
      <c r="F94">
        <v>6</v>
      </c>
      <c r="G94">
        <v>2270</v>
      </c>
      <c r="H94">
        <v>2</v>
      </c>
      <c r="I94">
        <v>13347.6</v>
      </c>
      <c r="J94" t="s">
        <v>87</v>
      </c>
      <c r="K94" t="s">
        <v>133</v>
      </c>
      <c r="L94">
        <v>0</v>
      </c>
      <c r="M94" t="b">
        <v>1</v>
      </c>
      <c r="N94" t="s">
        <v>2806</v>
      </c>
      <c r="O94" t="s">
        <v>2509</v>
      </c>
      <c r="P94">
        <v>46</v>
      </c>
      <c r="Q94" t="s">
        <v>2862</v>
      </c>
      <c r="R94">
        <v>1412</v>
      </c>
    </row>
    <row r="95" spans="1:18" x14ac:dyDescent="0.3">
      <c r="A95" t="s">
        <v>2207</v>
      </c>
      <c r="B95" s="45">
        <v>45600</v>
      </c>
      <c r="C95" t="s">
        <v>299</v>
      </c>
      <c r="D95" t="s">
        <v>179</v>
      </c>
      <c r="E95" t="s">
        <v>111</v>
      </c>
      <c r="F95">
        <v>7</v>
      </c>
      <c r="G95">
        <v>3350</v>
      </c>
      <c r="H95">
        <v>13.4</v>
      </c>
      <c r="I95">
        <v>20307.7</v>
      </c>
      <c r="J95" t="s">
        <v>93</v>
      </c>
      <c r="K95" t="s">
        <v>133</v>
      </c>
      <c r="L95">
        <v>0</v>
      </c>
      <c r="M95" t="b">
        <v>1</v>
      </c>
      <c r="N95" t="s">
        <v>2828</v>
      </c>
      <c r="O95" t="s">
        <v>2507</v>
      </c>
      <c r="P95">
        <v>29</v>
      </c>
      <c r="Q95" t="s">
        <v>2879</v>
      </c>
      <c r="R95">
        <v>1728</v>
      </c>
    </row>
    <row r="96" spans="1:18" x14ac:dyDescent="0.3">
      <c r="A96" t="s">
        <v>2205</v>
      </c>
      <c r="B96" s="45">
        <v>45603</v>
      </c>
      <c r="C96" t="s">
        <v>366</v>
      </c>
      <c r="D96" t="s">
        <v>351</v>
      </c>
      <c r="E96" t="s">
        <v>148</v>
      </c>
      <c r="F96">
        <v>10</v>
      </c>
      <c r="G96">
        <v>4060</v>
      </c>
      <c r="H96">
        <v>2.2999999999999998</v>
      </c>
      <c r="I96">
        <v>39666.199999999997</v>
      </c>
      <c r="J96" t="s">
        <v>87</v>
      </c>
      <c r="K96" t="s">
        <v>112</v>
      </c>
      <c r="L96">
        <v>0</v>
      </c>
      <c r="M96" t="b">
        <v>1</v>
      </c>
      <c r="N96" t="s">
        <v>2806</v>
      </c>
      <c r="O96" t="s">
        <v>2507</v>
      </c>
      <c r="P96">
        <v>25</v>
      </c>
      <c r="Q96" t="s">
        <v>2855</v>
      </c>
      <c r="R96">
        <v>2911</v>
      </c>
    </row>
    <row r="97" spans="1:18" x14ac:dyDescent="0.3">
      <c r="A97" t="s">
        <v>339</v>
      </c>
      <c r="B97" s="45">
        <v>45648</v>
      </c>
      <c r="C97" t="s">
        <v>340</v>
      </c>
      <c r="D97" t="s">
        <v>147</v>
      </c>
      <c r="E97" t="s">
        <v>201</v>
      </c>
      <c r="F97">
        <v>6</v>
      </c>
      <c r="G97">
        <v>190</v>
      </c>
      <c r="H97">
        <v>19.2</v>
      </c>
      <c r="I97">
        <v>921.12</v>
      </c>
      <c r="J97" t="s">
        <v>87</v>
      </c>
      <c r="K97" t="s">
        <v>88</v>
      </c>
      <c r="L97">
        <v>0</v>
      </c>
      <c r="M97" t="b">
        <v>1</v>
      </c>
      <c r="N97" t="s">
        <v>2839</v>
      </c>
      <c r="O97" t="s">
        <v>2507</v>
      </c>
      <c r="P97">
        <v>25</v>
      </c>
      <c r="Q97" t="s">
        <v>2879</v>
      </c>
      <c r="R97">
        <v>147</v>
      </c>
    </row>
    <row r="98" spans="1:18" x14ac:dyDescent="0.3">
      <c r="A98" t="s">
        <v>341</v>
      </c>
      <c r="B98" s="45">
        <v>45607</v>
      </c>
      <c r="C98" t="s">
        <v>342</v>
      </c>
      <c r="D98" t="s">
        <v>191</v>
      </c>
      <c r="E98" t="s">
        <v>343</v>
      </c>
      <c r="F98">
        <v>10</v>
      </c>
      <c r="G98">
        <v>5100</v>
      </c>
      <c r="H98">
        <v>25.4</v>
      </c>
      <c r="I98">
        <v>38046</v>
      </c>
      <c r="J98" t="s">
        <v>144</v>
      </c>
      <c r="K98" t="s">
        <v>94</v>
      </c>
      <c r="L98">
        <v>0</v>
      </c>
      <c r="M98" t="b">
        <v>1</v>
      </c>
      <c r="N98" t="s">
        <v>2828</v>
      </c>
      <c r="O98" t="s">
        <v>2507</v>
      </c>
      <c r="P98">
        <v>26</v>
      </c>
      <c r="Q98" t="s">
        <v>2879</v>
      </c>
      <c r="R98">
        <v>2237</v>
      </c>
    </row>
    <row r="99" spans="1:18" x14ac:dyDescent="0.3">
      <c r="A99" t="s">
        <v>2204</v>
      </c>
      <c r="B99" s="45">
        <v>45622</v>
      </c>
      <c r="C99" t="s">
        <v>835</v>
      </c>
      <c r="D99" t="s">
        <v>138</v>
      </c>
      <c r="E99" t="s">
        <v>303</v>
      </c>
      <c r="F99">
        <v>1</v>
      </c>
      <c r="G99">
        <v>2600</v>
      </c>
      <c r="H99">
        <v>5.9</v>
      </c>
      <c r="I99">
        <v>2446.6</v>
      </c>
      <c r="J99" t="s">
        <v>87</v>
      </c>
      <c r="K99" t="s">
        <v>117</v>
      </c>
      <c r="L99">
        <v>0</v>
      </c>
      <c r="M99" t="b">
        <v>1</v>
      </c>
      <c r="N99" t="s">
        <v>2784</v>
      </c>
      <c r="O99" t="s">
        <v>2507</v>
      </c>
      <c r="P99">
        <v>52</v>
      </c>
      <c r="Q99" t="s">
        <v>2871</v>
      </c>
      <c r="R99">
        <v>1052</v>
      </c>
    </row>
    <row r="100" spans="1:18" x14ac:dyDescent="0.3">
      <c r="A100" t="s">
        <v>2201</v>
      </c>
      <c r="B100" s="45">
        <v>45566</v>
      </c>
      <c r="C100" t="s">
        <v>1172</v>
      </c>
      <c r="D100" t="s">
        <v>143</v>
      </c>
      <c r="E100" t="s">
        <v>121</v>
      </c>
      <c r="F100">
        <v>9</v>
      </c>
      <c r="G100">
        <v>3250</v>
      </c>
      <c r="H100">
        <v>25.9</v>
      </c>
      <c r="I100">
        <v>21674.25</v>
      </c>
      <c r="J100" t="s">
        <v>87</v>
      </c>
      <c r="K100" t="s">
        <v>88</v>
      </c>
      <c r="L100">
        <v>0</v>
      </c>
      <c r="M100" t="b">
        <v>1</v>
      </c>
      <c r="N100" t="s">
        <v>2817</v>
      </c>
      <c r="O100" t="s">
        <v>2507</v>
      </c>
      <c r="P100">
        <v>39</v>
      </c>
      <c r="Q100" t="s">
        <v>2871</v>
      </c>
      <c r="R100">
        <v>1556</v>
      </c>
    </row>
    <row r="101" spans="1:18" x14ac:dyDescent="0.3">
      <c r="A101" t="s">
        <v>2196</v>
      </c>
      <c r="B101" s="45">
        <v>45626</v>
      </c>
      <c r="C101" t="s">
        <v>561</v>
      </c>
      <c r="D101" t="s">
        <v>187</v>
      </c>
      <c r="E101" t="s">
        <v>201</v>
      </c>
      <c r="F101">
        <v>3</v>
      </c>
      <c r="G101">
        <v>3570</v>
      </c>
      <c r="H101">
        <v>18.399999999999999</v>
      </c>
      <c r="I101">
        <v>8739.36</v>
      </c>
      <c r="J101" t="s">
        <v>144</v>
      </c>
      <c r="K101" t="s">
        <v>133</v>
      </c>
      <c r="L101">
        <v>0</v>
      </c>
      <c r="M101" t="b">
        <v>1</v>
      </c>
      <c r="N101" t="s">
        <v>2784</v>
      </c>
      <c r="O101" t="s">
        <v>2515</v>
      </c>
      <c r="P101">
        <v>43</v>
      </c>
      <c r="Q101" t="s">
        <v>2879</v>
      </c>
      <c r="R101">
        <v>1665</v>
      </c>
    </row>
    <row r="102" spans="1:18" x14ac:dyDescent="0.3">
      <c r="A102" t="s">
        <v>2194</v>
      </c>
      <c r="B102" s="45">
        <v>45595</v>
      </c>
      <c r="C102" t="s">
        <v>181</v>
      </c>
      <c r="D102" t="s">
        <v>502</v>
      </c>
      <c r="E102" t="s">
        <v>121</v>
      </c>
      <c r="F102">
        <v>1</v>
      </c>
      <c r="G102">
        <v>1090</v>
      </c>
      <c r="H102">
        <v>23.5</v>
      </c>
      <c r="I102">
        <v>833.85</v>
      </c>
      <c r="J102" t="s">
        <v>87</v>
      </c>
      <c r="K102" t="s">
        <v>99</v>
      </c>
      <c r="L102">
        <v>0</v>
      </c>
      <c r="M102" t="b">
        <v>1</v>
      </c>
      <c r="N102" t="s">
        <v>2817</v>
      </c>
      <c r="O102" t="s">
        <v>2507</v>
      </c>
      <c r="P102">
        <v>31</v>
      </c>
      <c r="Q102" t="s">
        <v>2871</v>
      </c>
      <c r="R102">
        <v>464</v>
      </c>
    </row>
    <row r="103" spans="1:18" x14ac:dyDescent="0.3">
      <c r="A103" t="s">
        <v>2193</v>
      </c>
      <c r="B103" s="45">
        <v>45629</v>
      </c>
      <c r="C103" t="s">
        <v>1261</v>
      </c>
      <c r="D103" t="s">
        <v>267</v>
      </c>
      <c r="E103" t="s">
        <v>139</v>
      </c>
      <c r="F103">
        <v>7</v>
      </c>
      <c r="G103">
        <v>1220</v>
      </c>
      <c r="H103">
        <v>18.8</v>
      </c>
      <c r="I103">
        <v>6934.48</v>
      </c>
      <c r="J103" t="s">
        <v>93</v>
      </c>
      <c r="K103" t="s">
        <v>117</v>
      </c>
      <c r="L103">
        <v>0</v>
      </c>
      <c r="M103" t="b">
        <v>1</v>
      </c>
      <c r="N103" t="s">
        <v>2784</v>
      </c>
      <c r="O103" t="s">
        <v>2507</v>
      </c>
      <c r="P103">
        <v>54</v>
      </c>
      <c r="Q103" t="s">
        <v>2855</v>
      </c>
      <c r="R103">
        <v>517</v>
      </c>
    </row>
    <row r="104" spans="1:18" x14ac:dyDescent="0.3">
      <c r="A104" t="s">
        <v>2186</v>
      </c>
      <c r="B104" s="45">
        <v>45596</v>
      </c>
      <c r="C104" t="s">
        <v>551</v>
      </c>
      <c r="D104" t="s">
        <v>248</v>
      </c>
      <c r="E104" t="s">
        <v>229</v>
      </c>
      <c r="F104">
        <v>4</v>
      </c>
      <c r="G104">
        <v>3870</v>
      </c>
      <c r="H104">
        <v>15.9</v>
      </c>
      <c r="I104">
        <v>13018.68</v>
      </c>
      <c r="J104" t="s">
        <v>87</v>
      </c>
      <c r="K104" t="s">
        <v>112</v>
      </c>
      <c r="L104">
        <v>0</v>
      </c>
      <c r="M104" t="b">
        <v>1</v>
      </c>
      <c r="N104" t="s">
        <v>2784</v>
      </c>
      <c r="O104" t="s">
        <v>2509</v>
      </c>
      <c r="P104">
        <v>60</v>
      </c>
      <c r="Q104" t="s">
        <v>2879</v>
      </c>
      <c r="R104">
        <v>1559</v>
      </c>
    </row>
    <row r="105" spans="1:18" x14ac:dyDescent="0.3">
      <c r="A105" t="s">
        <v>2185</v>
      </c>
      <c r="B105" s="45">
        <v>45649</v>
      </c>
      <c r="C105" t="s">
        <v>228</v>
      </c>
      <c r="D105" t="s">
        <v>115</v>
      </c>
      <c r="E105" t="s">
        <v>111</v>
      </c>
      <c r="F105">
        <v>4</v>
      </c>
      <c r="G105">
        <v>960</v>
      </c>
      <c r="H105">
        <v>6.4</v>
      </c>
      <c r="I105">
        <v>3594.24</v>
      </c>
      <c r="J105" t="s">
        <v>140</v>
      </c>
      <c r="K105" t="s">
        <v>112</v>
      </c>
      <c r="L105">
        <v>0</v>
      </c>
      <c r="M105" t="b">
        <v>1</v>
      </c>
      <c r="N105" t="s">
        <v>2839</v>
      </c>
      <c r="O105" t="s">
        <v>2515</v>
      </c>
      <c r="P105">
        <v>54</v>
      </c>
      <c r="Q105" t="s">
        <v>2879</v>
      </c>
      <c r="R105">
        <v>705</v>
      </c>
    </row>
    <row r="106" spans="1:18" x14ac:dyDescent="0.3">
      <c r="A106" t="s">
        <v>2181</v>
      </c>
      <c r="B106" s="45">
        <v>45588</v>
      </c>
      <c r="C106" t="s">
        <v>559</v>
      </c>
      <c r="D106" t="s">
        <v>164</v>
      </c>
      <c r="E106" t="s">
        <v>111</v>
      </c>
      <c r="F106">
        <v>3</v>
      </c>
      <c r="G106">
        <v>1080</v>
      </c>
      <c r="H106">
        <v>26</v>
      </c>
      <c r="I106">
        <v>2397.6</v>
      </c>
      <c r="J106" t="s">
        <v>87</v>
      </c>
      <c r="K106" t="s">
        <v>88</v>
      </c>
      <c r="L106">
        <v>0</v>
      </c>
      <c r="M106" t="b">
        <v>1</v>
      </c>
      <c r="N106" t="s">
        <v>2817</v>
      </c>
      <c r="O106" t="s">
        <v>2507</v>
      </c>
      <c r="P106">
        <v>62</v>
      </c>
      <c r="Q106" t="s">
        <v>2879</v>
      </c>
      <c r="R106">
        <v>519</v>
      </c>
    </row>
    <row r="107" spans="1:18" x14ac:dyDescent="0.3">
      <c r="A107" t="s">
        <v>2180</v>
      </c>
      <c r="B107" s="45">
        <v>45578</v>
      </c>
      <c r="C107" t="s">
        <v>559</v>
      </c>
      <c r="D107" t="s">
        <v>360</v>
      </c>
      <c r="E107" t="s">
        <v>121</v>
      </c>
      <c r="F107">
        <v>7</v>
      </c>
      <c r="G107">
        <v>5410</v>
      </c>
      <c r="H107">
        <v>15.2</v>
      </c>
      <c r="I107">
        <v>32113.759999999998</v>
      </c>
      <c r="J107" t="s">
        <v>140</v>
      </c>
      <c r="K107" t="s">
        <v>88</v>
      </c>
      <c r="L107">
        <v>0</v>
      </c>
      <c r="M107" t="b">
        <v>1</v>
      </c>
      <c r="N107" t="s">
        <v>2839</v>
      </c>
      <c r="O107" t="s">
        <v>2507</v>
      </c>
      <c r="P107">
        <v>62</v>
      </c>
      <c r="Q107" t="s">
        <v>2871</v>
      </c>
      <c r="R107">
        <v>2265</v>
      </c>
    </row>
    <row r="108" spans="1:18" x14ac:dyDescent="0.3">
      <c r="A108" t="s">
        <v>2176</v>
      </c>
      <c r="B108" s="45">
        <v>45574</v>
      </c>
      <c r="C108" t="s">
        <v>757</v>
      </c>
      <c r="D108" t="s">
        <v>386</v>
      </c>
      <c r="E108" t="s">
        <v>201</v>
      </c>
      <c r="F108">
        <v>5</v>
      </c>
      <c r="G108">
        <v>2290</v>
      </c>
      <c r="H108">
        <v>27.6</v>
      </c>
      <c r="I108">
        <v>8289.7999999999993</v>
      </c>
      <c r="J108" t="s">
        <v>87</v>
      </c>
      <c r="K108" t="s">
        <v>117</v>
      </c>
      <c r="L108">
        <v>0</v>
      </c>
      <c r="M108" t="b">
        <v>1</v>
      </c>
      <c r="N108" t="s">
        <v>2828</v>
      </c>
      <c r="O108" t="s">
        <v>2509</v>
      </c>
      <c r="P108">
        <v>43</v>
      </c>
      <c r="Q108" t="s">
        <v>2879</v>
      </c>
      <c r="R108">
        <v>1219</v>
      </c>
    </row>
    <row r="109" spans="1:18" x14ac:dyDescent="0.3">
      <c r="A109" t="s">
        <v>365</v>
      </c>
      <c r="B109" s="45">
        <v>45640</v>
      </c>
      <c r="C109" t="s">
        <v>366</v>
      </c>
      <c r="D109" t="s">
        <v>367</v>
      </c>
      <c r="E109" t="s">
        <v>238</v>
      </c>
      <c r="F109">
        <v>4</v>
      </c>
      <c r="G109">
        <v>2380</v>
      </c>
      <c r="H109">
        <v>26.2</v>
      </c>
      <c r="I109">
        <v>7025.76</v>
      </c>
      <c r="J109" t="s">
        <v>87</v>
      </c>
      <c r="K109" t="s">
        <v>112</v>
      </c>
      <c r="L109">
        <v>0</v>
      </c>
      <c r="M109" t="b">
        <v>1</v>
      </c>
      <c r="N109" t="s">
        <v>2806</v>
      </c>
      <c r="O109" t="s">
        <v>2507</v>
      </c>
      <c r="P109">
        <v>25</v>
      </c>
      <c r="Q109" t="s">
        <v>2871</v>
      </c>
      <c r="R109">
        <v>1182</v>
      </c>
    </row>
    <row r="110" spans="1:18" x14ac:dyDescent="0.3">
      <c r="A110" t="s">
        <v>2172</v>
      </c>
      <c r="B110" s="45">
        <v>45598</v>
      </c>
      <c r="C110" t="s">
        <v>411</v>
      </c>
      <c r="D110" t="s">
        <v>367</v>
      </c>
      <c r="E110" t="s">
        <v>201</v>
      </c>
      <c r="F110">
        <v>4</v>
      </c>
      <c r="G110">
        <v>2380</v>
      </c>
      <c r="H110">
        <v>6.9</v>
      </c>
      <c r="I110">
        <v>8863.1200000000008</v>
      </c>
      <c r="J110" t="s">
        <v>87</v>
      </c>
      <c r="K110" t="s">
        <v>112</v>
      </c>
      <c r="L110">
        <v>0</v>
      </c>
      <c r="M110" t="b">
        <v>1</v>
      </c>
      <c r="N110" t="s">
        <v>2806</v>
      </c>
      <c r="O110" t="s">
        <v>2507</v>
      </c>
      <c r="P110">
        <v>61</v>
      </c>
      <c r="Q110" t="s">
        <v>2879</v>
      </c>
      <c r="R110">
        <v>1182</v>
      </c>
    </row>
    <row r="111" spans="1:18" x14ac:dyDescent="0.3">
      <c r="A111" t="s">
        <v>2168</v>
      </c>
      <c r="B111" s="45">
        <v>45566</v>
      </c>
      <c r="C111" t="s">
        <v>281</v>
      </c>
      <c r="D111" t="s">
        <v>106</v>
      </c>
      <c r="E111" t="s">
        <v>139</v>
      </c>
      <c r="F111">
        <v>3</v>
      </c>
      <c r="G111">
        <v>3160</v>
      </c>
      <c r="H111">
        <v>13.5</v>
      </c>
      <c r="I111">
        <v>8200.2000000000007</v>
      </c>
      <c r="J111" t="s">
        <v>87</v>
      </c>
      <c r="K111" t="s">
        <v>88</v>
      </c>
      <c r="L111">
        <v>0</v>
      </c>
      <c r="M111" t="b">
        <v>1</v>
      </c>
      <c r="N111" t="s">
        <v>2795</v>
      </c>
      <c r="O111" t="s">
        <v>2507</v>
      </c>
      <c r="P111">
        <v>25</v>
      </c>
      <c r="Q111" t="s">
        <v>2855</v>
      </c>
      <c r="R111">
        <v>1886</v>
      </c>
    </row>
    <row r="112" spans="1:18" x14ac:dyDescent="0.3">
      <c r="A112" t="s">
        <v>372</v>
      </c>
      <c r="B112" s="45">
        <v>45592</v>
      </c>
      <c r="C112" t="s">
        <v>373</v>
      </c>
      <c r="D112" t="s">
        <v>264</v>
      </c>
      <c r="E112" t="s">
        <v>252</v>
      </c>
      <c r="F112">
        <v>2</v>
      </c>
      <c r="G112">
        <v>4070</v>
      </c>
      <c r="H112">
        <v>29</v>
      </c>
      <c r="I112">
        <v>5779.4</v>
      </c>
      <c r="J112" t="s">
        <v>140</v>
      </c>
      <c r="K112" t="s">
        <v>88</v>
      </c>
      <c r="L112">
        <v>0</v>
      </c>
      <c r="M112" t="b">
        <v>1</v>
      </c>
      <c r="N112" t="s">
        <v>2806</v>
      </c>
      <c r="O112" t="s">
        <v>2507</v>
      </c>
      <c r="P112">
        <v>43</v>
      </c>
      <c r="Q112" t="s">
        <v>2862</v>
      </c>
      <c r="R112">
        <v>2027</v>
      </c>
    </row>
    <row r="113" spans="1:18" x14ac:dyDescent="0.3">
      <c r="A113" t="s">
        <v>2157</v>
      </c>
      <c r="B113" s="45">
        <v>45643</v>
      </c>
      <c r="C113" t="s">
        <v>299</v>
      </c>
      <c r="D113" t="s">
        <v>276</v>
      </c>
      <c r="E113" t="s">
        <v>229</v>
      </c>
      <c r="F113">
        <v>5</v>
      </c>
      <c r="G113">
        <v>3020</v>
      </c>
      <c r="H113">
        <v>26.2</v>
      </c>
      <c r="I113">
        <v>11143.8</v>
      </c>
      <c r="J113" t="s">
        <v>87</v>
      </c>
      <c r="K113" t="s">
        <v>133</v>
      </c>
      <c r="L113">
        <v>0</v>
      </c>
      <c r="M113" t="b">
        <v>1</v>
      </c>
      <c r="N113" t="s">
        <v>2828</v>
      </c>
      <c r="O113" t="s">
        <v>2507</v>
      </c>
      <c r="P113">
        <v>29</v>
      </c>
      <c r="Q113" t="s">
        <v>2879</v>
      </c>
      <c r="R113">
        <v>1626</v>
      </c>
    </row>
    <row r="114" spans="1:18" x14ac:dyDescent="0.3">
      <c r="A114" t="s">
        <v>2156</v>
      </c>
      <c r="B114" s="45">
        <v>45568</v>
      </c>
      <c r="C114" t="s">
        <v>510</v>
      </c>
      <c r="D114" t="s">
        <v>91</v>
      </c>
      <c r="E114" t="s">
        <v>238</v>
      </c>
      <c r="F114">
        <v>1</v>
      </c>
      <c r="G114">
        <v>820</v>
      </c>
      <c r="H114">
        <v>17.899999999999999</v>
      </c>
      <c r="I114">
        <v>673.22</v>
      </c>
      <c r="J114" t="s">
        <v>87</v>
      </c>
      <c r="K114" t="s">
        <v>117</v>
      </c>
      <c r="L114">
        <v>0</v>
      </c>
      <c r="M114" t="b">
        <v>1</v>
      </c>
      <c r="N114" t="s">
        <v>2795</v>
      </c>
      <c r="O114" t="s">
        <v>2515</v>
      </c>
      <c r="P114">
        <v>26</v>
      </c>
      <c r="Q114" t="s">
        <v>2871</v>
      </c>
      <c r="R114">
        <v>391</v>
      </c>
    </row>
    <row r="115" spans="1:18" x14ac:dyDescent="0.3">
      <c r="A115" t="s">
        <v>377</v>
      </c>
      <c r="B115" s="45">
        <v>45629</v>
      </c>
      <c r="C115" t="s">
        <v>378</v>
      </c>
      <c r="D115" t="s">
        <v>91</v>
      </c>
      <c r="E115" t="s">
        <v>103</v>
      </c>
      <c r="F115">
        <v>7</v>
      </c>
      <c r="G115">
        <v>820</v>
      </c>
      <c r="H115">
        <v>13.5</v>
      </c>
      <c r="I115">
        <v>4965.1000000000004</v>
      </c>
      <c r="J115" t="s">
        <v>140</v>
      </c>
      <c r="K115" t="s">
        <v>94</v>
      </c>
      <c r="L115">
        <v>0</v>
      </c>
      <c r="M115" t="b">
        <v>1</v>
      </c>
      <c r="N115" t="s">
        <v>2795</v>
      </c>
      <c r="O115" t="s">
        <v>2515</v>
      </c>
      <c r="P115">
        <v>53</v>
      </c>
      <c r="Q115" t="s">
        <v>2855</v>
      </c>
      <c r="R115">
        <v>391</v>
      </c>
    </row>
    <row r="116" spans="1:18" x14ac:dyDescent="0.3">
      <c r="A116" t="s">
        <v>2155</v>
      </c>
      <c r="B116" s="45">
        <v>45653</v>
      </c>
      <c r="C116" t="s">
        <v>247</v>
      </c>
      <c r="D116" t="s">
        <v>264</v>
      </c>
      <c r="E116" t="s">
        <v>132</v>
      </c>
      <c r="F116">
        <v>1</v>
      </c>
      <c r="G116">
        <v>4070</v>
      </c>
      <c r="H116">
        <v>29.1</v>
      </c>
      <c r="I116">
        <v>2885.63</v>
      </c>
      <c r="J116" t="s">
        <v>93</v>
      </c>
      <c r="K116" t="s">
        <v>117</v>
      </c>
      <c r="L116">
        <v>0</v>
      </c>
      <c r="M116" t="b">
        <v>1</v>
      </c>
      <c r="N116" t="s">
        <v>2806</v>
      </c>
      <c r="O116" t="s">
        <v>2507</v>
      </c>
      <c r="P116">
        <v>34</v>
      </c>
      <c r="Q116" t="s">
        <v>2862</v>
      </c>
      <c r="R116">
        <v>2027</v>
      </c>
    </row>
    <row r="117" spans="1:18" x14ac:dyDescent="0.3">
      <c r="A117" t="s">
        <v>2153</v>
      </c>
      <c r="B117" s="45">
        <v>45654</v>
      </c>
      <c r="C117" t="s">
        <v>472</v>
      </c>
      <c r="D117" t="s">
        <v>248</v>
      </c>
      <c r="E117" t="s">
        <v>325</v>
      </c>
      <c r="F117">
        <v>7</v>
      </c>
      <c r="G117">
        <v>3870</v>
      </c>
      <c r="H117">
        <v>5.9</v>
      </c>
      <c r="I117">
        <v>25491.69</v>
      </c>
      <c r="J117" t="s">
        <v>87</v>
      </c>
      <c r="K117" t="s">
        <v>94</v>
      </c>
      <c r="L117">
        <v>0</v>
      </c>
      <c r="M117" t="b">
        <v>1</v>
      </c>
      <c r="N117" t="s">
        <v>2784</v>
      </c>
      <c r="O117" t="s">
        <v>2509</v>
      </c>
      <c r="P117">
        <v>35</v>
      </c>
      <c r="Q117" t="s">
        <v>2862</v>
      </c>
      <c r="R117">
        <v>1559</v>
      </c>
    </row>
    <row r="118" spans="1:18" x14ac:dyDescent="0.3">
      <c r="A118" t="s">
        <v>2152</v>
      </c>
      <c r="B118" s="45">
        <v>45568</v>
      </c>
      <c r="C118" t="s">
        <v>539</v>
      </c>
      <c r="D118" t="s">
        <v>292</v>
      </c>
      <c r="E118" t="s">
        <v>346</v>
      </c>
      <c r="F118">
        <v>2</v>
      </c>
      <c r="G118">
        <v>620</v>
      </c>
      <c r="H118">
        <v>4.3</v>
      </c>
      <c r="I118">
        <v>1186.68</v>
      </c>
      <c r="J118" t="s">
        <v>87</v>
      </c>
      <c r="K118" t="s">
        <v>133</v>
      </c>
      <c r="L118">
        <v>0</v>
      </c>
      <c r="M118" t="b">
        <v>1</v>
      </c>
      <c r="N118" t="s">
        <v>2795</v>
      </c>
      <c r="O118" t="s">
        <v>2507</v>
      </c>
      <c r="P118">
        <v>38</v>
      </c>
      <c r="Q118" t="s">
        <v>2862</v>
      </c>
      <c r="R118">
        <v>396</v>
      </c>
    </row>
    <row r="119" spans="1:18" x14ac:dyDescent="0.3">
      <c r="A119" t="s">
        <v>384</v>
      </c>
      <c r="B119" s="45">
        <v>45597</v>
      </c>
      <c r="C119" t="s">
        <v>385</v>
      </c>
      <c r="D119" t="s">
        <v>386</v>
      </c>
      <c r="E119" t="s">
        <v>128</v>
      </c>
      <c r="F119">
        <v>8</v>
      </c>
      <c r="G119">
        <v>2290</v>
      </c>
      <c r="H119">
        <v>20.8</v>
      </c>
      <c r="I119">
        <v>14509.44</v>
      </c>
      <c r="J119" t="s">
        <v>87</v>
      </c>
      <c r="K119" t="s">
        <v>117</v>
      </c>
      <c r="L119">
        <v>0</v>
      </c>
      <c r="M119" t="b">
        <v>1</v>
      </c>
      <c r="N119" t="s">
        <v>2828</v>
      </c>
      <c r="O119" t="s">
        <v>2507</v>
      </c>
      <c r="P119">
        <v>23</v>
      </c>
      <c r="Q119" t="s">
        <v>2879</v>
      </c>
      <c r="R119">
        <v>1219</v>
      </c>
    </row>
    <row r="120" spans="1:18" x14ac:dyDescent="0.3">
      <c r="A120" t="s">
        <v>2149</v>
      </c>
      <c r="B120" s="45">
        <v>45597</v>
      </c>
      <c r="C120" t="s">
        <v>208</v>
      </c>
      <c r="D120" t="s">
        <v>367</v>
      </c>
      <c r="E120" t="s">
        <v>192</v>
      </c>
      <c r="F120">
        <v>5</v>
      </c>
      <c r="G120">
        <v>2380</v>
      </c>
      <c r="H120">
        <v>16.399999999999999</v>
      </c>
      <c r="I120">
        <v>9948.4</v>
      </c>
      <c r="J120" t="s">
        <v>87</v>
      </c>
      <c r="K120" t="s">
        <v>133</v>
      </c>
      <c r="L120">
        <v>0</v>
      </c>
      <c r="M120" t="b">
        <v>1</v>
      </c>
      <c r="N120" t="s">
        <v>2806</v>
      </c>
      <c r="O120" t="s">
        <v>2507</v>
      </c>
      <c r="P120">
        <v>26</v>
      </c>
      <c r="Q120" t="s">
        <v>2871</v>
      </c>
      <c r="R120">
        <v>1182</v>
      </c>
    </row>
    <row r="121" spans="1:18" x14ac:dyDescent="0.3">
      <c r="A121" t="s">
        <v>389</v>
      </c>
      <c r="B121" s="45">
        <v>45596</v>
      </c>
      <c r="C121" t="s">
        <v>390</v>
      </c>
      <c r="D121" t="s">
        <v>282</v>
      </c>
      <c r="E121" t="s">
        <v>98</v>
      </c>
      <c r="F121">
        <v>1</v>
      </c>
      <c r="G121">
        <v>300</v>
      </c>
      <c r="H121">
        <v>16.899999999999999</v>
      </c>
      <c r="I121">
        <v>249.3</v>
      </c>
      <c r="J121" t="s">
        <v>93</v>
      </c>
      <c r="K121" t="s">
        <v>88</v>
      </c>
      <c r="L121">
        <v>0</v>
      </c>
      <c r="M121" t="b">
        <v>1</v>
      </c>
      <c r="N121" t="s">
        <v>2784</v>
      </c>
      <c r="O121" t="s">
        <v>2515</v>
      </c>
      <c r="P121">
        <v>54</v>
      </c>
      <c r="Q121" t="s">
        <v>2862</v>
      </c>
      <c r="R121">
        <v>128</v>
      </c>
    </row>
    <row r="122" spans="1:18" x14ac:dyDescent="0.3">
      <c r="A122" t="s">
        <v>2147</v>
      </c>
      <c r="B122" s="45">
        <v>45625</v>
      </c>
      <c r="C122" t="s">
        <v>258</v>
      </c>
      <c r="D122" t="s">
        <v>248</v>
      </c>
      <c r="E122" t="s">
        <v>229</v>
      </c>
      <c r="F122">
        <v>8</v>
      </c>
      <c r="G122">
        <v>3870</v>
      </c>
      <c r="H122">
        <v>21.2</v>
      </c>
      <c r="I122">
        <v>24396.48</v>
      </c>
      <c r="J122" t="s">
        <v>93</v>
      </c>
      <c r="K122" t="s">
        <v>99</v>
      </c>
      <c r="L122">
        <v>0</v>
      </c>
      <c r="M122" t="b">
        <v>1</v>
      </c>
      <c r="N122" t="s">
        <v>2784</v>
      </c>
      <c r="O122" t="s">
        <v>2515</v>
      </c>
      <c r="P122">
        <v>55</v>
      </c>
      <c r="Q122" t="s">
        <v>2879</v>
      </c>
      <c r="R122">
        <v>1559</v>
      </c>
    </row>
    <row r="123" spans="1:18" x14ac:dyDescent="0.3">
      <c r="A123" t="s">
        <v>2136</v>
      </c>
      <c r="B123" s="45">
        <v>45624</v>
      </c>
      <c r="C123" t="s">
        <v>537</v>
      </c>
      <c r="D123" t="s">
        <v>184</v>
      </c>
      <c r="E123" t="s">
        <v>252</v>
      </c>
      <c r="F123">
        <v>2</v>
      </c>
      <c r="G123">
        <v>4880</v>
      </c>
      <c r="H123">
        <v>23.8</v>
      </c>
      <c r="I123">
        <v>7437.12</v>
      </c>
      <c r="J123" t="s">
        <v>87</v>
      </c>
      <c r="K123" t="s">
        <v>133</v>
      </c>
      <c r="L123">
        <v>0</v>
      </c>
      <c r="M123" t="b">
        <v>1</v>
      </c>
      <c r="N123" t="s">
        <v>2828</v>
      </c>
      <c r="O123" t="s">
        <v>2515</v>
      </c>
      <c r="P123">
        <v>48</v>
      </c>
      <c r="Q123" t="s">
        <v>2862</v>
      </c>
      <c r="R123">
        <v>2768</v>
      </c>
    </row>
    <row r="124" spans="1:18" x14ac:dyDescent="0.3">
      <c r="A124" t="s">
        <v>2129</v>
      </c>
      <c r="B124" s="45">
        <v>45577</v>
      </c>
      <c r="C124" t="s">
        <v>479</v>
      </c>
      <c r="D124" t="s">
        <v>102</v>
      </c>
      <c r="E124" t="s">
        <v>170</v>
      </c>
      <c r="F124">
        <v>9</v>
      </c>
      <c r="G124">
        <v>3660</v>
      </c>
      <c r="H124">
        <v>9</v>
      </c>
      <c r="I124">
        <v>29975.4</v>
      </c>
      <c r="J124" t="s">
        <v>87</v>
      </c>
      <c r="K124" t="s">
        <v>88</v>
      </c>
      <c r="L124">
        <v>0</v>
      </c>
      <c r="M124" t="b">
        <v>0</v>
      </c>
      <c r="N124" t="s">
        <v>2806</v>
      </c>
      <c r="O124" t="s">
        <v>2515</v>
      </c>
      <c r="P124">
        <v>49</v>
      </c>
      <c r="Q124" t="s">
        <v>2879</v>
      </c>
      <c r="R124">
        <v>2214</v>
      </c>
    </row>
    <row r="125" spans="1:18" x14ac:dyDescent="0.3">
      <c r="A125" t="s">
        <v>396</v>
      </c>
      <c r="B125" s="45">
        <v>45614</v>
      </c>
      <c r="C125" t="s">
        <v>397</v>
      </c>
      <c r="D125" t="s">
        <v>85</v>
      </c>
      <c r="E125" t="s">
        <v>297</v>
      </c>
      <c r="F125">
        <v>6</v>
      </c>
      <c r="G125">
        <v>3620</v>
      </c>
      <c r="H125">
        <v>10.8</v>
      </c>
      <c r="I125">
        <v>19374.240000000002</v>
      </c>
      <c r="J125" t="s">
        <v>87</v>
      </c>
      <c r="K125" t="s">
        <v>99</v>
      </c>
      <c r="L125">
        <v>0</v>
      </c>
      <c r="M125" t="b">
        <v>1</v>
      </c>
      <c r="N125" t="s">
        <v>2795</v>
      </c>
      <c r="O125" t="s">
        <v>2507</v>
      </c>
      <c r="P125">
        <v>30</v>
      </c>
      <c r="Q125" t="s">
        <v>2855</v>
      </c>
      <c r="R125">
        <v>2509</v>
      </c>
    </row>
    <row r="126" spans="1:18" x14ac:dyDescent="0.3">
      <c r="A126" t="s">
        <v>398</v>
      </c>
      <c r="B126" s="45">
        <v>45593</v>
      </c>
      <c r="C126" t="s">
        <v>399</v>
      </c>
      <c r="D126" t="s">
        <v>85</v>
      </c>
      <c r="E126" t="s">
        <v>92</v>
      </c>
      <c r="F126">
        <v>6</v>
      </c>
      <c r="G126">
        <v>3620</v>
      </c>
      <c r="H126">
        <v>21.7</v>
      </c>
      <c r="I126">
        <v>17006.759999999998</v>
      </c>
      <c r="J126" t="s">
        <v>87</v>
      </c>
      <c r="K126" t="s">
        <v>99</v>
      </c>
      <c r="L126">
        <v>0</v>
      </c>
      <c r="M126" t="b">
        <v>1</v>
      </c>
      <c r="N126" t="s">
        <v>2795</v>
      </c>
      <c r="O126" t="s">
        <v>2515</v>
      </c>
      <c r="P126">
        <v>53</v>
      </c>
      <c r="Q126" t="s">
        <v>2855</v>
      </c>
      <c r="R126">
        <v>2509</v>
      </c>
    </row>
    <row r="127" spans="1:18" x14ac:dyDescent="0.3">
      <c r="A127" t="s">
        <v>2127</v>
      </c>
      <c r="B127" s="45">
        <v>45574</v>
      </c>
      <c r="C127" t="s">
        <v>700</v>
      </c>
      <c r="D127" t="s">
        <v>452</v>
      </c>
      <c r="E127" t="s">
        <v>116</v>
      </c>
      <c r="F127">
        <v>3</v>
      </c>
      <c r="G127">
        <v>3450</v>
      </c>
      <c r="H127">
        <v>23</v>
      </c>
      <c r="I127">
        <v>7969.5</v>
      </c>
      <c r="J127" t="s">
        <v>93</v>
      </c>
      <c r="K127" t="s">
        <v>94</v>
      </c>
      <c r="L127">
        <v>0</v>
      </c>
      <c r="M127" t="b">
        <v>1</v>
      </c>
      <c r="N127" t="s">
        <v>2795</v>
      </c>
      <c r="O127" t="s">
        <v>2515</v>
      </c>
      <c r="P127">
        <v>46</v>
      </c>
      <c r="Q127" t="s">
        <v>2879</v>
      </c>
      <c r="R127">
        <v>1748</v>
      </c>
    </row>
    <row r="128" spans="1:18" x14ac:dyDescent="0.3">
      <c r="A128" t="s">
        <v>402</v>
      </c>
      <c r="B128" s="45">
        <v>45628</v>
      </c>
      <c r="C128" t="s">
        <v>403</v>
      </c>
      <c r="D128" t="s">
        <v>176</v>
      </c>
      <c r="E128" t="s">
        <v>111</v>
      </c>
      <c r="F128">
        <v>5</v>
      </c>
      <c r="G128">
        <v>1650</v>
      </c>
      <c r="H128">
        <v>4.9000000000000004</v>
      </c>
      <c r="I128">
        <v>7845.75</v>
      </c>
      <c r="J128" t="s">
        <v>87</v>
      </c>
      <c r="K128" t="s">
        <v>117</v>
      </c>
      <c r="L128">
        <v>0</v>
      </c>
      <c r="M128" t="b">
        <v>1</v>
      </c>
      <c r="N128" t="s">
        <v>2828</v>
      </c>
      <c r="O128" t="s">
        <v>2507</v>
      </c>
      <c r="P128">
        <v>59</v>
      </c>
      <c r="Q128" t="s">
        <v>2879</v>
      </c>
      <c r="R128">
        <v>1222</v>
      </c>
    </row>
    <row r="129" spans="1:18" x14ac:dyDescent="0.3">
      <c r="A129" t="s">
        <v>404</v>
      </c>
      <c r="B129" s="45">
        <v>45592</v>
      </c>
      <c r="C129" t="s">
        <v>405</v>
      </c>
      <c r="D129" t="s">
        <v>380</v>
      </c>
      <c r="E129" t="s">
        <v>132</v>
      </c>
      <c r="F129">
        <v>9</v>
      </c>
      <c r="G129">
        <v>960</v>
      </c>
      <c r="H129">
        <v>25.1</v>
      </c>
      <c r="I129">
        <v>6471.36</v>
      </c>
      <c r="J129" t="s">
        <v>144</v>
      </c>
      <c r="K129" t="s">
        <v>94</v>
      </c>
      <c r="L129">
        <v>0</v>
      </c>
      <c r="M129" t="b">
        <v>1</v>
      </c>
      <c r="N129" t="s">
        <v>2828</v>
      </c>
      <c r="O129" t="s">
        <v>2509</v>
      </c>
      <c r="P129">
        <v>24</v>
      </c>
      <c r="Q129" t="s">
        <v>2862</v>
      </c>
      <c r="R129">
        <v>675</v>
      </c>
    </row>
    <row r="130" spans="1:18" x14ac:dyDescent="0.3">
      <c r="A130" t="s">
        <v>2123</v>
      </c>
      <c r="B130" s="45">
        <v>45601</v>
      </c>
      <c r="C130" t="s">
        <v>291</v>
      </c>
      <c r="D130" t="s">
        <v>138</v>
      </c>
      <c r="E130" t="s">
        <v>92</v>
      </c>
      <c r="F130">
        <v>10</v>
      </c>
      <c r="G130">
        <v>2600</v>
      </c>
      <c r="H130">
        <v>29.4</v>
      </c>
      <c r="I130">
        <v>18356</v>
      </c>
      <c r="J130" t="s">
        <v>87</v>
      </c>
      <c r="K130" t="s">
        <v>99</v>
      </c>
      <c r="L130">
        <v>0</v>
      </c>
      <c r="M130" t="b">
        <v>1</v>
      </c>
      <c r="N130" t="s">
        <v>2784</v>
      </c>
      <c r="O130" t="s">
        <v>2507</v>
      </c>
      <c r="P130">
        <v>35</v>
      </c>
      <c r="Q130" t="s">
        <v>2855</v>
      </c>
      <c r="R130">
        <v>1052</v>
      </c>
    </row>
    <row r="131" spans="1:18" x14ac:dyDescent="0.3">
      <c r="A131" t="s">
        <v>409</v>
      </c>
      <c r="B131" s="45">
        <v>45612</v>
      </c>
      <c r="C131" t="s">
        <v>299</v>
      </c>
      <c r="D131" t="s">
        <v>127</v>
      </c>
      <c r="E131" t="s">
        <v>92</v>
      </c>
      <c r="F131">
        <v>7</v>
      </c>
      <c r="G131">
        <v>970</v>
      </c>
      <c r="H131">
        <v>21.6</v>
      </c>
      <c r="I131">
        <v>5323.36</v>
      </c>
      <c r="J131" t="s">
        <v>93</v>
      </c>
      <c r="K131" t="s">
        <v>133</v>
      </c>
      <c r="L131">
        <v>0</v>
      </c>
      <c r="M131" t="b">
        <v>1</v>
      </c>
      <c r="N131" t="s">
        <v>2806</v>
      </c>
      <c r="O131" t="s">
        <v>2507</v>
      </c>
      <c r="P131">
        <v>29</v>
      </c>
      <c r="Q131" t="s">
        <v>2855</v>
      </c>
      <c r="R131">
        <v>434</v>
      </c>
    </row>
    <row r="132" spans="1:18" x14ac:dyDescent="0.3">
      <c r="A132" t="s">
        <v>2122</v>
      </c>
      <c r="B132" s="45">
        <v>45631</v>
      </c>
      <c r="C132" t="s">
        <v>705</v>
      </c>
      <c r="D132" t="s">
        <v>461</v>
      </c>
      <c r="E132" t="s">
        <v>128</v>
      </c>
      <c r="F132">
        <v>1</v>
      </c>
      <c r="G132">
        <v>3780</v>
      </c>
      <c r="H132">
        <v>11.5</v>
      </c>
      <c r="I132">
        <v>3345.3</v>
      </c>
      <c r="J132" t="s">
        <v>87</v>
      </c>
      <c r="K132" t="s">
        <v>99</v>
      </c>
      <c r="L132">
        <v>0</v>
      </c>
      <c r="M132" t="b">
        <v>1</v>
      </c>
      <c r="N132" t="s">
        <v>2839</v>
      </c>
      <c r="O132" t="s">
        <v>2507</v>
      </c>
      <c r="P132">
        <v>53</v>
      </c>
      <c r="Q132" t="s">
        <v>2879</v>
      </c>
      <c r="R132">
        <v>1860</v>
      </c>
    </row>
    <row r="133" spans="1:18" x14ac:dyDescent="0.3">
      <c r="A133" t="s">
        <v>412</v>
      </c>
      <c r="B133" s="45">
        <v>45640</v>
      </c>
      <c r="C133" t="s">
        <v>413</v>
      </c>
      <c r="D133" t="s">
        <v>131</v>
      </c>
      <c r="E133" t="s">
        <v>158</v>
      </c>
      <c r="F133">
        <v>9</v>
      </c>
      <c r="G133">
        <v>2270</v>
      </c>
      <c r="H133">
        <v>13.2</v>
      </c>
      <c r="I133">
        <v>17733.240000000002</v>
      </c>
      <c r="J133" t="s">
        <v>93</v>
      </c>
      <c r="K133" t="s">
        <v>88</v>
      </c>
      <c r="L133">
        <v>0</v>
      </c>
      <c r="M133" t="b">
        <v>1</v>
      </c>
      <c r="N133" t="s">
        <v>2806</v>
      </c>
      <c r="O133" t="s">
        <v>2507</v>
      </c>
      <c r="P133">
        <v>22</v>
      </c>
      <c r="Q133" t="s">
        <v>2871</v>
      </c>
      <c r="R133">
        <v>1203</v>
      </c>
    </row>
    <row r="134" spans="1:18" x14ac:dyDescent="0.3">
      <c r="A134" t="s">
        <v>2121</v>
      </c>
      <c r="B134" s="45">
        <v>45628</v>
      </c>
      <c r="C134" t="s">
        <v>101</v>
      </c>
      <c r="D134" t="s">
        <v>338</v>
      </c>
      <c r="E134" t="s">
        <v>116</v>
      </c>
      <c r="F134">
        <v>7</v>
      </c>
      <c r="G134">
        <v>2210</v>
      </c>
      <c r="H134">
        <v>13.7</v>
      </c>
      <c r="I134">
        <v>13350.61</v>
      </c>
      <c r="J134" t="s">
        <v>144</v>
      </c>
      <c r="K134" t="s">
        <v>99</v>
      </c>
      <c r="L134">
        <v>0</v>
      </c>
      <c r="M134" t="b">
        <v>1</v>
      </c>
      <c r="N134" t="s">
        <v>2806</v>
      </c>
      <c r="O134" t="s">
        <v>2509</v>
      </c>
      <c r="P134">
        <v>46</v>
      </c>
      <c r="Q134" t="s">
        <v>2879</v>
      </c>
      <c r="R134">
        <v>1010</v>
      </c>
    </row>
    <row r="135" spans="1:18" x14ac:dyDescent="0.3">
      <c r="A135" t="s">
        <v>2117</v>
      </c>
      <c r="B135" s="45">
        <v>45584</v>
      </c>
      <c r="C135" t="s">
        <v>589</v>
      </c>
      <c r="D135" t="s">
        <v>245</v>
      </c>
      <c r="E135" t="s">
        <v>192</v>
      </c>
      <c r="F135">
        <v>7</v>
      </c>
      <c r="G135">
        <v>2270</v>
      </c>
      <c r="H135">
        <v>1.4</v>
      </c>
      <c r="I135">
        <v>15667.54</v>
      </c>
      <c r="J135" t="s">
        <v>87</v>
      </c>
      <c r="K135" t="s">
        <v>94</v>
      </c>
      <c r="L135">
        <v>0</v>
      </c>
      <c r="M135" t="b">
        <v>1</v>
      </c>
      <c r="N135" t="s">
        <v>2806</v>
      </c>
      <c r="O135" t="s">
        <v>2509</v>
      </c>
      <c r="P135">
        <v>30</v>
      </c>
      <c r="Q135" t="s">
        <v>2871</v>
      </c>
      <c r="R135">
        <v>1412</v>
      </c>
    </row>
    <row r="136" spans="1:18" x14ac:dyDescent="0.3">
      <c r="A136" t="s">
        <v>2115</v>
      </c>
      <c r="B136" s="45">
        <v>45648</v>
      </c>
      <c r="C136" t="s">
        <v>305</v>
      </c>
      <c r="D136" t="s">
        <v>203</v>
      </c>
      <c r="E136" t="s">
        <v>170</v>
      </c>
      <c r="F136">
        <v>10</v>
      </c>
      <c r="G136">
        <v>660</v>
      </c>
      <c r="H136">
        <v>7.5</v>
      </c>
      <c r="I136">
        <v>6105</v>
      </c>
      <c r="J136" t="s">
        <v>87</v>
      </c>
      <c r="K136" t="s">
        <v>133</v>
      </c>
      <c r="L136">
        <v>0</v>
      </c>
      <c r="M136" t="b">
        <v>1</v>
      </c>
      <c r="N136" t="s">
        <v>2817</v>
      </c>
      <c r="O136" t="s">
        <v>2509</v>
      </c>
      <c r="P136">
        <v>46</v>
      </c>
      <c r="Q136" t="s">
        <v>2879</v>
      </c>
      <c r="R136">
        <v>329</v>
      </c>
    </row>
    <row r="137" spans="1:18" x14ac:dyDescent="0.3">
      <c r="A137" t="s">
        <v>2112</v>
      </c>
      <c r="B137" s="45">
        <v>45642</v>
      </c>
      <c r="C137" t="s">
        <v>520</v>
      </c>
      <c r="D137" t="s">
        <v>364</v>
      </c>
      <c r="E137" t="s">
        <v>303</v>
      </c>
      <c r="F137">
        <v>3</v>
      </c>
      <c r="G137">
        <v>5330</v>
      </c>
      <c r="H137">
        <v>22.2</v>
      </c>
      <c r="I137">
        <v>12440.22</v>
      </c>
      <c r="J137" t="s">
        <v>87</v>
      </c>
      <c r="K137" t="s">
        <v>112</v>
      </c>
      <c r="L137">
        <v>0</v>
      </c>
      <c r="M137" t="b">
        <v>1</v>
      </c>
      <c r="N137" t="s">
        <v>2784</v>
      </c>
      <c r="O137" t="s">
        <v>2509</v>
      </c>
      <c r="P137">
        <v>35</v>
      </c>
      <c r="Q137" t="s">
        <v>2871</v>
      </c>
      <c r="R137">
        <v>2405</v>
      </c>
    </row>
    <row r="138" spans="1:18" x14ac:dyDescent="0.3">
      <c r="A138" t="s">
        <v>2108</v>
      </c>
      <c r="B138" s="45">
        <v>45636</v>
      </c>
      <c r="C138" t="s">
        <v>105</v>
      </c>
      <c r="D138" t="s">
        <v>200</v>
      </c>
      <c r="E138" t="s">
        <v>343</v>
      </c>
      <c r="F138">
        <v>8</v>
      </c>
      <c r="G138">
        <v>2760</v>
      </c>
      <c r="H138">
        <v>18</v>
      </c>
      <c r="I138">
        <v>18105.599999999999</v>
      </c>
      <c r="J138" t="s">
        <v>140</v>
      </c>
      <c r="K138" t="s">
        <v>94</v>
      </c>
      <c r="L138">
        <v>0</v>
      </c>
      <c r="M138" t="b">
        <v>1</v>
      </c>
      <c r="N138" t="s">
        <v>2806</v>
      </c>
      <c r="O138" t="s">
        <v>2507</v>
      </c>
      <c r="P138">
        <v>36</v>
      </c>
      <c r="Q138" t="s">
        <v>2879</v>
      </c>
      <c r="R138">
        <v>1435</v>
      </c>
    </row>
    <row r="139" spans="1:18" x14ac:dyDescent="0.3">
      <c r="A139" t="s">
        <v>2102</v>
      </c>
      <c r="B139" s="45">
        <v>45606</v>
      </c>
      <c r="C139" t="s">
        <v>1000</v>
      </c>
      <c r="D139" t="s">
        <v>143</v>
      </c>
      <c r="E139" t="s">
        <v>132</v>
      </c>
      <c r="F139">
        <v>8</v>
      </c>
      <c r="G139">
        <v>3250</v>
      </c>
      <c r="H139">
        <v>1.9</v>
      </c>
      <c r="I139">
        <v>25506</v>
      </c>
      <c r="J139" t="s">
        <v>87</v>
      </c>
      <c r="K139" t="s">
        <v>117</v>
      </c>
      <c r="L139">
        <v>0</v>
      </c>
      <c r="M139" t="b">
        <v>1</v>
      </c>
      <c r="N139" t="s">
        <v>2817</v>
      </c>
      <c r="O139" t="s">
        <v>2507</v>
      </c>
      <c r="P139">
        <v>27</v>
      </c>
      <c r="Q139" t="s">
        <v>2862</v>
      </c>
      <c r="R139">
        <v>1556</v>
      </c>
    </row>
    <row r="140" spans="1:18" x14ac:dyDescent="0.3">
      <c r="A140" t="s">
        <v>2101</v>
      </c>
      <c r="B140" s="45">
        <v>45643</v>
      </c>
      <c r="C140" t="s">
        <v>823</v>
      </c>
      <c r="D140" t="s">
        <v>115</v>
      </c>
      <c r="E140" t="s">
        <v>252</v>
      </c>
      <c r="F140">
        <v>7</v>
      </c>
      <c r="G140">
        <v>960</v>
      </c>
      <c r="H140">
        <v>22.9</v>
      </c>
      <c r="I140">
        <v>5181.12</v>
      </c>
      <c r="J140" t="s">
        <v>87</v>
      </c>
      <c r="K140" t="s">
        <v>94</v>
      </c>
      <c r="L140">
        <v>0</v>
      </c>
      <c r="M140" t="b">
        <v>1</v>
      </c>
      <c r="N140" t="s">
        <v>2839</v>
      </c>
      <c r="O140" t="s">
        <v>2507</v>
      </c>
      <c r="P140">
        <v>32</v>
      </c>
      <c r="Q140" t="s">
        <v>2862</v>
      </c>
      <c r="R140">
        <v>705</v>
      </c>
    </row>
    <row r="141" spans="1:18" x14ac:dyDescent="0.3">
      <c r="A141" t="s">
        <v>2100</v>
      </c>
      <c r="B141" s="45">
        <v>45581</v>
      </c>
      <c r="C141" t="s">
        <v>592</v>
      </c>
      <c r="D141" t="s">
        <v>120</v>
      </c>
      <c r="E141" t="s">
        <v>346</v>
      </c>
      <c r="F141">
        <v>10</v>
      </c>
      <c r="G141">
        <v>1430</v>
      </c>
      <c r="H141">
        <v>11.4</v>
      </c>
      <c r="I141">
        <v>12669.8</v>
      </c>
      <c r="J141" t="s">
        <v>140</v>
      </c>
      <c r="K141" t="s">
        <v>133</v>
      </c>
      <c r="L141">
        <v>0</v>
      </c>
      <c r="M141" t="b">
        <v>1</v>
      </c>
      <c r="N141" t="s">
        <v>2784</v>
      </c>
      <c r="O141" t="s">
        <v>2507</v>
      </c>
      <c r="P141">
        <v>22</v>
      </c>
      <c r="Q141" t="s">
        <v>2862</v>
      </c>
      <c r="R141">
        <v>861</v>
      </c>
    </row>
    <row r="142" spans="1:18" x14ac:dyDescent="0.3">
      <c r="A142" t="s">
        <v>2096</v>
      </c>
      <c r="B142" s="45">
        <v>45571</v>
      </c>
      <c r="C142" t="s">
        <v>870</v>
      </c>
      <c r="D142" t="s">
        <v>97</v>
      </c>
      <c r="E142" t="s">
        <v>343</v>
      </c>
      <c r="F142">
        <v>5</v>
      </c>
      <c r="G142">
        <v>470</v>
      </c>
      <c r="H142">
        <v>18.3</v>
      </c>
      <c r="I142">
        <v>1919.95</v>
      </c>
      <c r="J142" t="s">
        <v>144</v>
      </c>
      <c r="K142" t="s">
        <v>117</v>
      </c>
      <c r="L142">
        <v>0</v>
      </c>
      <c r="M142" t="b">
        <v>0</v>
      </c>
      <c r="N142" t="s">
        <v>2839</v>
      </c>
      <c r="O142" t="s">
        <v>2507</v>
      </c>
      <c r="P142">
        <v>47</v>
      </c>
      <c r="Q142" t="s">
        <v>2879</v>
      </c>
      <c r="R142">
        <v>302</v>
      </c>
    </row>
    <row r="143" spans="1:18" x14ac:dyDescent="0.3">
      <c r="A143" t="s">
        <v>2094</v>
      </c>
      <c r="B143" s="45">
        <v>45623</v>
      </c>
      <c r="C143" t="s">
        <v>785</v>
      </c>
      <c r="D143" t="s">
        <v>182</v>
      </c>
      <c r="E143" t="s">
        <v>215</v>
      </c>
      <c r="F143">
        <v>4</v>
      </c>
      <c r="G143">
        <v>1010</v>
      </c>
      <c r="H143">
        <v>3.3</v>
      </c>
      <c r="I143">
        <v>3906.68</v>
      </c>
      <c r="J143" t="s">
        <v>87</v>
      </c>
      <c r="K143" t="s">
        <v>88</v>
      </c>
      <c r="L143">
        <v>0</v>
      </c>
      <c r="M143" t="b">
        <v>1</v>
      </c>
      <c r="N143" t="s">
        <v>2839</v>
      </c>
      <c r="O143" t="s">
        <v>2507</v>
      </c>
      <c r="P143">
        <v>31</v>
      </c>
      <c r="Q143" t="s">
        <v>2855</v>
      </c>
      <c r="R143">
        <v>516</v>
      </c>
    </row>
    <row r="144" spans="1:18" x14ac:dyDescent="0.3">
      <c r="A144" t="s">
        <v>431</v>
      </c>
      <c r="B144" s="45">
        <v>45604</v>
      </c>
      <c r="C144" t="s">
        <v>371</v>
      </c>
      <c r="D144" t="s">
        <v>245</v>
      </c>
      <c r="E144" t="s">
        <v>121</v>
      </c>
      <c r="F144">
        <v>9</v>
      </c>
      <c r="G144">
        <v>2270</v>
      </c>
      <c r="H144">
        <v>20.8</v>
      </c>
      <c r="I144">
        <v>16180.56</v>
      </c>
      <c r="J144" t="s">
        <v>140</v>
      </c>
      <c r="K144" t="s">
        <v>112</v>
      </c>
      <c r="L144">
        <v>0</v>
      </c>
      <c r="M144" t="b">
        <v>1</v>
      </c>
      <c r="N144" t="s">
        <v>2806</v>
      </c>
      <c r="O144" t="s">
        <v>2507</v>
      </c>
      <c r="P144">
        <v>42</v>
      </c>
      <c r="Q144" t="s">
        <v>2871</v>
      </c>
      <c r="R144">
        <v>1412</v>
      </c>
    </row>
    <row r="145" spans="1:18" x14ac:dyDescent="0.3">
      <c r="A145" t="s">
        <v>2083</v>
      </c>
      <c r="B145" s="45">
        <v>45579</v>
      </c>
      <c r="C145" t="s">
        <v>886</v>
      </c>
      <c r="D145" t="s">
        <v>452</v>
      </c>
      <c r="E145" t="s">
        <v>92</v>
      </c>
      <c r="F145">
        <v>3</v>
      </c>
      <c r="G145">
        <v>3450</v>
      </c>
      <c r="H145">
        <v>11.6</v>
      </c>
      <c r="I145">
        <v>9149.4</v>
      </c>
      <c r="J145" t="s">
        <v>87</v>
      </c>
      <c r="K145" t="s">
        <v>94</v>
      </c>
      <c r="L145">
        <v>0</v>
      </c>
      <c r="M145" t="b">
        <v>1</v>
      </c>
      <c r="N145" t="s">
        <v>2795</v>
      </c>
      <c r="O145" t="s">
        <v>2509</v>
      </c>
      <c r="P145">
        <v>44</v>
      </c>
      <c r="Q145" t="s">
        <v>2855</v>
      </c>
      <c r="R145">
        <v>1748</v>
      </c>
    </row>
    <row r="146" spans="1:18" x14ac:dyDescent="0.3">
      <c r="A146" t="s">
        <v>2082</v>
      </c>
      <c r="B146" s="45">
        <v>45632</v>
      </c>
      <c r="C146" t="s">
        <v>797</v>
      </c>
      <c r="D146" t="s">
        <v>360</v>
      </c>
      <c r="E146" t="s">
        <v>111</v>
      </c>
      <c r="F146">
        <v>3</v>
      </c>
      <c r="G146">
        <v>5410</v>
      </c>
      <c r="H146">
        <v>20.3</v>
      </c>
      <c r="I146">
        <v>12935.31</v>
      </c>
      <c r="J146" t="s">
        <v>87</v>
      </c>
      <c r="K146" t="s">
        <v>99</v>
      </c>
      <c r="L146">
        <v>0</v>
      </c>
      <c r="M146" t="b">
        <v>1</v>
      </c>
      <c r="N146" t="s">
        <v>2839</v>
      </c>
      <c r="O146" t="s">
        <v>2507</v>
      </c>
      <c r="P146">
        <v>63</v>
      </c>
      <c r="Q146" t="s">
        <v>2879</v>
      </c>
      <c r="R146">
        <v>2265</v>
      </c>
    </row>
    <row r="147" spans="1:18" x14ac:dyDescent="0.3">
      <c r="A147" t="s">
        <v>2078</v>
      </c>
      <c r="B147" s="45">
        <v>45592</v>
      </c>
      <c r="C147" t="s">
        <v>316</v>
      </c>
      <c r="D147" t="s">
        <v>138</v>
      </c>
      <c r="E147" t="s">
        <v>303</v>
      </c>
      <c r="F147">
        <v>6</v>
      </c>
      <c r="G147">
        <v>2600</v>
      </c>
      <c r="H147">
        <v>5.0999999999999996</v>
      </c>
      <c r="I147">
        <v>14804.4</v>
      </c>
      <c r="J147" t="s">
        <v>87</v>
      </c>
      <c r="K147" t="s">
        <v>88</v>
      </c>
      <c r="L147">
        <v>0</v>
      </c>
      <c r="M147" t="b">
        <v>1</v>
      </c>
      <c r="N147" t="s">
        <v>2784</v>
      </c>
      <c r="O147" t="s">
        <v>2515</v>
      </c>
      <c r="P147">
        <v>60</v>
      </c>
      <c r="Q147" t="s">
        <v>2871</v>
      </c>
      <c r="R147">
        <v>1052</v>
      </c>
    </row>
    <row r="148" spans="1:18" x14ac:dyDescent="0.3">
      <c r="A148" t="s">
        <v>2077</v>
      </c>
      <c r="B148" s="45">
        <v>45588</v>
      </c>
      <c r="C148" t="s">
        <v>281</v>
      </c>
      <c r="D148" t="s">
        <v>245</v>
      </c>
      <c r="E148" t="s">
        <v>188</v>
      </c>
      <c r="F148">
        <v>8</v>
      </c>
      <c r="G148">
        <v>2270</v>
      </c>
      <c r="H148">
        <v>11.9</v>
      </c>
      <c r="I148">
        <v>15998.96</v>
      </c>
      <c r="J148" t="s">
        <v>93</v>
      </c>
      <c r="K148" t="s">
        <v>88</v>
      </c>
      <c r="L148">
        <v>0</v>
      </c>
      <c r="M148" t="b">
        <v>1</v>
      </c>
      <c r="N148" t="s">
        <v>2806</v>
      </c>
      <c r="O148" t="s">
        <v>2507</v>
      </c>
      <c r="P148">
        <v>25</v>
      </c>
      <c r="Q148" t="s">
        <v>2862</v>
      </c>
      <c r="R148">
        <v>1412</v>
      </c>
    </row>
    <row r="149" spans="1:18" x14ac:dyDescent="0.3">
      <c r="A149" t="s">
        <v>2076</v>
      </c>
      <c r="B149" s="45">
        <v>45645</v>
      </c>
      <c r="C149" t="s">
        <v>427</v>
      </c>
      <c r="D149" t="s">
        <v>245</v>
      </c>
      <c r="E149" t="s">
        <v>148</v>
      </c>
      <c r="F149">
        <v>6</v>
      </c>
      <c r="G149">
        <v>2270</v>
      </c>
      <c r="H149">
        <v>17.100000000000001</v>
      </c>
      <c r="I149">
        <v>11290.98</v>
      </c>
      <c r="J149" t="s">
        <v>87</v>
      </c>
      <c r="K149" t="s">
        <v>88</v>
      </c>
      <c r="L149">
        <v>0</v>
      </c>
      <c r="M149" t="b">
        <v>1</v>
      </c>
      <c r="N149" t="s">
        <v>2806</v>
      </c>
      <c r="O149" t="s">
        <v>2509</v>
      </c>
      <c r="P149">
        <v>48</v>
      </c>
      <c r="Q149" t="s">
        <v>2855</v>
      </c>
      <c r="R149">
        <v>1412</v>
      </c>
    </row>
    <row r="150" spans="1:18" x14ac:dyDescent="0.3">
      <c r="A150" t="s">
        <v>2072</v>
      </c>
      <c r="B150" s="45">
        <v>45625</v>
      </c>
      <c r="C150" t="s">
        <v>705</v>
      </c>
      <c r="D150" t="s">
        <v>267</v>
      </c>
      <c r="E150" t="s">
        <v>343</v>
      </c>
      <c r="F150">
        <v>4</v>
      </c>
      <c r="G150">
        <v>1220</v>
      </c>
      <c r="H150">
        <v>12.6</v>
      </c>
      <c r="I150">
        <v>4265.12</v>
      </c>
      <c r="J150" t="s">
        <v>87</v>
      </c>
      <c r="K150" t="s">
        <v>99</v>
      </c>
      <c r="L150">
        <v>0</v>
      </c>
      <c r="M150" t="b">
        <v>1</v>
      </c>
      <c r="N150" t="s">
        <v>2784</v>
      </c>
      <c r="O150" t="s">
        <v>2507</v>
      </c>
      <c r="P150">
        <v>53</v>
      </c>
      <c r="Q150" t="s">
        <v>2879</v>
      </c>
      <c r="R150">
        <v>517</v>
      </c>
    </row>
    <row r="151" spans="1:18" x14ac:dyDescent="0.3">
      <c r="A151" t="s">
        <v>2071</v>
      </c>
      <c r="B151" s="45">
        <v>45604</v>
      </c>
      <c r="C151" t="s">
        <v>878</v>
      </c>
      <c r="D151" t="s">
        <v>97</v>
      </c>
      <c r="E151" t="s">
        <v>132</v>
      </c>
      <c r="F151">
        <v>7</v>
      </c>
      <c r="G151">
        <v>470</v>
      </c>
      <c r="H151">
        <v>21.6</v>
      </c>
      <c r="I151">
        <v>2579.36</v>
      </c>
      <c r="J151" t="s">
        <v>87</v>
      </c>
      <c r="K151" t="s">
        <v>112</v>
      </c>
      <c r="L151">
        <v>0</v>
      </c>
      <c r="M151" t="b">
        <v>0</v>
      </c>
      <c r="N151" t="s">
        <v>2839</v>
      </c>
      <c r="O151" t="s">
        <v>2509</v>
      </c>
      <c r="P151">
        <v>62</v>
      </c>
      <c r="Q151" t="s">
        <v>2862</v>
      </c>
      <c r="R151">
        <v>302</v>
      </c>
    </row>
    <row r="152" spans="1:18" x14ac:dyDescent="0.3">
      <c r="A152" t="s">
        <v>2065</v>
      </c>
      <c r="B152" s="45">
        <v>45625</v>
      </c>
      <c r="C152" t="s">
        <v>1350</v>
      </c>
      <c r="D152" t="s">
        <v>200</v>
      </c>
      <c r="E152" t="s">
        <v>158</v>
      </c>
      <c r="F152">
        <v>10</v>
      </c>
      <c r="G152">
        <v>2760</v>
      </c>
      <c r="H152">
        <v>17.2</v>
      </c>
      <c r="I152">
        <v>22852.799999999999</v>
      </c>
      <c r="J152" t="s">
        <v>87</v>
      </c>
      <c r="K152" t="s">
        <v>112</v>
      </c>
      <c r="L152">
        <v>0</v>
      </c>
      <c r="M152" t="b">
        <v>1</v>
      </c>
      <c r="N152" t="s">
        <v>2806</v>
      </c>
      <c r="O152" t="s">
        <v>2507</v>
      </c>
      <c r="P152">
        <v>38</v>
      </c>
      <c r="Q152" t="s">
        <v>2871</v>
      </c>
      <c r="R152">
        <v>1435</v>
      </c>
    </row>
    <row r="153" spans="1:18" x14ac:dyDescent="0.3">
      <c r="A153" t="s">
        <v>2061</v>
      </c>
      <c r="B153" s="45">
        <v>45622</v>
      </c>
      <c r="C153" t="s">
        <v>465</v>
      </c>
      <c r="D153" t="s">
        <v>282</v>
      </c>
      <c r="E153" t="s">
        <v>192</v>
      </c>
      <c r="F153">
        <v>7</v>
      </c>
      <c r="G153">
        <v>300</v>
      </c>
      <c r="H153">
        <v>7.1</v>
      </c>
      <c r="I153">
        <v>1950.9</v>
      </c>
      <c r="J153" t="s">
        <v>87</v>
      </c>
      <c r="K153" t="s">
        <v>112</v>
      </c>
      <c r="L153">
        <v>0</v>
      </c>
      <c r="M153" t="b">
        <v>1</v>
      </c>
      <c r="N153" t="s">
        <v>2784</v>
      </c>
      <c r="O153" t="s">
        <v>2507</v>
      </c>
      <c r="P153">
        <v>61</v>
      </c>
      <c r="Q153" t="s">
        <v>2871</v>
      </c>
      <c r="R153">
        <v>128</v>
      </c>
    </row>
    <row r="154" spans="1:18" x14ac:dyDescent="0.3">
      <c r="A154" t="s">
        <v>2052</v>
      </c>
      <c r="B154" s="45">
        <v>45618</v>
      </c>
      <c r="C154" t="s">
        <v>2053</v>
      </c>
      <c r="D154" t="s">
        <v>195</v>
      </c>
      <c r="E154" t="s">
        <v>303</v>
      </c>
      <c r="F154">
        <v>3</v>
      </c>
      <c r="G154">
        <v>2860</v>
      </c>
      <c r="H154">
        <v>19.899999999999999</v>
      </c>
      <c r="I154">
        <v>6872.58</v>
      </c>
      <c r="J154" t="s">
        <v>87</v>
      </c>
      <c r="K154" t="s">
        <v>133</v>
      </c>
      <c r="L154">
        <v>0</v>
      </c>
      <c r="M154" t="b">
        <v>1</v>
      </c>
      <c r="N154" t="s">
        <v>2839</v>
      </c>
      <c r="O154" t="s">
        <v>2515</v>
      </c>
      <c r="P154">
        <v>39</v>
      </c>
      <c r="Q154" t="s">
        <v>2871</v>
      </c>
      <c r="R154">
        <v>2028</v>
      </c>
    </row>
    <row r="155" spans="1:18" x14ac:dyDescent="0.3">
      <c r="A155" t="s">
        <v>2044</v>
      </c>
      <c r="B155" s="45">
        <v>45621</v>
      </c>
      <c r="C155" t="s">
        <v>507</v>
      </c>
      <c r="D155" t="s">
        <v>408</v>
      </c>
      <c r="E155" t="s">
        <v>139</v>
      </c>
      <c r="F155">
        <v>4</v>
      </c>
      <c r="G155">
        <v>3970</v>
      </c>
      <c r="H155">
        <v>22.5</v>
      </c>
      <c r="I155">
        <v>12307</v>
      </c>
      <c r="J155" t="s">
        <v>87</v>
      </c>
      <c r="K155" t="s">
        <v>88</v>
      </c>
      <c r="L155">
        <v>0</v>
      </c>
      <c r="M155" t="b">
        <v>1</v>
      </c>
      <c r="N155" t="s">
        <v>2784</v>
      </c>
      <c r="O155" t="s">
        <v>2507</v>
      </c>
      <c r="P155">
        <v>59</v>
      </c>
      <c r="Q155" t="s">
        <v>2855</v>
      </c>
      <c r="R155">
        <v>2865</v>
      </c>
    </row>
    <row r="156" spans="1:18" x14ac:dyDescent="0.3">
      <c r="A156" t="s">
        <v>450</v>
      </c>
      <c r="B156" s="45">
        <v>45595</v>
      </c>
      <c r="C156" t="s">
        <v>451</v>
      </c>
      <c r="D156" t="s">
        <v>452</v>
      </c>
      <c r="E156" t="s">
        <v>188</v>
      </c>
      <c r="F156">
        <v>2</v>
      </c>
      <c r="G156">
        <v>3450</v>
      </c>
      <c r="H156">
        <v>1.2</v>
      </c>
      <c r="I156">
        <v>6817.2</v>
      </c>
      <c r="J156" t="s">
        <v>87</v>
      </c>
      <c r="K156" t="s">
        <v>99</v>
      </c>
      <c r="L156">
        <v>0</v>
      </c>
      <c r="M156" t="b">
        <v>1</v>
      </c>
      <c r="N156" t="s">
        <v>2795</v>
      </c>
      <c r="O156" t="s">
        <v>2515</v>
      </c>
      <c r="P156">
        <v>34</v>
      </c>
      <c r="Q156" t="s">
        <v>2862</v>
      </c>
      <c r="R156">
        <v>1748</v>
      </c>
    </row>
    <row r="157" spans="1:18" x14ac:dyDescent="0.3">
      <c r="A157" t="s">
        <v>2042</v>
      </c>
      <c r="B157" s="45">
        <v>45653</v>
      </c>
      <c r="C157" t="s">
        <v>305</v>
      </c>
      <c r="D157" t="s">
        <v>279</v>
      </c>
      <c r="E157" t="s">
        <v>325</v>
      </c>
      <c r="F157">
        <v>5</v>
      </c>
      <c r="G157">
        <v>2660</v>
      </c>
      <c r="H157">
        <v>20.399999999999999</v>
      </c>
      <c r="I157">
        <v>10586.8</v>
      </c>
      <c r="J157" t="s">
        <v>87</v>
      </c>
      <c r="K157" t="s">
        <v>133</v>
      </c>
      <c r="L157">
        <v>0</v>
      </c>
      <c r="M157" t="b">
        <v>0</v>
      </c>
      <c r="N157" t="s">
        <v>2784</v>
      </c>
      <c r="O157" t="s">
        <v>2509</v>
      </c>
      <c r="P157">
        <v>46</v>
      </c>
      <c r="Q157" t="s">
        <v>2862</v>
      </c>
      <c r="R157">
        <v>1259</v>
      </c>
    </row>
    <row r="158" spans="1:18" x14ac:dyDescent="0.3">
      <c r="A158" t="s">
        <v>455</v>
      </c>
      <c r="B158" s="45">
        <v>45644</v>
      </c>
      <c r="C158" t="s">
        <v>320</v>
      </c>
      <c r="D158" t="s">
        <v>143</v>
      </c>
      <c r="E158" t="s">
        <v>252</v>
      </c>
      <c r="F158">
        <v>2</v>
      </c>
      <c r="G158">
        <v>3250</v>
      </c>
      <c r="H158">
        <v>26.2</v>
      </c>
      <c r="I158">
        <v>4797</v>
      </c>
      <c r="J158" t="s">
        <v>87</v>
      </c>
      <c r="K158" t="s">
        <v>133</v>
      </c>
      <c r="L158">
        <v>0</v>
      </c>
      <c r="M158" t="b">
        <v>1</v>
      </c>
      <c r="N158" t="s">
        <v>2817</v>
      </c>
      <c r="O158" t="s">
        <v>2515</v>
      </c>
      <c r="P158">
        <v>36</v>
      </c>
      <c r="Q158" t="s">
        <v>2862</v>
      </c>
      <c r="R158">
        <v>1556</v>
      </c>
    </row>
    <row r="159" spans="1:18" x14ac:dyDescent="0.3">
      <c r="A159" t="s">
        <v>2038</v>
      </c>
      <c r="B159" s="45">
        <v>45599</v>
      </c>
      <c r="C159" t="s">
        <v>181</v>
      </c>
      <c r="D159" t="s">
        <v>386</v>
      </c>
      <c r="E159" t="s">
        <v>285</v>
      </c>
      <c r="F159">
        <v>4</v>
      </c>
      <c r="G159">
        <v>2290</v>
      </c>
      <c r="H159">
        <v>4.8</v>
      </c>
      <c r="I159">
        <v>8720.32</v>
      </c>
      <c r="J159" t="s">
        <v>93</v>
      </c>
      <c r="K159" t="s">
        <v>99</v>
      </c>
      <c r="L159">
        <v>0</v>
      </c>
      <c r="M159" t="b">
        <v>1</v>
      </c>
      <c r="N159" t="s">
        <v>2828</v>
      </c>
      <c r="O159" t="s">
        <v>2507</v>
      </c>
      <c r="P159">
        <v>31</v>
      </c>
      <c r="Q159" t="s">
        <v>2871</v>
      </c>
      <c r="R159">
        <v>1219</v>
      </c>
    </row>
    <row r="160" spans="1:18" x14ac:dyDescent="0.3">
      <c r="A160" t="s">
        <v>2031</v>
      </c>
      <c r="B160" s="45">
        <v>45616</v>
      </c>
      <c r="C160" t="s">
        <v>561</v>
      </c>
      <c r="D160" t="s">
        <v>245</v>
      </c>
      <c r="E160" t="s">
        <v>273</v>
      </c>
      <c r="F160">
        <v>3</v>
      </c>
      <c r="G160">
        <v>2270</v>
      </c>
      <c r="H160">
        <v>19.100000000000001</v>
      </c>
      <c r="I160">
        <v>5509.29</v>
      </c>
      <c r="J160" t="s">
        <v>140</v>
      </c>
      <c r="K160" t="s">
        <v>133</v>
      </c>
      <c r="L160">
        <v>0</v>
      </c>
      <c r="M160" t="b">
        <v>1</v>
      </c>
      <c r="N160" t="s">
        <v>2806</v>
      </c>
      <c r="O160" t="s">
        <v>2515</v>
      </c>
      <c r="P160">
        <v>43</v>
      </c>
      <c r="Q160" t="s">
        <v>2862</v>
      </c>
      <c r="R160">
        <v>1412</v>
      </c>
    </row>
    <row r="161" spans="1:18" x14ac:dyDescent="0.3">
      <c r="A161" t="s">
        <v>459</v>
      </c>
      <c r="B161" s="45">
        <v>45601</v>
      </c>
      <c r="C161" t="s">
        <v>460</v>
      </c>
      <c r="D161" t="s">
        <v>461</v>
      </c>
      <c r="E161" t="s">
        <v>285</v>
      </c>
      <c r="F161">
        <v>4</v>
      </c>
      <c r="G161">
        <v>3780</v>
      </c>
      <c r="H161">
        <v>3.5</v>
      </c>
      <c r="I161">
        <v>14590.8</v>
      </c>
      <c r="J161" t="s">
        <v>140</v>
      </c>
      <c r="K161" t="s">
        <v>88</v>
      </c>
      <c r="L161">
        <v>0</v>
      </c>
      <c r="M161" t="b">
        <v>1</v>
      </c>
      <c r="N161" t="s">
        <v>2839</v>
      </c>
      <c r="O161" t="s">
        <v>2509</v>
      </c>
      <c r="P161">
        <v>37</v>
      </c>
      <c r="Q161" t="s">
        <v>2871</v>
      </c>
      <c r="R161">
        <v>1860</v>
      </c>
    </row>
    <row r="162" spans="1:18" x14ac:dyDescent="0.3">
      <c r="A162" t="s">
        <v>2028</v>
      </c>
      <c r="B162" s="45">
        <v>45567</v>
      </c>
      <c r="C162" t="s">
        <v>294</v>
      </c>
      <c r="D162" t="s">
        <v>184</v>
      </c>
      <c r="E162" t="s">
        <v>111</v>
      </c>
      <c r="F162">
        <v>1</v>
      </c>
      <c r="G162">
        <v>4880</v>
      </c>
      <c r="H162">
        <v>26.8</v>
      </c>
      <c r="I162">
        <v>3572.16</v>
      </c>
      <c r="J162" t="s">
        <v>87</v>
      </c>
      <c r="K162" t="s">
        <v>133</v>
      </c>
      <c r="L162">
        <v>0</v>
      </c>
      <c r="M162" t="b">
        <v>1</v>
      </c>
      <c r="N162" t="s">
        <v>2828</v>
      </c>
      <c r="O162" t="s">
        <v>2515</v>
      </c>
      <c r="P162">
        <v>43</v>
      </c>
      <c r="Q162" t="s">
        <v>2879</v>
      </c>
      <c r="R162">
        <v>2768</v>
      </c>
    </row>
    <row r="163" spans="1:18" x14ac:dyDescent="0.3">
      <c r="A163" t="s">
        <v>2018</v>
      </c>
      <c r="B163" s="45">
        <v>45600</v>
      </c>
      <c r="C163" t="s">
        <v>729</v>
      </c>
      <c r="D163" t="s">
        <v>176</v>
      </c>
      <c r="E163" t="s">
        <v>285</v>
      </c>
      <c r="F163">
        <v>1</v>
      </c>
      <c r="G163">
        <v>1650</v>
      </c>
      <c r="H163">
        <v>18.8</v>
      </c>
      <c r="I163">
        <v>1339.8</v>
      </c>
      <c r="J163" t="s">
        <v>140</v>
      </c>
      <c r="K163" t="s">
        <v>112</v>
      </c>
      <c r="L163">
        <v>0</v>
      </c>
      <c r="M163" t="b">
        <v>1</v>
      </c>
      <c r="N163" t="s">
        <v>2828</v>
      </c>
      <c r="O163" t="s">
        <v>2507</v>
      </c>
      <c r="P163">
        <v>56</v>
      </c>
      <c r="Q163" t="s">
        <v>2871</v>
      </c>
      <c r="R163">
        <v>1222</v>
      </c>
    </row>
    <row r="164" spans="1:18" x14ac:dyDescent="0.3">
      <c r="A164" t="s">
        <v>2017</v>
      </c>
      <c r="B164" s="45">
        <v>45625</v>
      </c>
      <c r="C164" t="s">
        <v>635</v>
      </c>
      <c r="D164" t="s">
        <v>91</v>
      </c>
      <c r="E164" t="s">
        <v>252</v>
      </c>
      <c r="F164">
        <v>4</v>
      </c>
      <c r="G164">
        <v>820</v>
      </c>
      <c r="H164">
        <v>18.8</v>
      </c>
      <c r="I164">
        <v>2663.36</v>
      </c>
      <c r="J164" t="s">
        <v>140</v>
      </c>
      <c r="K164" t="s">
        <v>99</v>
      </c>
      <c r="L164">
        <v>0</v>
      </c>
      <c r="M164" t="b">
        <v>1</v>
      </c>
      <c r="N164" t="s">
        <v>2795</v>
      </c>
      <c r="O164" t="s">
        <v>2507</v>
      </c>
      <c r="P164">
        <v>49</v>
      </c>
      <c r="Q164" t="s">
        <v>2862</v>
      </c>
      <c r="R164">
        <v>391</v>
      </c>
    </row>
    <row r="165" spans="1:18" x14ac:dyDescent="0.3">
      <c r="A165" t="s">
        <v>467</v>
      </c>
      <c r="B165" s="45">
        <v>45579</v>
      </c>
      <c r="C165" t="s">
        <v>150</v>
      </c>
      <c r="D165" t="s">
        <v>127</v>
      </c>
      <c r="E165" t="s">
        <v>201</v>
      </c>
      <c r="F165">
        <v>9</v>
      </c>
      <c r="G165">
        <v>970</v>
      </c>
      <c r="H165">
        <v>18.2</v>
      </c>
      <c r="I165">
        <v>7141.14</v>
      </c>
      <c r="J165" t="s">
        <v>87</v>
      </c>
      <c r="K165" t="s">
        <v>88</v>
      </c>
      <c r="L165">
        <v>0</v>
      </c>
      <c r="M165" t="b">
        <v>1</v>
      </c>
      <c r="N165" t="s">
        <v>2806</v>
      </c>
      <c r="O165" t="s">
        <v>2507</v>
      </c>
      <c r="P165">
        <v>63</v>
      </c>
      <c r="Q165" t="s">
        <v>2879</v>
      </c>
      <c r="R165">
        <v>434</v>
      </c>
    </row>
    <row r="166" spans="1:18" x14ac:dyDescent="0.3">
      <c r="A166" t="s">
        <v>2013</v>
      </c>
      <c r="B166" s="45">
        <v>45614</v>
      </c>
      <c r="C166" t="s">
        <v>1234</v>
      </c>
      <c r="D166" t="s">
        <v>176</v>
      </c>
      <c r="E166" t="s">
        <v>132</v>
      </c>
      <c r="F166">
        <v>9</v>
      </c>
      <c r="G166">
        <v>1650</v>
      </c>
      <c r="H166">
        <v>19.5</v>
      </c>
      <c r="I166">
        <v>11954.25</v>
      </c>
      <c r="J166" t="s">
        <v>87</v>
      </c>
      <c r="K166" t="s">
        <v>112</v>
      </c>
      <c r="L166">
        <v>0</v>
      </c>
      <c r="M166" t="b">
        <v>1</v>
      </c>
      <c r="N166" t="s">
        <v>2828</v>
      </c>
      <c r="O166" t="s">
        <v>2507</v>
      </c>
      <c r="P166">
        <v>29</v>
      </c>
      <c r="Q166" t="s">
        <v>2862</v>
      </c>
      <c r="R166">
        <v>1222</v>
      </c>
    </row>
    <row r="167" spans="1:18" x14ac:dyDescent="0.3">
      <c r="A167" t="s">
        <v>2005</v>
      </c>
      <c r="B167" s="45">
        <v>45569</v>
      </c>
      <c r="C167" t="s">
        <v>256</v>
      </c>
      <c r="D167" t="s">
        <v>443</v>
      </c>
      <c r="E167" t="s">
        <v>92</v>
      </c>
      <c r="F167">
        <v>2</v>
      </c>
      <c r="G167">
        <v>5080</v>
      </c>
      <c r="H167">
        <v>11.1</v>
      </c>
      <c r="I167">
        <v>9032.24</v>
      </c>
      <c r="J167" t="s">
        <v>87</v>
      </c>
      <c r="K167" t="s">
        <v>133</v>
      </c>
      <c r="L167">
        <v>0</v>
      </c>
      <c r="M167" t="b">
        <v>1</v>
      </c>
      <c r="N167" t="s">
        <v>2817</v>
      </c>
      <c r="O167" t="s">
        <v>2507</v>
      </c>
      <c r="P167">
        <v>27</v>
      </c>
      <c r="Q167" t="s">
        <v>2855</v>
      </c>
      <c r="R167">
        <v>2459</v>
      </c>
    </row>
    <row r="168" spans="1:18" x14ac:dyDescent="0.3">
      <c r="A168" t="s">
        <v>2002</v>
      </c>
      <c r="B168" s="45">
        <v>45605</v>
      </c>
      <c r="C168" t="s">
        <v>856</v>
      </c>
      <c r="D168" t="s">
        <v>259</v>
      </c>
      <c r="E168" t="s">
        <v>111</v>
      </c>
      <c r="F168">
        <v>6</v>
      </c>
      <c r="G168">
        <v>1540</v>
      </c>
      <c r="H168">
        <v>17.100000000000001</v>
      </c>
      <c r="I168">
        <v>7659.96</v>
      </c>
      <c r="J168" t="s">
        <v>87</v>
      </c>
      <c r="K168" t="s">
        <v>88</v>
      </c>
      <c r="L168">
        <v>0</v>
      </c>
      <c r="M168" t="b">
        <v>0</v>
      </c>
      <c r="N168" t="s">
        <v>2828</v>
      </c>
      <c r="O168" t="s">
        <v>2515</v>
      </c>
      <c r="P168">
        <v>59</v>
      </c>
      <c r="Q168" t="s">
        <v>2879</v>
      </c>
      <c r="R168">
        <v>647</v>
      </c>
    </row>
    <row r="169" spans="1:18" x14ac:dyDescent="0.3">
      <c r="A169" t="s">
        <v>1987</v>
      </c>
      <c r="B169" s="45">
        <v>45601</v>
      </c>
      <c r="C169" t="s">
        <v>119</v>
      </c>
      <c r="D169" t="s">
        <v>184</v>
      </c>
      <c r="E169" t="s">
        <v>121</v>
      </c>
      <c r="F169">
        <v>2</v>
      </c>
      <c r="G169">
        <v>4880</v>
      </c>
      <c r="H169">
        <v>2</v>
      </c>
      <c r="I169">
        <v>9564.7999999999993</v>
      </c>
      <c r="J169" t="s">
        <v>140</v>
      </c>
      <c r="K169" t="s">
        <v>117</v>
      </c>
      <c r="L169">
        <v>0</v>
      </c>
      <c r="M169" t="b">
        <v>1</v>
      </c>
      <c r="N169" t="s">
        <v>2828</v>
      </c>
      <c r="O169" t="s">
        <v>2509</v>
      </c>
      <c r="P169">
        <v>57</v>
      </c>
      <c r="Q169" t="s">
        <v>2871</v>
      </c>
      <c r="R169">
        <v>2768</v>
      </c>
    </row>
    <row r="170" spans="1:18" x14ac:dyDescent="0.3">
      <c r="A170" t="s">
        <v>1985</v>
      </c>
      <c r="B170" s="45">
        <v>45566</v>
      </c>
      <c r="C170" t="s">
        <v>463</v>
      </c>
      <c r="D170" t="s">
        <v>147</v>
      </c>
      <c r="E170" t="s">
        <v>215</v>
      </c>
      <c r="F170">
        <v>2</v>
      </c>
      <c r="G170">
        <v>190</v>
      </c>
      <c r="H170">
        <v>9</v>
      </c>
      <c r="I170">
        <v>345.8</v>
      </c>
      <c r="J170" t="s">
        <v>87</v>
      </c>
      <c r="K170" t="s">
        <v>117</v>
      </c>
      <c r="L170">
        <v>0</v>
      </c>
      <c r="M170" t="b">
        <v>1</v>
      </c>
      <c r="N170" t="s">
        <v>2839</v>
      </c>
      <c r="O170" t="s">
        <v>2507</v>
      </c>
      <c r="P170">
        <v>55</v>
      </c>
      <c r="Q170" t="s">
        <v>2855</v>
      </c>
      <c r="R170">
        <v>147</v>
      </c>
    </row>
    <row r="171" spans="1:18" x14ac:dyDescent="0.3">
      <c r="A171" t="s">
        <v>1983</v>
      </c>
      <c r="B171" s="45">
        <v>45619</v>
      </c>
      <c r="C171" t="s">
        <v>524</v>
      </c>
      <c r="D171" t="s">
        <v>120</v>
      </c>
      <c r="E171" t="s">
        <v>121</v>
      </c>
      <c r="F171">
        <v>4</v>
      </c>
      <c r="G171">
        <v>1430</v>
      </c>
      <c r="H171">
        <v>25.6</v>
      </c>
      <c r="I171">
        <v>4255.68</v>
      </c>
      <c r="J171" t="s">
        <v>87</v>
      </c>
      <c r="K171" t="s">
        <v>112</v>
      </c>
      <c r="L171">
        <v>0</v>
      </c>
      <c r="M171" t="b">
        <v>1</v>
      </c>
      <c r="N171" t="s">
        <v>2784</v>
      </c>
      <c r="O171" t="s">
        <v>2509</v>
      </c>
      <c r="P171">
        <v>55</v>
      </c>
      <c r="Q171" t="s">
        <v>2871</v>
      </c>
      <c r="R171">
        <v>861</v>
      </c>
    </row>
    <row r="172" spans="1:18" x14ac:dyDescent="0.3">
      <c r="A172" t="s">
        <v>477</v>
      </c>
      <c r="B172" s="45">
        <v>45601</v>
      </c>
      <c r="C172" t="s">
        <v>150</v>
      </c>
      <c r="D172" t="s">
        <v>364</v>
      </c>
      <c r="E172" t="s">
        <v>86</v>
      </c>
      <c r="F172">
        <v>6</v>
      </c>
      <c r="G172">
        <v>5330</v>
      </c>
      <c r="H172">
        <v>17.899999999999999</v>
      </c>
      <c r="I172">
        <v>26255.58</v>
      </c>
      <c r="J172" t="s">
        <v>87</v>
      </c>
      <c r="K172" t="s">
        <v>88</v>
      </c>
      <c r="L172">
        <v>0</v>
      </c>
      <c r="M172" t="b">
        <v>1</v>
      </c>
      <c r="N172" t="s">
        <v>2784</v>
      </c>
      <c r="O172" t="s">
        <v>2507</v>
      </c>
      <c r="P172">
        <v>63</v>
      </c>
      <c r="Q172" t="s">
        <v>2855</v>
      </c>
      <c r="R172">
        <v>2405</v>
      </c>
    </row>
    <row r="173" spans="1:18" x14ac:dyDescent="0.3">
      <c r="A173" t="s">
        <v>1977</v>
      </c>
      <c r="B173" s="45">
        <v>45593</v>
      </c>
      <c r="C173" t="s">
        <v>1217</v>
      </c>
      <c r="D173" t="s">
        <v>97</v>
      </c>
      <c r="E173" t="s">
        <v>343</v>
      </c>
      <c r="F173">
        <v>4</v>
      </c>
      <c r="G173">
        <v>470</v>
      </c>
      <c r="H173">
        <v>19.100000000000001</v>
      </c>
      <c r="I173">
        <v>1520.92</v>
      </c>
      <c r="J173" t="s">
        <v>93</v>
      </c>
      <c r="K173" t="s">
        <v>112</v>
      </c>
      <c r="L173">
        <v>0</v>
      </c>
      <c r="M173" t="b">
        <v>0</v>
      </c>
      <c r="N173" t="s">
        <v>2839</v>
      </c>
      <c r="O173" t="s">
        <v>2507</v>
      </c>
      <c r="P173">
        <v>44</v>
      </c>
      <c r="Q173" t="s">
        <v>2879</v>
      </c>
      <c r="R173">
        <v>302</v>
      </c>
    </row>
    <row r="174" spans="1:18" x14ac:dyDescent="0.3">
      <c r="A174" t="s">
        <v>1965</v>
      </c>
      <c r="B174" s="45">
        <v>45577</v>
      </c>
      <c r="C174" t="s">
        <v>797</v>
      </c>
      <c r="D174" t="s">
        <v>203</v>
      </c>
      <c r="E174" t="s">
        <v>86</v>
      </c>
      <c r="F174">
        <v>9</v>
      </c>
      <c r="G174">
        <v>660</v>
      </c>
      <c r="H174">
        <v>29.3</v>
      </c>
      <c r="I174">
        <v>4199.58</v>
      </c>
      <c r="J174" t="s">
        <v>87</v>
      </c>
      <c r="K174" t="s">
        <v>99</v>
      </c>
      <c r="L174">
        <v>0</v>
      </c>
      <c r="M174" t="b">
        <v>1</v>
      </c>
      <c r="N174" t="s">
        <v>2817</v>
      </c>
      <c r="O174" t="s">
        <v>2507</v>
      </c>
      <c r="P174">
        <v>63</v>
      </c>
      <c r="Q174" t="s">
        <v>2855</v>
      </c>
      <c r="R174">
        <v>329</v>
      </c>
    </row>
    <row r="175" spans="1:18" x14ac:dyDescent="0.3">
      <c r="A175" t="s">
        <v>1961</v>
      </c>
      <c r="B175" s="45">
        <v>45632</v>
      </c>
      <c r="C175" t="s">
        <v>388</v>
      </c>
      <c r="D175" t="s">
        <v>187</v>
      </c>
      <c r="E175" t="s">
        <v>297</v>
      </c>
      <c r="F175">
        <v>6</v>
      </c>
      <c r="G175">
        <v>3570</v>
      </c>
      <c r="H175">
        <v>17.3</v>
      </c>
      <c r="I175">
        <v>17714.34</v>
      </c>
      <c r="J175" t="s">
        <v>87</v>
      </c>
      <c r="K175" t="s">
        <v>133</v>
      </c>
      <c r="L175">
        <v>0</v>
      </c>
      <c r="M175" t="b">
        <v>1</v>
      </c>
      <c r="N175" t="s">
        <v>2784</v>
      </c>
      <c r="O175" t="s">
        <v>2507</v>
      </c>
      <c r="P175">
        <v>44</v>
      </c>
      <c r="Q175" t="s">
        <v>2855</v>
      </c>
      <c r="R175">
        <v>1665</v>
      </c>
    </row>
    <row r="176" spans="1:18" x14ac:dyDescent="0.3">
      <c r="A176" t="s">
        <v>1957</v>
      </c>
      <c r="B176" s="45">
        <v>45628</v>
      </c>
      <c r="C176" t="s">
        <v>186</v>
      </c>
      <c r="D176" t="s">
        <v>120</v>
      </c>
      <c r="E176" t="s">
        <v>215</v>
      </c>
      <c r="F176">
        <v>3</v>
      </c>
      <c r="G176">
        <v>1430</v>
      </c>
      <c r="H176">
        <v>13.2</v>
      </c>
      <c r="I176">
        <v>3723.72</v>
      </c>
      <c r="J176" t="s">
        <v>87</v>
      </c>
      <c r="K176" t="s">
        <v>94</v>
      </c>
      <c r="L176">
        <v>0</v>
      </c>
      <c r="M176" t="b">
        <v>1</v>
      </c>
      <c r="N176" t="s">
        <v>2784</v>
      </c>
      <c r="O176" t="s">
        <v>2515</v>
      </c>
      <c r="P176">
        <v>52</v>
      </c>
      <c r="Q176" t="s">
        <v>2855</v>
      </c>
      <c r="R176">
        <v>861</v>
      </c>
    </row>
    <row r="177" spans="1:18" x14ac:dyDescent="0.3">
      <c r="A177" t="s">
        <v>1951</v>
      </c>
      <c r="B177" s="45">
        <v>45584</v>
      </c>
      <c r="C177" t="s">
        <v>563</v>
      </c>
      <c r="D177" t="s">
        <v>127</v>
      </c>
      <c r="E177" t="s">
        <v>111</v>
      </c>
      <c r="F177">
        <v>3</v>
      </c>
      <c r="G177">
        <v>970</v>
      </c>
      <c r="H177">
        <v>20.3</v>
      </c>
      <c r="I177">
        <v>2319.27</v>
      </c>
      <c r="J177" t="s">
        <v>93</v>
      </c>
      <c r="K177" t="s">
        <v>88</v>
      </c>
      <c r="L177">
        <v>0</v>
      </c>
      <c r="M177" t="b">
        <v>1</v>
      </c>
      <c r="N177" t="s">
        <v>2806</v>
      </c>
      <c r="O177" t="s">
        <v>2515</v>
      </c>
      <c r="P177">
        <v>24</v>
      </c>
      <c r="Q177" t="s">
        <v>2879</v>
      </c>
      <c r="R177">
        <v>434</v>
      </c>
    </row>
    <row r="178" spans="1:18" x14ac:dyDescent="0.3">
      <c r="A178" t="s">
        <v>1948</v>
      </c>
      <c r="B178" s="45">
        <v>45618</v>
      </c>
      <c r="C178" t="s">
        <v>1062</v>
      </c>
      <c r="D178" t="s">
        <v>110</v>
      </c>
      <c r="E178" t="s">
        <v>229</v>
      </c>
      <c r="F178">
        <v>9</v>
      </c>
      <c r="G178">
        <v>370</v>
      </c>
      <c r="H178">
        <v>25.4</v>
      </c>
      <c r="I178">
        <v>2484.1799999999998</v>
      </c>
      <c r="J178" t="s">
        <v>87</v>
      </c>
      <c r="K178" t="s">
        <v>112</v>
      </c>
      <c r="L178">
        <v>0</v>
      </c>
      <c r="M178" t="b">
        <v>1</v>
      </c>
      <c r="N178" t="s">
        <v>2817</v>
      </c>
      <c r="O178" t="s">
        <v>2515</v>
      </c>
      <c r="P178">
        <v>54</v>
      </c>
      <c r="Q178" t="s">
        <v>2879</v>
      </c>
      <c r="R178">
        <v>288</v>
      </c>
    </row>
    <row r="179" spans="1:18" x14ac:dyDescent="0.3">
      <c r="A179" t="s">
        <v>488</v>
      </c>
      <c r="B179" s="45">
        <v>45633</v>
      </c>
      <c r="C179" t="s">
        <v>312</v>
      </c>
      <c r="D179" t="s">
        <v>143</v>
      </c>
      <c r="E179" t="s">
        <v>303</v>
      </c>
      <c r="F179">
        <v>10</v>
      </c>
      <c r="G179">
        <v>3250</v>
      </c>
      <c r="H179">
        <v>21</v>
      </c>
      <c r="I179">
        <v>25675</v>
      </c>
      <c r="J179" t="s">
        <v>140</v>
      </c>
      <c r="K179" t="s">
        <v>133</v>
      </c>
      <c r="L179">
        <v>0</v>
      </c>
      <c r="M179" t="b">
        <v>1</v>
      </c>
      <c r="N179" t="s">
        <v>2817</v>
      </c>
      <c r="O179" t="s">
        <v>2507</v>
      </c>
      <c r="P179">
        <v>46</v>
      </c>
      <c r="Q179" t="s">
        <v>2871</v>
      </c>
      <c r="R179">
        <v>1556</v>
      </c>
    </row>
    <row r="180" spans="1:18" x14ac:dyDescent="0.3">
      <c r="A180" t="s">
        <v>489</v>
      </c>
      <c r="B180" s="45">
        <v>45649</v>
      </c>
      <c r="C180" t="s">
        <v>490</v>
      </c>
      <c r="D180" t="s">
        <v>443</v>
      </c>
      <c r="E180" t="s">
        <v>128</v>
      </c>
      <c r="F180">
        <v>6</v>
      </c>
      <c r="G180">
        <v>5080</v>
      </c>
      <c r="H180">
        <v>16.8</v>
      </c>
      <c r="I180">
        <v>25359.360000000001</v>
      </c>
      <c r="J180" t="s">
        <v>93</v>
      </c>
      <c r="K180" t="s">
        <v>99</v>
      </c>
      <c r="L180">
        <v>0</v>
      </c>
      <c r="M180" t="b">
        <v>1</v>
      </c>
      <c r="N180" t="s">
        <v>2817</v>
      </c>
      <c r="O180" t="s">
        <v>2507</v>
      </c>
      <c r="P180">
        <v>59</v>
      </c>
      <c r="Q180" t="s">
        <v>2879</v>
      </c>
      <c r="R180">
        <v>2459</v>
      </c>
    </row>
    <row r="181" spans="1:18" x14ac:dyDescent="0.3">
      <c r="A181" t="s">
        <v>1940</v>
      </c>
      <c r="B181" s="45">
        <v>45645</v>
      </c>
      <c r="C181" t="s">
        <v>407</v>
      </c>
      <c r="D181" t="s">
        <v>295</v>
      </c>
      <c r="E181" t="s">
        <v>111</v>
      </c>
      <c r="F181">
        <v>9</v>
      </c>
      <c r="G181">
        <v>2030</v>
      </c>
      <c r="H181">
        <v>3.4</v>
      </c>
      <c r="I181">
        <v>17648.82</v>
      </c>
      <c r="J181" t="s">
        <v>87</v>
      </c>
      <c r="K181" t="s">
        <v>88</v>
      </c>
      <c r="L181">
        <v>0</v>
      </c>
      <c r="M181" t="b">
        <v>1</v>
      </c>
      <c r="N181" t="s">
        <v>2817</v>
      </c>
      <c r="O181" t="s">
        <v>2515</v>
      </c>
      <c r="P181">
        <v>53</v>
      </c>
      <c r="Q181" t="s">
        <v>2879</v>
      </c>
      <c r="R181">
        <v>1143</v>
      </c>
    </row>
    <row r="182" spans="1:18" x14ac:dyDescent="0.3">
      <c r="A182" t="s">
        <v>1939</v>
      </c>
      <c r="B182" s="45">
        <v>45598</v>
      </c>
      <c r="C182" t="s">
        <v>447</v>
      </c>
      <c r="D182" t="s">
        <v>380</v>
      </c>
      <c r="E182" t="s">
        <v>121</v>
      </c>
      <c r="F182">
        <v>7</v>
      </c>
      <c r="G182">
        <v>960</v>
      </c>
      <c r="H182">
        <v>28.8</v>
      </c>
      <c r="I182">
        <v>4784.6400000000003</v>
      </c>
      <c r="J182" t="s">
        <v>144</v>
      </c>
      <c r="K182" t="s">
        <v>112</v>
      </c>
      <c r="L182">
        <v>0</v>
      </c>
      <c r="M182" t="b">
        <v>1</v>
      </c>
      <c r="N182" t="s">
        <v>2828</v>
      </c>
      <c r="O182" t="s">
        <v>2507</v>
      </c>
      <c r="P182">
        <v>41</v>
      </c>
      <c r="Q182" t="s">
        <v>2871</v>
      </c>
      <c r="R182">
        <v>675</v>
      </c>
    </row>
    <row r="183" spans="1:18" x14ac:dyDescent="0.3">
      <c r="A183" t="s">
        <v>1936</v>
      </c>
      <c r="B183" s="45">
        <v>45639</v>
      </c>
      <c r="C183" t="s">
        <v>990</v>
      </c>
      <c r="D183" t="s">
        <v>91</v>
      </c>
      <c r="E183" t="s">
        <v>325</v>
      </c>
      <c r="F183">
        <v>2</v>
      </c>
      <c r="G183">
        <v>820</v>
      </c>
      <c r="H183">
        <v>13.2</v>
      </c>
      <c r="I183">
        <v>1423.52</v>
      </c>
      <c r="J183" t="s">
        <v>93</v>
      </c>
      <c r="K183" t="s">
        <v>117</v>
      </c>
      <c r="L183">
        <v>0</v>
      </c>
      <c r="M183" t="b">
        <v>1</v>
      </c>
      <c r="N183" t="s">
        <v>2795</v>
      </c>
      <c r="O183" t="s">
        <v>2507</v>
      </c>
      <c r="P183">
        <v>61</v>
      </c>
      <c r="Q183" t="s">
        <v>2862</v>
      </c>
      <c r="R183">
        <v>391</v>
      </c>
    </row>
    <row r="184" spans="1:18" x14ac:dyDescent="0.3">
      <c r="A184" t="s">
        <v>1926</v>
      </c>
      <c r="B184" s="45">
        <v>45598</v>
      </c>
      <c r="C184" t="s">
        <v>841</v>
      </c>
      <c r="D184" t="s">
        <v>659</v>
      </c>
      <c r="E184" t="s">
        <v>297</v>
      </c>
      <c r="F184">
        <v>5</v>
      </c>
      <c r="G184">
        <v>3560</v>
      </c>
      <c r="H184">
        <v>19.399999999999999</v>
      </c>
      <c r="I184">
        <v>14346.8</v>
      </c>
      <c r="J184" t="s">
        <v>93</v>
      </c>
      <c r="K184" t="s">
        <v>117</v>
      </c>
      <c r="L184">
        <v>0</v>
      </c>
      <c r="M184" t="b">
        <v>1</v>
      </c>
      <c r="N184" t="s">
        <v>2795</v>
      </c>
      <c r="O184" t="s">
        <v>2509</v>
      </c>
      <c r="P184">
        <v>41</v>
      </c>
      <c r="Q184" t="s">
        <v>2855</v>
      </c>
      <c r="R184">
        <v>2629</v>
      </c>
    </row>
    <row r="185" spans="1:18" x14ac:dyDescent="0.3">
      <c r="A185" t="s">
        <v>1924</v>
      </c>
      <c r="B185" s="45">
        <v>45605</v>
      </c>
      <c r="C185" t="s">
        <v>1925</v>
      </c>
      <c r="D185" t="s">
        <v>502</v>
      </c>
      <c r="E185" t="s">
        <v>204</v>
      </c>
      <c r="F185">
        <v>8</v>
      </c>
      <c r="G185">
        <v>1090</v>
      </c>
      <c r="H185">
        <v>21.7</v>
      </c>
      <c r="I185">
        <v>6827.76</v>
      </c>
      <c r="J185" t="s">
        <v>87</v>
      </c>
      <c r="K185" t="s">
        <v>88</v>
      </c>
      <c r="L185">
        <v>0</v>
      </c>
      <c r="M185" t="b">
        <v>1</v>
      </c>
      <c r="N185" t="s">
        <v>2817</v>
      </c>
      <c r="O185" t="e">
        <v>#N/A</v>
      </c>
      <c r="P185" t="e">
        <v>#N/A</v>
      </c>
      <c r="Q185" t="s">
        <v>2862</v>
      </c>
      <c r="R185">
        <v>464</v>
      </c>
    </row>
    <row r="186" spans="1:18" x14ac:dyDescent="0.3">
      <c r="A186" t="s">
        <v>1923</v>
      </c>
      <c r="B186" s="45">
        <v>45600</v>
      </c>
      <c r="C186" t="s">
        <v>405</v>
      </c>
      <c r="D186" t="s">
        <v>338</v>
      </c>
      <c r="E186" t="s">
        <v>154</v>
      </c>
      <c r="F186">
        <v>7</v>
      </c>
      <c r="G186">
        <v>2210</v>
      </c>
      <c r="H186">
        <v>10.3</v>
      </c>
      <c r="I186">
        <v>13876.59</v>
      </c>
      <c r="J186" t="s">
        <v>87</v>
      </c>
      <c r="K186" t="s">
        <v>94</v>
      </c>
      <c r="L186">
        <v>0</v>
      </c>
      <c r="M186" t="b">
        <v>1</v>
      </c>
      <c r="N186" t="s">
        <v>2806</v>
      </c>
      <c r="O186" t="s">
        <v>2509</v>
      </c>
      <c r="P186">
        <v>24</v>
      </c>
      <c r="Q186" t="s">
        <v>2871</v>
      </c>
      <c r="R186">
        <v>1010</v>
      </c>
    </row>
    <row r="187" spans="1:18" x14ac:dyDescent="0.3">
      <c r="A187" t="s">
        <v>1921</v>
      </c>
      <c r="B187" s="45">
        <v>45579</v>
      </c>
      <c r="C187" t="s">
        <v>968</v>
      </c>
      <c r="D187" t="s">
        <v>124</v>
      </c>
      <c r="E187" t="s">
        <v>303</v>
      </c>
      <c r="F187">
        <v>6</v>
      </c>
      <c r="G187">
        <v>5490</v>
      </c>
      <c r="H187">
        <v>0.5</v>
      </c>
      <c r="I187">
        <v>32775.300000000003</v>
      </c>
      <c r="J187" t="s">
        <v>93</v>
      </c>
      <c r="K187" t="s">
        <v>99</v>
      </c>
      <c r="L187">
        <v>0</v>
      </c>
      <c r="M187" t="b">
        <v>1</v>
      </c>
      <c r="N187" t="s">
        <v>2817</v>
      </c>
      <c r="O187" t="s">
        <v>2507</v>
      </c>
      <c r="P187">
        <v>47</v>
      </c>
      <c r="Q187" t="s">
        <v>2871</v>
      </c>
      <c r="R187">
        <v>2549</v>
      </c>
    </row>
    <row r="188" spans="1:18" x14ac:dyDescent="0.3">
      <c r="A188" t="s">
        <v>1918</v>
      </c>
      <c r="B188" s="45">
        <v>45616</v>
      </c>
      <c r="C188" t="s">
        <v>105</v>
      </c>
      <c r="D188" t="s">
        <v>195</v>
      </c>
      <c r="E188" t="s">
        <v>204</v>
      </c>
      <c r="F188">
        <v>2</v>
      </c>
      <c r="G188">
        <v>2860</v>
      </c>
      <c r="H188">
        <v>13.7</v>
      </c>
      <c r="I188">
        <v>4936.3599999999997</v>
      </c>
      <c r="J188" t="s">
        <v>87</v>
      </c>
      <c r="K188" t="s">
        <v>94</v>
      </c>
      <c r="L188">
        <v>0</v>
      </c>
      <c r="M188" t="b">
        <v>1</v>
      </c>
      <c r="N188" t="s">
        <v>2839</v>
      </c>
      <c r="O188" t="s">
        <v>2507</v>
      </c>
      <c r="P188">
        <v>36</v>
      </c>
      <c r="Q188" t="s">
        <v>2862</v>
      </c>
      <c r="R188">
        <v>2028</v>
      </c>
    </row>
    <row r="189" spans="1:18" x14ac:dyDescent="0.3">
      <c r="A189" t="s">
        <v>1915</v>
      </c>
      <c r="B189" s="45">
        <v>45631</v>
      </c>
      <c r="C189" t="s">
        <v>359</v>
      </c>
      <c r="D189" t="s">
        <v>351</v>
      </c>
      <c r="E189" t="s">
        <v>132</v>
      </c>
      <c r="F189">
        <v>5</v>
      </c>
      <c r="G189">
        <v>4060</v>
      </c>
      <c r="H189">
        <v>2.7</v>
      </c>
      <c r="I189">
        <v>19751.900000000001</v>
      </c>
      <c r="J189" t="s">
        <v>87</v>
      </c>
      <c r="K189" t="s">
        <v>99</v>
      </c>
      <c r="L189">
        <v>0</v>
      </c>
      <c r="M189" t="b">
        <v>1</v>
      </c>
      <c r="N189" t="s">
        <v>2806</v>
      </c>
      <c r="O189" t="s">
        <v>2515</v>
      </c>
      <c r="P189">
        <v>28</v>
      </c>
      <c r="Q189" t="s">
        <v>2862</v>
      </c>
      <c r="R189">
        <v>2911</v>
      </c>
    </row>
    <row r="190" spans="1:18" x14ac:dyDescent="0.3">
      <c r="A190" t="s">
        <v>1912</v>
      </c>
      <c r="B190" s="45">
        <v>45643</v>
      </c>
      <c r="C190" t="s">
        <v>539</v>
      </c>
      <c r="D190" t="s">
        <v>187</v>
      </c>
      <c r="E190" t="s">
        <v>238</v>
      </c>
      <c r="F190">
        <v>2</v>
      </c>
      <c r="G190">
        <v>3570</v>
      </c>
      <c r="H190">
        <v>9</v>
      </c>
      <c r="I190">
        <v>6497.4</v>
      </c>
      <c r="J190" t="s">
        <v>87</v>
      </c>
      <c r="K190" t="s">
        <v>133</v>
      </c>
      <c r="L190">
        <v>0</v>
      </c>
      <c r="M190" t="b">
        <v>1</v>
      </c>
      <c r="N190" t="s">
        <v>2784</v>
      </c>
      <c r="O190" t="s">
        <v>2507</v>
      </c>
      <c r="P190">
        <v>38</v>
      </c>
      <c r="Q190" t="s">
        <v>2871</v>
      </c>
      <c r="R190">
        <v>1665</v>
      </c>
    </row>
    <row r="191" spans="1:18" x14ac:dyDescent="0.3">
      <c r="A191" t="s">
        <v>1908</v>
      </c>
      <c r="B191" s="45">
        <v>45611</v>
      </c>
      <c r="C191" t="s">
        <v>353</v>
      </c>
      <c r="D191" t="s">
        <v>241</v>
      </c>
      <c r="E191" t="s">
        <v>170</v>
      </c>
      <c r="F191">
        <v>1</v>
      </c>
      <c r="G191">
        <v>6080</v>
      </c>
      <c r="H191">
        <v>4.4000000000000004</v>
      </c>
      <c r="I191">
        <v>5812.48</v>
      </c>
      <c r="J191" t="s">
        <v>140</v>
      </c>
      <c r="K191" t="s">
        <v>94</v>
      </c>
      <c r="L191">
        <v>0</v>
      </c>
      <c r="M191" t="b">
        <v>1</v>
      </c>
      <c r="N191" t="s">
        <v>2828</v>
      </c>
      <c r="O191" t="s">
        <v>2507</v>
      </c>
      <c r="P191">
        <v>60</v>
      </c>
      <c r="Q191" t="s">
        <v>2879</v>
      </c>
      <c r="R191">
        <v>2617</v>
      </c>
    </row>
    <row r="192" spans="1:18" x14ac:dyDescent="0.3">
      <c r="A192" t="s">
        <v>506</v>
      </c>
      <c r="B192" s="45">
        <v>45605</v>
      </c>
      <c r="C192" t="s">
        <v>507</v>
      </c>
      <c r="D192" t="s">
        <v>245</v>
      </c>
      <c r="E192" t="s">
        <v>92</v>
      </c>
      <c r="F192">
        <v>4</v>
      </c>
      <c r="G192">
        <v>2270</v>
      </c>
      <c r="H192">
        <v>29</v>
      </c>
      <c r="I192">
        <v>6446.8</v>
      </c>
      <c r="J192" t="s">
        <v>87</v>
      </c>
      <c r="K192" t="s">
        <v>88</v>
      </c>
      <c r="L192">
        <v>0</v>
      </c>
      <c r="M192" t="b">
        <v>1</v>
      </c>
      <c r="N192" t="s">
        <v>2806</v>
      </c>
      <c r="O192" t="s">
        <v>2507</v>
      </c>
      <c r="P192">
        <v>59</v>
      </c>
      <c r="Q192" t="s">
        <v>2855</v>
      </c>
      <c r="R192">
        <v>1412</v>
      </c>
    </row>
    <row r="193" spans="1:18" x14ac:dyDescent="0.3">
      <c r="A193" t="s">
        <v>1907</v>
      </c>
      <c r="B193" s="45">
        <v>45572</v>
      </c>
      <c r="C193" t="s">
        <v>420</v>
      </c>
      <c r="D193" t="s">
        <v>226</v>
      </c>
      <c r="E193" t="s">
        <v>158</v>
      </c>
      <c r="F193">
        <v>9</v>
      </c>
      <c r="G193">
        <v>3730</v>
      </c>
      <c r="H193">
        <v>24.5</v>
      </c>
      <c r="I193">
        <v>25345.35</v>
      </c>
      <c r="J193" t="s">
        <v>144</v>
      </c>
      <c r="K193" t="s">
        <v>99</v>
      </c>
      <c r="L193">
        <v>0</v>
      </c>
      <c r="M193" t="b">
        <v>1</v>
      </c>
      <c r="N193" t="s">
        <v>2817</v>
      </c>
      <c r="O193" t="s">
        <v>2507</v>
      </c>
      <c r="P193">
        <v>44</v>
      </c>
      <c r="Q193" t="s">
        <v>2871</v>
      </c>
      <c r="R193">
        <v>2135</v>
      </c>
    </row>
    <row r="194" spans="1:18" x14ac:dyDescent="0.3">
      <c r="A194" t="s">
        <v>1898</v>
      </c>
      <c r="B194" s="45">
        <v>45640</v>
      </c>
      <c r="C194" t="s">
        <v>546</v>
      </c>
      <c r="D194" t="s">
        <v>237</v>
      </c>
      <c r="E194" t="s">
        <v>98</v>
      </c>
      <c r="F194">
        <v>7</v>
      </c>
      <c r="G194">
        <v>3640</v>
      </c>
      <c r="H194">
        <v>4.5999999999999996</v>
      </c>
      <c r="I194">
        <v>24307.919999999998</v>
      </c>
      <c r="J194" t="s">
        <v>87</v>
      </c>
      <c r="K194" t="s">
        <v>99</v>
      </c>
      <c r="L194">
        <v>0</v>
      </c>
      <c r="M194" t="b">
        <v>1</v>
      </c>
      <c r="N194" t="s">
        <v>2795</v>
      </c>
      <c r="O194" t="s">
        <v>2515</v>
      </c>
      <c r="P194">
        <v>29</v>
      </c>
      <c r="Q194" t="s">
        <v>2862</v>
      </c>
      <c r="R194">
        <v>2611</v>
      </c>
    </row>
    <row r="195" spans="1:18" x14ac:dyDescent="0.3">
      <c r="A195" t="s">
        <v>511</v>
      </c>
      <c r="B195" s="45">
        <v>45573</v>
      </c>
      <c r="C195" t="s">
        <v>512</v>
      </c>
      <c r="D195" t="s">
        <v>245</v>
      </c>
      <c r="E195" t="s">
        <v>139</v>
      </c>
      <c r="F195">
        <v>8</v>
      </c>
      <c r="G195">
        <v>2270</v>
      </c>
      <c r="H195">
        <v>15.6</v>
      </c>
      <c r="I195">
        <v>15327.04</v>
      </c>
      <c r="J195" t="s">
        <v>87</v>
      </c>
      <c r="K195" t="s">
        <v>133</v>
      </c>
      <c r="L195">
        <v>0</v>
      </c>
      <c r="M195" t="b">
        <v>1</v>
      </c>
      <c r="N195" t="s">
        <v>2806</v>
      </c>
      <c r="O195" t="s">
        <v>2507</v>
      </c>
      <c r="P195">
        <v>61</v>
      </c>
      <c r="Q195" t="s">
        <v>2855</v>
      </c>
      <c r="R195">
        <v>1412</v>
      </c>
    </row>
    <row r="196" spans="1:18" x14ac:dyDescent="0.3">
      <c r="A196" t="s">
        <v>1896</v>
      </c>
      <c r="B196" s="45">
        <v>45648</v>
      </c>
      <c r="C196" t="s">
        <v>1065</v>
      </c>
      <c r="D196" t="s">
        <v>85</v>
      </c>
      <c r="E196" t="s">
        <v>139</v>
      </c>
      <c r="F196">
        <v>4</v>
      </c>
      <c r="G196">
        <v>3620</v>
      </c>
      <c r="H196">
        <v>8</v>
      </c>
      <c r="I196">
        <v>13321.6</v>
      </c>
      <c r="J196" t="s">
        <v>93</v>
      </c>
      <c r="K196" t="s">
        <v>94</v>
      </c>
      <c r="L196">
        <v>0</v>
      </c>
      <c r="M196" t="b">
        <v>1</v>
      </c>
      <c r="N196" t="s">
        <v>2795</v>
      </c>
      <c r="O196" t="s">
        <v>2507</v>
      </c>
      <c r="P196">
        <v>49</v>
      </c>
      <c r="Q196" t="s">
        <v>2855</v>
      </c>
      <c r="R196">
        <v>2509</v>
      </c>
    </row>
    <row r="197" spans="1:18" x14ac:dyDescent="0.3">
      <c r="A197" t="s">
        <v>514</v>
      </c>
      <c r="B197" s="45">
        <v>45617</v>
      </c>
      <c r="C197" t="s">
        <v>153</v>
      </c>
      <c r="D197" t="s">
        <v>515</v>
      </c>
      <c r="E197" t="s">
        <v>170</v>
      </c>
      <c r="F197">
        <v>7</v>
      </c>
      <c r="G197">
        <v>6940</v>
      </c>
      <c r="H197">
        <v>8.5</v>
      </c>
      <c r="I197">
        <v>44450.7</v>
      </c>
      <c r="J197" t="s">
        <v>87</v>
      </c>
      <c r="K197" t="s">
        <v>117</v>
      </c>
      <c r="L197">
        <v>0</v>
      </c>
      <c r="M197" t="b">
        <v>1</v>
      </c>
      <c r="N197" t="s">
        <v>2839</v>
      </c>
      <c r="O197" t="s">
        <v>2515</v>
      </c>
      <c r="P197">
        <v>46</v>
      </c>
      <c r="Q197" t="s">
        <v>2879</v>
      </c>
      <c r="R197">
        <v>2827</v>
      </c>
    </row>
    <row r="198" spans="1:18" x14ac:dyDescent="0.3">
      <c r="A198" t="s">
        <v>1891</v>
      </c>
      <c r="B198" s="45">
        <v>45614</v>
      </c>
      <c r="C198" t="s">
        <v>457</v>
      </c>
      <c r="D198" t="s">
        <v>106</v>
      </c>
      <c r="E198" t="s">
        <v>111</v>
      </c>
      <c r="F198">
        <v>10</v>
      </c>
      <c r="G198">
        <v>3160</v>
      </c>
      <c r="H198">
        <v>13.6</v>
      </c>
      <c r="I198">
        <v>27302.400000000001</v>
      </c>
      <c r="J198" t="s">
        <v>87</v>
      </c>
      <c r="K198" t="s">
        <v>88</v>
      </c>
      <c r="L198">
        <v>0</v>
      </c>
      <c r="M198" t="b">
        <v>1</v>
      </c>
      <c r="N198" t="s">
        <v>2795</v>
      </c>
      <c r="O198" t="s">
        <v>2507</v>
      </c>
      <c r="P198">
        <v>29</v>
      </c>
      <c r="Q198" t="s">
        <v>2879</v>
      </c>
      <c r="R198">
        <v>1886</v>
      </c>
    </row>
    <row r="199" spans="1:18" x14ac:dyDescent="0.3">
      <c r="A199" t="s">
        <v>1887</v>
      </c>
      <c r="B199" s="45">
        <v>45645</v>
      </c>
      <c r="C199" t="s">
        <v>570</v>
      </c>
      <c r="D199" t="s">
        <v>157</v>
      </c>
      <c r="E199" t="s">
        <v>170</v>
      </c>
      <c r="F199">
        <v>10</v>
      </c>
      <c r="G199">
        <v>3450</v>
      </c>
      <c r="H199">
        <v>26.5</v>
      </c>
      <c r="I199">
        <v>25357.5</v>
      </c>
      <c r="J199" t="s">
        <v>144</v>
      </c>
      <c r="K199" t="s">
        <v>99</v>
      </c>
      <c r="L199">
        <v>0</v>
      </c>
      <c r="M199" t="b">
        <v>1</v>
      </c>
      <c r="N199" t="s">
        <v>2828</v>
      </c>
      <c r="O199" t="s">
        <v>2509</v>
      </c>
      <c r="P199">
        <v>47</v>
      </c>
      <c r="Q199" t="s">
        <v>2879</v>
      </c>
      <c r="R199">
        <v>2420</v>
      </c>
    </row>
    <row r="200" spans="1:18" x14ac:dyDescent="0.3">
      <c r="A200" t="s">
        <v>1885</v>
      </c>
      <c r="B200" s="45">
        <v>45633</v>
      </c>
      <c r="C200" t="s">
        <v>206</v>
      </c>
      <c r="D200" t="s">
        <v>443</v>
      </c>
      <c r="E200" t="s">
        <v>116</v>
      </c>
      <c r="F200">
        <v>10</v>
      </c>
      <c r="G200">
        <v>5080</v>
      </c>
      <c r="H200">
        <v>2.1</v>
      </c>
      <c r="I200">
        <v>49733.2</v>
      </c>
      <c r="J200" t="s">
        <v>87</v>
      </c>
      <c r="K200" t="s">
        <v>133</v>
      </c>
      <c r="L200">
        <v>0</v>
      </c>
      <c r="M200" t="b">
        <v>1</v>
      </c>
      <c r="N200" t="s">
        <v>2817</v>
      </c>
      <c r="O200" t="s">
        <v>2515</v>
      </c>
      <c r="P200">
        <v>40</v>
      </c>
      <c r="Q200" t="s">
        <v>2879</v>
      </c>
      <c r="R200">
        <v>2459</v>
      </c>
    </row>
    <row r="201" spans="1:18" x14ac:dyDescent="0.3">
      <c r="A201" t="s">
        <v>1884</v>
      </c>
      <c r="B201" s="45">
        <v>45585</v>
      </c>
      <c r="C201" t="s">
        <v>301</v>
      </c>
      <c r="D201" t="s">
        <v>237</v>
      </c>
      <c r="E201" t="s">
        <v>303</v>
      </c>
      <c r="F201">
        <v>10</v>
      </c>
      <c r="G201">
        <v>3640</v>
      </c>
      <c r="H201">
        <v>20.100000000000001</v>
      </c>
      <c r="I201">
        <v>29083.599999999999</v>
      </c>
      <c r="J201" t="s">
        <v>87</v>
      </c>
      <c r="K201" t="s">
        <v>94</v>
      </c>
      <c r="L201">
        <v>0</v>
      </c>
      <c r="M201" t="b">
        <v>1</v>
      </c>
      <c r="N201" t="s">
        <v>2795</v>
      </c>
      <c r="O201" t="s">
        <v>2507</v>
      </c>
      <c r="P201">
        <v>41</v>
      </c>
      <c r="Q201" t="s">
        <v>2871</v>
      </c>
      <c r="R201">
        <v>2611</v>
      </c>
    </row>
    <row r="202" spans="1:18" x14ac:dyDescent="0.3">
      <c r="A202" t="s">
        <v>1882</v>
      </c>
      <c r="B202" s="45">
        <v>45620</v>
      </c>
      <c r="C202" t="s">
        <v>700</v>
      </c>
      <c r="D202" t="s">
        <v>386</v>
      </c>
      <c r="E202" t="s">
        <v>107</v>
      </c>
      <c r="F202">
        <v>4</v>
      </c>
      <c r="G202">
        <v>2290</v>
      </c>
      <c r="H202">
        <v>5.9</v>
      </c>
      <c r="I202">
        <v>8619.56</v>
      </c>
      <c r="J202" t="s">
        <v>87</v>
      </c>
      <c r="K202" t="s">
        <v>94</v>
      </c>
      <c r="L202">
        <v>0</v>
      </c>
      <c r="M202" t="b">
        <v>1</v>
      </c>
      <c r="N202" t="s">
        <v>2828</v>
      </c>
      <c r="O202" t="s">
        <v>2515</v>
      </c>
      <c r="P202">
        <v>46</v>
      </c>
      <c r="Q202" t="s">
        <v>2855</v>
      </c>
      <c r="R202">
        <v>1219</v>
      </c>
    </row>
    <row r="203" spans="1:18" x14ac:dyDescent="0.3">
      <c r="A203" t="s">
        <v>525</v>
      </c>
      <c r="B203" s="45">
        <v>45587</v>
      </c>
      <c r="C203" t="s">
        <v>385</v>
      </c>
      <c r="D203" t="s">
        <v>187</v>
      </c>
      <c r="E203" t="s">
        <v>148</v>
      </c>
      <c r="F203">
        <v>2</v>
      </c>
      <c r="G203">
        <v>3570</v>
      </c>
      <c r="H203">
        <v>11.6</v>
      </c>
      <c r="I203">
        <v>6311.76</v>
      </c>
      <c r="J203" t="s">
        <v>93</v>
      </c>
      <c r="K203" t="s">
        <v>117</v>
      </c>
      <c r="L203">
        <v>0</v>
      </c>
      <c r="M203" t="b">
        <v>1</v>
      </c>
      <c r="N203" t="s">
        <v>2784</v>
      </c>
      <c r="O203" t="s">
        <v>2507</v>
      </c>
      <c r="P203">
        <v>23</v>
      </c>
      <c r="Q203" t="s">
        <v>2855</v>
      </c>
      <c r="R203">
        <v>1665</v>
      </c>
    </row>
    <row r="204" spans="1:18" x14ac:dyDescent="0.3">
      <c r="A204" t="s">
        <v>1876</v>
      </c>
      <c r="B204" s="45">
        <v>45621</v>
      </c>
      <c r="C204" t="s">
        <v>595</v>
      </c>
      <c r="D204" t="s">
        <v>97</v>
      </c>
      <c r="E204" t="s">
        <v>86</v>
      </c>
      <c r="F204">
        <v>10</v>
      </c>
      <c r="G204">
        <v>470</v>
      </c>
      <c r="H204">
        <v>21.2</v>
      </c>
      <c r="I204">
        <v>3703.6</v>
      </c>
      <c r="J204" t="s">
        <v>87</v>
      </c>
      <c r="K204" t="s">
        <v>99</v>
      </c>
      <c r="L204">
        <v>0</v>
      </c>
      <c r="M204" t="b">
        <v>0</v>
      </c>
      <c r="N204" t="s">
        <v>2839</v>
      </c>
      <c r="O204" t="s">
        <v>2515</v>
      </c>
      <c r="P204">
        <v>48</v>
      </c>
      <c r="Q204" t="s">
        <v>2855</v>
      </c>
      <c r="R204">
        <v>302</v>
      </c>
    </row>
    <row r="205" spans="1:18" x14ac:dyDescent="0.3">
      <c r="A205" t="s">
        <v>1869</v>
      </c>
      <c r="B205" s="45">
        <v>45570</v>
      </c>
      <c r="C205" t="s">
        <v>617</v>
      </c>
      <c r="D205" t="s">
        <v>338</v>
      </c>
      <c r="E205" t="s">
        <v>98</v>
      </c>
      <c r="F205">
        <v>6</v>
      </c>
      <c r="G205">
        <v>2210</v>
      </c>
      <c r="H205">
        <v>7.4</v>
      </c>
      <c r="I205">
        <v>12278.76</v>
      </c>
      <c r="J205" t="s">
        <v>87</v>
      </c>
      <c r="K205" t="s">
        <v>112</v>
      </c>
      <c r="L205">
        <v>0</v>
      </c>
      <c r="M205" t="b">
        <v>1</v>
      </c>
      <c r="N205" t="s">
        <v>2806</v>
      </c>
      <c r="O205" t="s">
        <v>2515</v>
      </c>
      <c r="P205">
        <v>65</v>
      </c>
      <c r="Q205" t="s">
        <v>2862</v>
      </c>
      <c r="R205">
        <v>1010</v>
      </c>
    </row>
    <row r="206" spans="1:18" x14ac:dyDescent="0.3">
      <c r="A206" t="s">
        <v>1864</v>
      </c>
      <c r="B206" s="45">
        <v>45581</v>
      </c>
      <c r="C206" t="s">
        <v>816</v>
      </c>
      <c r="D206" t="s">
        <v>295</v>
      </c>
      <c r="E206" t="s">
        <v>121</v>
      </c>
      <c r="F206">
        <v>10</v>
      </c>
      <c r="G206">
        <v>2030</v>
      </c>
      <c r="H206">
        <v>25</v>
      </c>
      <c r="I206">
        <v>15225</v>
      </c>
      <c r="J206" t="s">
        <v>87</v>
      </c>
      <c r="K206" t="s">
        <v>88</v>
      </c>
      <c r="L206">
        <v>0</v>
      </c>
      <c r="M206" t="b">
        <v>1</v>
      </c>
      <c r="N206" t="s">
        <v>2817</v>
      </c>
      <c r="O206" t="s">
        <v>2507</v>
      </c>
      <c r="P206">
        <v>36</v>
      </c>
      <c r="Q206" t="s">
        <v>2871</v>
      </c>
      <c r="R206">
        <v>1143</v>
      </c>
    </row>
    <row r="207" spans="1:18" x14ac:dyDescent="0.3">
      <c r="A207" t="s">
        <v>1863</v>
      </c>
      <c r="B207" s="45">
        <v>45578</v>
      </c>
      <c r="C207" t="s">
        <v>905</v>
      </c>
      <c r="D207" t="s">
        <v>131</v>
      </c>
      <c r="E207" t="s">
        <v>139</v>
      </c>
      <c r="F207">
        <v>6</v>
      </c>
      <c r="G207">
        <v>2270</v>
      </c>
      <c r="H207">
        <v>20.9</v>
      </c>
      <c r="I207">
        <v>10773.42</v>
      </c>
      <c r="J207" t="s">
        <v>93</v>
      </c>
      <c r="K207" t="s">
        <v>112</v>
      </c>
      <c r="L207">
        <v>0</v>
      </c>
      <c r="M207" t="b">
        <v>1</v>
      </c>
      <c r="N207" t="s">
        <v>2806</v>
      </c>
      <c r="O207" t="s">
        <v>2515</v>
      </c>
      <c r="P207">
        <v>43</v>
      </c>
      <c r="Q207" t="s">
        <v>2855</v>
      </c>
      <c r="R207">
        <v>1203</v>
      </c>
    </row>
    <row r="208" spans="1:18" x14ac:dyDescent="0.3">
      <c r="A208" t="s">
        <v>532</v>
      </c>
      <c r="B208" s="45">
        <v>45591</v>
      </c>
      <c r="C208" t="s">
        <v>533</v>
      </c>
      <c r="D208" t="s">
        <v>179</v>
      </c>
      <c r="E208" t="s">
        <v>204</v>
      </c>
      <c r="F208">
        <v>6</v>
      </c>
      <c r="G208">
        <v>3350</v>
      </c>
      <c r="H208">
        <v>17.899999999999999</v>
      </c>
      <c r="I208">
        <v>16502.099999999999</v>
      </c>
      <c r="J208" t="s">
        <v>87</v>
      </c>
      <c r="K208" t="s">
        <v>99</v>
      </c>
      <c r="L208">
        <v>0</v>
      </c>
      <c r="M208" t="b">
        <v>1</v>
      </c>
      <c r="N208" t="s">
        <v>2828</v>
      </c>
      <c r="O208" t="s">
        <v>2515</v>
      </c>
      <c r="P208">
        <v>48</v>
      </c>
      <c r="Q208" t="s">
        <v>2862</v>
      </c>
      <c r="R208">
        <v>1728</v>
      </c>
    </row>
    <row r="209" spans="1:18" x14ac:dyDescent="0.3">
      <c r="A209" t="s">
        <v>1840</v>
      </c>
      <c r="B209" s="45">
        <v>45644</v>
      </c>
      <c r="C209" t="s">
        <v>225</v>
      </c>
      <c r="D209" t="s">
        <v>110</v>
      </c>
      <c r="E209" t="s">
        <v>116</v>
      </c>
      <c r="F209">
        <v>10</v>
      </c>
      <c r="G209">
        <v>370</v>
      </c>
      <c r="H209">
        <v>16.399999999999999</v>
      </c>
      <c r="I209">
        <v>3093.2</v>
      </c>
      <c r="J209" t="s">
        <v>140</v>
      </c>
      <c r="K209" t="s">
        <v>94</v>
      </c>
      <c r="L209">
        <v>0</v>
      </c>
      <c r="M209" t="b">
        <v>1</v>
      </c>
      <c r="N209" t="s">
        <v>2817</v>
      </c>
      <c r="O209" t="s">
        <v>2507</v>
      </c>
      <c r="P209">
        <v>37</v>
      </c>
      <c r="Q209" t="s">
        <v>2879</v>
      </c>
      <c r="R209">
        <v>288</v>
      </c>
    </row>
    <row r="210" spans="1:18" x14ac:dyDescent="0.3">
      <c r="A210" t="s">
        <v>1830</v>
      </c>
      <c r="B210" s="45">
        <v>45643</v>
      </c>
      <c r="C210" t="s">
        <v>236</v>
      </c>
      <c r="D210" t="s">
        <v>184</v>
      </c>
      <c r="E210" t="s">
        <v>229</v>
      </c>
      <c r="F210">
        <v>6</v>
      </c>
      <c r="G210">
        <v>4880</v>
      </c>
      <c r="H210">
        <v>12.6</v>
      </c>
      <c r="I210">
        <v>25590.720000000001</v>
      </c>
      <c r="J210" t="s">
        <v>140</v>
      </c>
      <c r="K210" t="s">
        <v>133</v>
      </c>
      <c r="L210">
        <v>0</v>
      </c>
      <c r="M210" t="b">
        <v>1</v>
      </c>
      <c r="N210" t="s">
        <v>2828</v>
      </c>
      <c r="O210" t="s">
        <v>2507</v>
      </c>
      <c r="P210">
        <v>64</v>
      </c>
      <c r="Q210" t="s">
        <v>2879</v>
      </c>
      <c r="R210">
        <v>2768</v>
      </c>
    </row>
    <row r="211" spans="1:18" x14ac:dyDescent="0.3">
      <c r="A211" t="s">
        <v>536</v>
      </c>
      <c r="B211" s="45">
        <v>45572</v>
      </c>
      <c r="C211" t="s">
        <v>537</v>
      </c>
      <c r="D211" t="s">
        <v>248</v>
      </c>
      <c r="E211" t="s">
        <v>188</v>
      </c>
      <c r="F211">
        <v>1</v>
      </c>
      <c r="G211">
        <v>3870</v>
      </c>
      <c r="H211">
        <v>23.5</v>
      </c>
      <c r="I211">
        <v>2960.55</v>
      </c>
      <c r="J211" t="s">
        <v>93</v>
      </c>
      <c r="K211" t="s">
        <v>133</v>
      </c>
      <c r="L211">
        <v>0</v>
      </c>
      <c r="M211" t="b">
        <v>1</v>
      </c>
      <c r="N211" t="s">
        <v>2784</v>
      </c>
      <c r="O211" t="s">
        <v>2515</v>
      </c>
      <c r="P211">
        <v>48</v>
      </c>
      <c r="Q211" t="s">
        <v>2862</v>
      </c>
      <c r="R211">
        <v>1559</v>
      </c>
    </row>
    <row r="212" spans="1:18" x14ac:dyDescent="0.3">
      <c r="A212" t="s">
        <v>538</v>
      </c>
      <c r="B212" s="45">
        <v>45637</v>
      </c>
      <c r="C212" t="s">
        <v>539</v>
      </c>
      <c r="D212" t="s">
        <v>226</v>
      </c>
      <c r="E212" t="s">
        <v>325</v>
      </c>
      <c r="F212">
        <v>3</v>
      </c>
      <c r="G212">
        <v>3730</v>
      </c>
      <c r="H212">
        <v>0.7</v>
      </c>
      <c r="I212">
        <v>11111.67</v>
      </c>
      <c r="J212" t="s">
        <v>93</v>
      </c>
      <c r="K212" t="s">
        <v>133</v>
      </c>
      <c r="L212">
        <v>0</v>
      </c>
      <c r="M212" t="b">
        <v>1</v>
      </c>
      <c r="N212" t="s">
        <v>2817</v>
      </c>
      <c r="O212" t="s">
        <v>2507</v>
      </c>
      <c r="P212">
        <v>38</v>
      </c>
      <c r="Q212" t="s">
        <v>2862</v>
      </c>
      <c r="R212">
        <v>2135</v>
      </c>
    </row>
    <row r="213" spans="1:18" x14ac:dyDescent="0.3">
      <c r="A213" t="s">
        <v>1829</v>
      </c>
      <c r="B213" s="45">
        <v>45566</v>
      </c>
      <c r="C213" t="s">
        <v>717</v>
      </c>
      <c r="D213" t="s">
        <v>237</v>
      </c>
      <c r="E213" t="s">
        <v>303</v>
      </c>
      <c r="F213">
        <v>7</v>
      </c>
      <c r="G213">
        <v>3640</v>
      </c>
      <c r="H213">
        <v>25.5</v>
      </c>
      <c r="I213">
        <v>18982.599999999999</v>
      </c>
      <c r="J213" t="s">
        <v>87</v>
      </c>
      <c r="K213" t="s">
        <v>94</v>
      </c>
      <c r="L213">
        <v>0</v>
      </c>
      <c r="M213" t="b">
        <v>1</v>
      </c>
      <c r="N213" t="s">
        <v>2795</v>
      </c>
      <c r="O213" t="s">
        <v>2507</v>
      </c>
      <c r="P213">
        <v>24</v>
      </c>
      <c r="Q213" t="s">
        <v>2871</v>
      </c>
      <c r="R213">
        <v>2611</v>
      </c>
    </row>
    <row r="214" spans="1:18" x14ac:dyDescent="0.3">
      <c r="A214" t="s">
        <v>1824</v>
      </c>
      <c r="B214" s="45">
        <v>45626</v>
      </c>
      <c r="C214" t="s">
        <v>613</v>
      </c>
      <c r="D214" t="s">
        <v>515</v>
      </c>
      <c r="E214" t="s">
        <v>98</v>
      </c>
      <c r="F214">
        <v>5</v>
      </c>
      <c r="G214">
        <v>6940</v>
      </c>
      <c r="H214">
        <v>2.9</v>
      </c>
      <c r="I214">
        <v>33693.699999999997</v>
      </c>
      <c r="J214" t="s">
        <v>87</v>
      </c>
      <c r="K214" t="s">
        <v>112</v>
      </c>
      <c r="L214">
        <v>0</v>
      </c>
      <c r="M214" t="b">
        <v>1</v>
      </c>
      <c r="N214" t="s">
        <v>2839</v>
      </c>
      <c r="O214" t="s">
        <v>2507</v>
      </c>
      <c r="P214">
        <v>44</v>
      </c>
      <c r="Q214" t="s">
        <v>2862</v>
      </c>
      <c r="R214">
        <v>2827</v>
      </c>
    </row>
    <row r="215" spans="1:18" x14ac:dyDescent="0.3">
      <c r="A215" t="s">
        <v>1819</v>
      </c>
      <c r="B215" s="45">
        <v>45600</v>
      </c>
      <c r="C215" t="s">
        <v>797</v>
      </c>
      <c r="D215" t="s">
        <v>443</v>
      </c>
      <c r="E215" t="s">
        <v>343</v>
      </c>
      <c r="F215">
        <v>2</v>
      </c>
      <c r="G215">
        <v>5080</v>
      </c>
      <c r="H215">
        <v>16.8</v>
      </c>
      <c r="I215">
        <v>8453.1200000000008</v>
      </c>
      <c r="J215" t="s">
        <v>87</v>
      </c>
      <c r="K215" t="s">
        <v>99</v>
      </c>
      <c r="L215">
        <v>0</v>
      </c>
      <c r="M215" t="b">
        <v>1</v>
      </c>
      <c r="N215" t="s">
        <v>2817</v>
      </c>
      <c r="O215" t="s">
        <v>2507</v>
      </c>
      <c r="P215">
        <v>63</v>
      </c>
      <c r="Q215" t="s">
        <v>2879</v>
      </c>
      <c r="R215">
        <v>2459</v>
      </c>
    </row>
    <row r="216" spans="1:18" x14ac:dyDescent="0.3">
      <c r="A216" t="s">
        <v>545</v>
      </c>
      <c r="B216" s="45">
        <v>45656</v>
      </c>
      <c r="C216" t="s">
        <v>546</v>
      </c>
      <c r="D216" t="s">
        <v>85</v>
      </c>
      <c r="E216" t="s">
        <v>170</v>
      </c>
      <c r="F216">
        <v>2</v>
      </c>
      <c r="G216">
        <v>3620</v>
      </c>
      <c r="H216">
        <v>1.1000000000000001</v>
      </c>
      <c r="I216">
        <v>7160.36</v>
      </c>
      <c r="J216" t="s">
        <v>93</v>
      </c>
      <c r="K216" t="s">
        <v>99</v>
      </c>
      <c r="L216">
        <v>0</v>
      </c>
      <c r="M216" t="b">
        <v>1</v>
      </c>
      <c r="N216" t="s">
        <v>2795</v>
      </c>
      <c r="O216" t="s">
        <v>2515</v>
      </c>
      <c r="P216">
        <v>29</v>
      </c>
      <c r="Q216" t="s">
        <v>2879</v>
      </c>
      <c r="R216">
        <v>2509</v>
      </c>
    </row>
    <row r="217" spans="1:18" x14ac:dyDescent="0.3">
      <c r="A217" t="s">
        <v>547</v>
      </c>
      <c r="B217" s="45">
        <v>45573</v>
      </c>
      <c r="C217" t="s">
        <v>291</v>
      </c>
      <c r="D217" t="s">
        <v>408</v>
      </c>
      <c r="E217" t="s">
        <v>107</v>
      </c>
      <c r="F217">
        <v>8</v>
      </c>
      <c r="G217">
        <v>3970</v>
      </c>
      <c r="H217">
        <v>18.100000000000001</v>
      </c>
      <c r="I217">
        <v>26011.439999999999</v>
      </c>
      <c r="J217" t="s">
        <v>87</v>
      </c>
      <c r="K217" t="s">
        <v>99</v>
      </c>
      <c r="L217">
        <v>0</v>
      </c>
      <c r="M217" t="b">
        <v>1</v>
      </c>
      <c r="N217" t="s">
        <v>2784</v>
      </c>
      <c r="O217" t="s">
        <v>2507</v>
      </c>
      <c r="P217">
        <v>35</v>
      </c>
      <c r="Q217" t="s">
        <v>2855</v>
      </c>
      <c r="R217">
        <v>2865</v>
      </c>
    </row>
    <row r="218" spans="1:18" x14ac:dyDescent="0.3">
      <c r="A218" t="s">
        <v>1803</v>
      </c>
      <c r="B218" s="45">
        <v>45634</v>
      </c>
      <c r="C218" t="s">
        <v>194</v>
      </c>
      <c r="D218" t="s">
        <v>386</v>
      </c>
      <c r="E218" t="s">
        <v>86</v>
      </c>
      <c r="F218">
        <v>10</v>
      </c>
      <c r="G218">
        <v>2290</v>
      </c>
      <c r="H218">
        <v>27.7</v>
      </c>
      <c r="I218">
        <v>16556.7</v>
      </c>
      <c r="J218" t="s">
        <v>87</v>
      </c>
      <c r="K218" t="s">
        <v>88</v>
      </c>
      <c r="L218">
        <v>0</v>
      </c>
      <c r="M218" t="b">
        <v>1</v>
      </c>
      <c r="N218" t="s">
        <v>2828</v>
      </c>
      <c r="O218" t="s">
        <v>2515</v>
      </c>
      <c r="P218">
        <v>44</v>
      </c>
      <c r="Q218" t="s">
        <v>2855</v>
      </c>
      <c r="R218">
        <v>1219</v>
      </c>
    </row>
    <row r="219" spans="1:18" x14ac:dyDescent="0.3">
      <c r="A219" t="s">
        <v>549</v>
      </c>
      <c r="B219" s="45">
        <v>45639</v>
      </c>
      <c r="C219" t="s">
        <v>266</v>
      </c>
      <c r="D219" t="s">
        <v>234</v>
      </c>
      <c r="E219" t="s">
        <v>252</v>
      </c>
      <c r="F219">
        <v>1</v>
      </c>
      <c r="G219">
        <v>3780</v>
      </c>
      <c r="H219">
        <v>22.6</v>
      </c>
      <c r="I219">
        <v>2925.72</v>
      </c>
      <c r="J219" t="s">
        <v>87</v>
      </c>
      <c r="K219" t="s">
        <v>99</v>
      </c>
      <c r="L219">
        <v>0</v>
      </c>
      <c r="M219" t="b">
        <v>1</v>
      </c>
      <c r="N219" t="s">
        <v>2806</v>
      </c>
      <c r="O219" t="s">
        <v>2509</v>
      </c>
      <c r="P219">
        <v>55</v>
      </c>
      <c r="Q219" t="s">
        <v>2862</v>
      </c>
      <c r="R219">
        <v>2436</v>
      </c>
    </row>
    <row r="220" spans="1:18" x14ac:dyDescent="0.3">
      <c r="A220" t="s">
        <v>550</v>
      </c>
      <c r="B220" s="45">
        <v>45653</v>
      </c>
      <c r="C220" t="s">
        <v>551</v>
      </c>
      <c r="D220" t="s">
        <v>264</v>
      </c>
      <c r="E220" t="s">
        <v>285</v>
      </c>
      <c r="F220">
        <v>9</v>
      </c>
      <c r="G220">
        <v>4070</v>
      </c>
      <c r="H220">
        <v>28.2</v>
      </c>
      <c r="I220">
        <v>26300.34</v>
      </c>
      <c r="J220" t="s">
        <v>87</v>
      </c>
      <c r="K220" t="s">
        <v>112</v>
      </c>
      <c r="L220">
        <v>0</v>
      </c>
      <c r="M220" t="b">
        <v>1</v>
      </c>
      <c r="N220" t="s">
        <v>2806</v>
      </c>
      <c r="O220" t="s">
        <v>2509</v>
      </c>
      <c r="P220">
        <v>60</v>
      </c>
      <c r="Q220" t="s">
        <v>2871</v>
      </c>
      <c r="R220">
        <v>2027</v>
      </c>
    </row>
    <row r="221" spans="1:18" x14ac:dyDescent="0.3">
      <c r="A221" t="s">
        <v>1798</v>
      </c>
      <c r="B221" s="45">
        <v>45647</v>
      </c>
      <c r="C221" t="s">
        <v>720</v>
      </c>
      <c r="D221" t="s">
        <v>267</v>
      </c>
      <c r="E221" t="s">
        <v>148</v>
      </c>
      <c r="F221">
        <v>1</v>
      </c>
      <c r="G221">
        <v>1220</v>
      </c>
      <c r="H221">
        <v>15.2</v>
      </c>
      <c r="I221">
        <v>1034.56</v>
      </c>
      <c r="J221" t="s">
        <v>87</v>
      </c>
      <c r="K221" t="s">
        <v>88</v>
      </c>
      <c r="L221">
        <v>0</v>
      </c>
      <c r="M221" t="b">
        <v>1</v>
      </c>
      <c r="N221" t="s">
        <v>2784</v>
      </c>
      <c r="O221" t="s">
        <v>2507</v>
      </c>
      <c r="P221">
        <v>48</v>
      </c>
      <c r="Q221" t="s">
        <v>2855</v>
      </c>
      <c r="R221">
        <v>517</v>
      </c>
    </row>
    <row r="222" spans="1:18" x14ac:dyDescent="0.3">
      <c r="A222" t="s">
        <v>1795</v>
      </c>
      <c r="B222" s="45">
        <v>45587</v>
      </c>
      <c r="C222" t="s">
        <v>163</v>
      </c>
      <c r="D222" t="s">
        <v>452</v>
      </c>
      <c r="E222" t="s">
        <v>121</v>
      </c>
      <c r="F222">
        <v>7</v>
      </c>
      <c r="G222">
        <v>3450</v>
      </c>
      <c r="H222">
        <v>29.3</v>
      </c>
      <c r="I222">
        <v>17074.05</v>
      </c>
      <c r="J222" t="s">
        <v>87</v>
      </c>
      <c r="K222" t="s">
        <v>94</v>
      </c>
      <c r="L222">
        <v>0</v>
      </c>
      <c r="M222" t="b">
        <v>1</v>
      </c>
      <c r="N222" t="s">
        <v>2795</v>
      </c>
      <c r="O222" t="s">
        <v>2507</v>
      </c>
      <c r="P222">
        <v>49</v>
      </c>
      <c r="Q222" t="s">
        <v>2871</v>
      </c>
      <c r="R222">
        <v>1748</v>
      </c>
    </row>
    <row r="223" spans="1:18" x14ac:dyDescent="0.3">
      <c r="A223" t="s">
        <v>1793</v>
      </c>
      <c r="B223" s="45">
        <v>45650</v>
      </c>
      <c r="C223" t="s">
        <v>1104</v>
      </c>
      <c r="D223" t="s">
        <v>364</v>
      </c>
      <c r="E223" t="s">
        <v>121</v>
      </c>
      <c r="F223">
        <v>7</v>
      </c>
      <c r="G223">
        <v>5330</v>
      </c>
      <c r="H223">
        <v>8.1999999999999993</v>
      </c>
      <c r="I223">
        <v>34250.58</v>
      </c>
      <c r="J223" t="s">
        <v>87</v>
      </c>
      <c r="K223" t="s">
        <v>117</v>
      </c>
      <c r="L223">
        <v>0</v>
      </c>
      <c r="M223" t="b">
        <v>1</v>
      </c>
      <c r="N223" t="s">
        <v>2784</v>
      </c>
      <c r="O223" t="s">
        <v>2509</v>
      </c>
      <c r="P223">
        <v>31</v>
      </c>
      <c r="Q223" t="s">
        <v>2871</v>
      </c>
      <c r="R223">
        <v>2405</v>
      </c>
    </row>
    <row r="224" spans="1:18" x14ac:dyDescent="0.3">
      <c r="A224" t="s">
        <v>1789</v>
      </c>
      <c r="B224" s="45">
        <v>45588</v>
      </c>
      <c r="C224" t="s">
        <v>197</v>
      </c>
      <c r="D224" t="s">
        <v>85</v>
      </c>
      <c r="E224" t="s">
        <v>188</v>
      </c>
      <c r="F224">
        <v>8</v>
      </c>
      <c r="G224">
        <v>3620</v>
      </c>
      <c r="H224">
        <v>1.4</v>
      </c>
      <c r="I224">
        <v>28554.560000000001</v>
      </c>
      <c r="J224" t="s">
        <v>87</v>
      </c>
      <c r="K224" t="s">
        <v>88</v>
      </c>
      <c r="L224">
        <v>0</v>
      </c>
      <c r="M224" t="b">
        <v>1</v>
      </c>
      <c r="N224" t="s">
        <v>2795</v>
      </c>
      <c r="O224" t="s">
        <v>2509</v>
      </c>
      <c r="P224">
        <v>47</v>
      </c>
      <c r="Q224" t="s">
        <v>2862</v>
      </c>
      <c r="R224">
        <v>2509</v>
      </c>
    </row>
    <row r="225" spans="1:18" x14ac:dyDescent="0.3">
      <c r="A225" t="s">
        <v>560</v>
      </c>
      <c r="B225" s="45">
        <v>45608</v>
      </c>
      <c r="C225" t="s">
        <v>561</v>
      </c>
      <c r="D225" t="s">
        <v>191</v>
      </c>
      <c r="E225" t="s">
        <v>86</v>
      </c>
      <c r="F225">
        <v>6</v>
      </c>
      <c r="G225">
        <v>5100</v>
      </c>
      <c r="H225">
        <v>1.2</v>
      </c>
      <c r="I225">
        <v>30232.799999999999</v>
      </c>
      <c r="J225" t="s">
        <v>87</v>
      </c>
      <c r="K225" t="s">
        <v>133</v>
      </c>
      <c r="L225">
        <v>0</v>
      </c>
      <c r="M225" t="b">
        <v>1</v>
      </c>
      <c r="N225" t="s">
        <v>2828</v>
      </c>
      <c r="O225" t="s">
        <v>2515</v>
      </c>
      <c r="P225">
        <v>43</v>
      </c>
      <c r="Q225" t="s">
        <v>2855</v>
      </c>
      <c r="R225">
        <v>2237</v>
      </c>
    </row>
    <row r="226" spans="1:18" x14ac:dyDescent="0.3">
      <c r="A226" t="s">
        <v>562</v>
      </c>
      <c r="B226" s="45">
        <v>45614</v>
      </c>
      <c r="C226" t="s">
        <v>563</v>
      </c>
      <c r="D226" t="s">
        <v>282</v>
      </c>
      <c r="E226" t="s">
        <v>92</v>
      </c>
      <c r="F226">
        <v>9</v>
      </c>
      <c r="G226">
        <v>300</v>
      </c>
      <c r="H226">
        <v>25.4</v>
      </c>
      <c r="I226">
        <v>2014.2</v>
      </c>
      <c r="J226" t="s">
        <v>140</v>
      </c>
      <c r="K226" t="s">
        <v>88</v>
      </c>
      <c r="L226">
        <v>0</v>
      </c>
      <c r="M226" t="b">
        <v>1</v>
      </c>
      <c r="N226" t="s">
        <v>2784</v>
      </c>
      <c r="O226" t="s">
        <v>2515</v>
      </c>
      <c r="P226">
        <v>24</v>
      </c>
      <c r="Q226" t="s">
        <v>2855</v>
      </c>
      <c r="R226">
        <v>128</v>
      </c>
    </row>
    <row r="227" spans="1:18" x14ac:dyDescent="0.3">
      <c r="A227" t="s">
        <v>1785</v>
      </c>
      <c r="B227" s="45">
        <v>45636</v>
      </c>
      <c r="C227" t="s">
        <v>1350</v>
      </c>
      <c r="D227" t="s">
        <v>386</v>
      </c>
      <c r="E227" t="s">
        <v>132</v>
      </c>
      <c r="F227">
        <v>9</v>
      </c>
      <c r="G227">
        <v>2290</v>
      </c>
      <c r="H227">
        <v>28.8</v>
      </c>
      <c r="I227">
        <v>14674.32</v>
      </c>
      <c r="J227" t="s">
        <v>87</v>
      </c>
      <c r="K227" t="s">
        <v>112</v>
      </c>
      <c r="L227">
        <v>0</v>
      </c>
      <c r="M227" t="b">
        <v>1</v>
      </c>
      <c r="N227" t="s">
        <v>2828</v>
      </c>
      <c r="O227" t="s">
        <v>2507</v>
      </c>
      <c r="P227">
        <v>38</v>
      </c>
      <c r="Q227" t="s">
        <v>2862</v>
      </c>
      <c r="R227">
        <v>1219</v>
      </c>
    </row>
    <row r="228" spans="1:18" x14ac:dyDescent="0.3">
      <c r="A228" t="s">
        <v>1779</v>
      </c>
      <c r="B228" s="45">
        <v>45644</v>
      </c>
      <c r="C228" t="s">
        <v>1006</v>
      </c>
      <c r="D228" t="s">
        <v>270</v>
      </c>
      <c r="E228" t="s">
        <v>139</v>
      </c>
      <c r="F228">
        <v>3</v>
      </c>
      <c r="G228">
        <v>4610</v>
      </c>
      <c r="H228">
        <v>29.6</v>
      </c>
      <c r="I228">
        <v>9736.32</v>
      </c>
      <c r="J228" t="s">
        <v>87</v>
      </c>
      <c r="K228" t="s">
        <v>117</v>
      </c>
      <c r="L228">
        <v>0</v>
      </c>
      <c r="M228" t="b">
        <v>1</v>
      </c>
      <c r="N228" t="s">
        <v>2817</v>
      </c>
      <c r="O228" t="s">
        <v>2515</v>
      </c>
      <c r="P228">
        <v>44</v>
      </c>
      <c r="Q228" t="s">
        <v>2855</v>
      </c>
      <c r="R228">
        <v>1850</v>
      </c>
    </row>
    <row r="229" spans="1:18" x14ac:dyDescent="0.3">
      <c r="A229" t="s">
        <v>1775</v>
      </c>
      <c r="B229" s="45">
        <v>45584</v>
      </c>
      <c r="C229" t="s">
        <v>595</v>
      </c>
      <c r="D229" t="s">
        <v>147</v>
      </c>
      <c r="E229" t="s">
        <v>303</v>
      </c>
      <c r="F229">
        <v>6</v>
      </c>
      <c r="G229">
        <v>190</v>
      </c>
      <c r="H229">
        <v>12.9</v>
      </c>
      <c r="I229">
        <v>992.94</v>
      </c>
      <c r="J229" t="s">
        <v>87</v>
      </c>
      <c r="K229" t="s">
        <v>99</v>
      </c>
      <c r="L229">
        <v>0</v>
      </c>
      <c r="M229" t="b">
        <v>1</v>
      </c>
      <c r="N229" t="s">
        <v>2839</v>
      </c>
      <c r="O229" t="s">
        <v>2515</v>
      </c>
      <c r="P229">
        <v>48</v>
      </c>
      <c r="Q229" t="s">
        <v>2871</v>
      </c>
      <c r="R229">
        <v>147</v>
      </c>
    </row>
    <row r="230" spans="1:18" x14ac:dyDescent="0.3">
      <c r="A230" t="s">
        <v>1770</v>
      </c>
      <c r="B230" s="45">
        <v>45608</v>
      </c>
      <c r="C230" t="s">
        <v>970</v>
      </c>
      <c r="D230" t="s">
        <v>380</v>
      </c>
      <c r="E230" t="s">
        <v>86</v>
      </c>
      <c r="F230">
        <v>10</v>
      </c>
      <c r="G230">
        <v>960</v>
      </c>
      <c r="H230">
        <v>9.6999999999999993</v>
      </c>
      <c r="I230">
        <v>8668.7999999999993</v>
      </c>
      <c r="J230" t="s">
        <v>87</v>
      </c>
      <c r="K230" t="s">
        <v>112</v>
      </c>
      <c r="L230">
        <v>0</v>
      </c>
      <c r="M230" t="b">
        <v>1</v>
      </c>
      <c r="N230" t="s">
        <v>2828</v>
      </c>
      <c r="O230" t="s">
        <v>2507</v>
      </c>
      <c r="P230">
        <v>40</v>
      </c>
      <c r="Q230" t="s">
        <v>2855</v>
      </c>
      <c r="R230">
        <v>675</v>
      </c>
    </row>
    <row r="231" spans="1:18" x14ac:dyDescent="0.3">
      <c r="A231" t="s">
        <v>1768</v>
      </c>
      <c r="B231" s="45">
        <v>45589</v>
      </c>
      <c r="C231" t="s">
        <v>394</v>
      </c>
      <c r="D231" t="s">
        <v>195</v>
      </c>
      <c r="E231" t="s">
        <v>343</v>
      </c>
      <c r="F231">
        <v>8</v>
      </c>
      <c r="G231">
        <v>2860</v>
      </c>
      <c r="H231">
        <v>14.7</v>
      </c>
      <c r="I231">
        <v>19516.64</v>
      </c>
      <c r="J231" t="s">
        <v>87</v>
      </c>
      <c r="K231" t="s">
        <v>117</v>
      </c>
      <c r="L231">
        <v>0</v>
      </c>
      <c r="M231" t="b">
        <v>1</v>
      </c>
      <c r="N231" t="s">
        <v>2839</v>
      </c>
      <c r="O231" t="s">
        <v>2515</v>
      </c>
      <c r="P231">
        <v>28</v>
      </c>
      <c r="Q231" t="s">
        <v>2879</v>
      </c>
      <c r="R231">
        <v>2028</v>
      </c>
    </row>
    <row r="232" spans="1:18" x14ac:dyDescent="0.3">
      <c r="A232" t="s">
        <v>572</v>
      </c>
      <c r="B232" s="45">
        <v>45585</v>
      </c>
      <c r="C232" t="s">
        <v>539</v>
      </c>
      <c r="D232" t="s">
        <v>131</v>
      </c>
      <c r="E232" t="s">
        <v>98</v>
      </c>
      <c r="F232">
        <v>5</v>
      </c>
      <c r="G232">
        <v>2270</v>
      </c>
      <c r="H232">
        <v>0.4</v>
      </c>
      <c r="I232">
        <v>11304.6</v>
      </c>
      <c r="J232" t="s">
        <v>140</v>
      </c>
      <c r="K232" t="s">
        <v>133</v>
      </c>
      <c r="L232">
        <v>0</v>
      </c>
      <c r="M232" t="b">
        <v>1</v>
      </c>
      <c r="N232" t="s">
        <v>2806</v>
      </c>
      <c r="O232" t="s">
        <v>2507</v>
      </c>
      <c r="P232">
        <v>38</v>
      </c>
      <c r="Q232" t="s">
        <v>2862</v>
      </c>
      <c r="R232">
        <v>1203</v>
      </c>
    </row>
    <row r="233" spans="1:18" x14ac:dyDescent="0.3">
      <c r="A233" t="s">
        <v>1767</v>
      </c>
      <c r="B233" s="45">
        <v>45597</v>
      </c>
      <c r="C233" t="s">
        <v>411</v>
      </c>
      <c r="D233" t="s">
        <v>147</v>
      </c>
      <c r="E233" t="s">
        <v>92</v>
      </c>
      <c r="F233">
        <v>6</v>
      </c>
      <c r="G233">
        <v>190</v>
      </c>
      <c r="H233">
        <v>3.5</v>
      </c>
      <c r="I233">
        <v>1100.0999999999999</v>
      </c>
      <c r="J233" t="s">
        <v>140</v>
      </c>
      <c r="K233" t="s">
        <v>112</v>
      </c>
      <c r="L233">
        <v>0</v>
      </c>
      <c r="M233" t="b">
        <v>1</v>
      </c>
      <c r="N233" t="s">
        <v>2839</v>
      </c>
      <c r="O233" t="s">
        <v>2507</v>
      </c>
      <c r="P233">
        <v>61</v>
      </c>
      <c r="Q233" t="s">
        <v>2855</v>
      </c>
      <c r="R233">
        <v>147</v>
      </c>
    </row>
    <row r="234" spans="1:18" x14ac:dyDescent="0.3">
      <c r="A234" t="s">
        <v>1765</v>
      </c>
      <c r="B234" s="45">
        <v>45604</v>
      </c>
      <c r="C234" t="s">
        <v>1231</v>
      </c>
      <c r="D234" t="s">
        <v>338</v>
      </c>
      <c r="E234" t="s">
        <v>188</v>
      </c>
      <c r="F234">
        <v>4</v>
      </c>
      <c r="G234">
        <v>2210</v>
      </c>
      <c r="H234">
        <v>3.1</v>
      </c>
      <c r="I234">
        <v>8565.9599999999991</v>
      </c>
      <c r="J234" t="s">
        <v>87</v>
      </c>
      <c r="K234" t="s">
        <v>88</v>
      </c>
      <c r="L234">
        <v>0</v>
      </c>
      <c r="M234" t="b">
        <v>1</v>
      </c>
      <c r="N234" t="s">
        <v>2806</v>
      </c>
      <c r="O234" t="s">
        <v>2507</v>
      </c>
      <c r="P234">
        <v>42</v>
      </c>
      <c r="Q234" t="s">
        <v>2862</v>
      </c>
      <c r="R234">
        <v>1010</v>
      </c>
    </row>
    <row r="235" spans="1:18" x14ac:dyDescent="0.3">
      <c r="A235" t="s">
        <v>1759</v>
      </c>
      <c r="B235" s="45">
        <v>45582</v>
      </c>
      <c r="C235" t="s">
        <v>948</v>
      </c>
      <c r="D235" t="s">
        <v>102</v>
      </c>
      <c r="E235" t="s">
        <v>273</v>
      </c>
      <c r="F235">
        <v>8</v>
      </c>
      <c r="G235">
        <v>3660</v>
      </c>
      <c r="H235">
        <v>8.4</v>
      </c>
      <c r="I235">
        <v>26820.48</v>
      </c>
      <c r="J235" t="s">
        <v>87</v>
      </c>
      <c r="K235" t="s">
        <v>88</v>
      </c>
      <c r="L235">
        <v>0</v>
      </c>
      <c r="M235" t="b">
        <v>0</v>
      </c>
      <c r="N235" t="s">
        <v>2806</v>
      </c>
      <c r="O235" t="s">
        <v>2507</v>
      </c>
      <c r="P235">
        <v>65</v>
      </c>
      <c r="Q235" t="s">
        <v>2862</v>
      </c>
      <c r="R235">
        <v>2214</v>
      </c>
    </row>
    <row r="236" spans="1:18" x14ac:dyDescent="0.3">
      <c r="A236" t="s">
        <v>576</v>
      </c>
      <c r="B236" s="45">
        <v>45643</v>
      </c>
      <c r="C236" t="s">
        <v>312</v>
      </c>
      <c r="D236" t="s">
        <v>515</v>
      </c>
      <c r="E236" t="s">
        <v>229</v>
      </c>
      <c r="F236">
        <v>7</v>
      </c>
      <c r="G236">
        <v>6940</v>
      </c>
      <c r="H236">
        <v>25.8</v>
      </c>
      <c r="I236">
        <v>36046.36</v>
      </c>
      <c r="J236" t="s">
        <v>87</v>
      </c>
      <c r="K236" t="s">
        <v>133</v>
      </c>
      <c r="L236">
        <v>0</v>
      </c>
      <c r="M236" t="b">
        <v>1</v>
      </c>
      <c r="N236" t="s">
        <v>2839</v>
      </c>
      <c r="O236" t="s">
        <v>2507</v>
      </c>
      <c r="P236">
        <v>46</v>
      </c>
      <c r="Q236" t="s">
        <v>2879</v>
      </c>
      <c r="R236">
        <v>2827</v>
      </c>
    </row>
    <row r="237" spans="1:18" x14ac:dyDescent="0.3">
      <c r="A237" t="s">
        <v>1753</v>
      </c>
      <c r="B237" s="45">
        <v>45650</v>
      </c>
      <c r="C237" t="s">
        <v>1754</v>
      </c>
      <c r="D237" t="s">
        <v>135</v>
      </c>
      <c r="E237" t="s">
        <v>103</v>
      </c>
      <c r="F237">
        <v>8</v>
      </c>
      <c r="G237">
        <v>2640</v>
      </c>
      <c r="H237">
        <v>24.4</v>
      </c>
      <c r="I237">
        <v>15966.72</v>
      </c>
      <c r="J237" t="s">
        <v>87</v>
      </c>
      <c r="K237" t="s">
        <v>112</v>
      </c>
      <c r="L237">
        <v>0</v>
      </c>
      <c r="M237" t="b">
        <v>1</v>
      </c>
      <c r="N237" t="s">
        <v>2784</v>
      </c>
      <c r="O237" t="e">
        <v>#N/A</v>
      </c>
      <c r="P237" t="e">
        <v>#N/A</v>
      </c>
      <c r="Q237" t="s">
        <v>2855</v>
      </c>
      <c r="R237">
        <v>1149</v>
      </c>
    </row>
    <row r="238" spans="1:18" x14ac:dyDescent="0.3">
      <c r="A238" t="s">
        <v>1752</v>
      </c>
      <c r="B238" s="45">
        <v>45624</v>
      </c>
      <c r="C238" t="s">
        <v>328</v>
      </c>
      <c r="D238" t="s">
        <v>176</v>
      </c>
      <c r="E238" t="s">
        <v>132</v>
      </c>
      <c r="F238">
        <v>9</v>
      </c>
      <c r="G238">
        <v>1650</v>
      </c>
      <c r="H238">
        <v>2.5</v>
      </c>
      <c r="I238">
        <v>14478.75</v>
      </c>
      <c r="J238" t="s">
        <v>87</v>
      </c>
      <c r="K238" t="s">
        <v>94</v>
      </c>
      <c r="L238">
        <v>0</v>
      </c>
      <c r="M238" t="b">
        <v>1</v>
      </c>
      <c r="N238" t="s">
        <v>2828</v>
      </c>
      <c r="O238" t="s">
        <v>2507</v>
      </c>
      <c r="P238">
        <v>28</v>
      </c>
      <c r="Q238" t="s">
        <v>2862</v>
      </c>
      <c r="R238">
        <v>1222</v>
      </c>
    </row>
    <row r="239" spans="1:18" x14ac:dyDescent="0.3">
      <c r="A239" t="s">
        <v>1747</v>
      </c>
      <c r="B239" s="45">
        <v>45607</v>
      </c>
      <c r="C239" t="s">
        <v>163</v>
      </c>
      <c r="D239" t="s">
        <v>408</v>
      </c>
      <c r="E239" t="s">
        <v>297</v>
      </c>
      <c r="F239">
        <v>8</v>
      </c>
      <c r="G239">
        <v>3970</v>
      </c>
      <c r="H239">
        <v>22.4</v>
      </c>
      <c r="I239">
        <v>24645.759999999998</v>
      </c>
      <c r="J239" t="s">
        <v>87</v>
      </c>
      <c r="K239" t="s">
        <v>94</v>
      </c>
      <c r="L239">
        <v>0</v>
      </c>
      <c r="M239" t="b">
        <v>1</v>
      </c>
      <c r="N239" t="s">
        <v>2784</v>
      </c>
      <c r="O239" t="s">
        <v>2507</v>
      </c>
      <c r="P239">
        <v>49</v>
      </c>
      <c r="Q239" t="s">
        <v>2855</v>
      </c>
      <c r="R239">
        <v>2865</v>
      </c>
    </row>
    <row r="240" spans="1:18" x14ac:dyDescent="0.3">
      <c r="A240" t="s">
        <v>1741</v>
      </c>
      <c r="B240" s="45">
        <v>45603</v>
      </c>
      <c r="C240" t="s">
        <v>968</v>
      </c>
      <c r="D240" t="s">
        <v>184</v>
      </c>
      <c r="E240" t="s">
        <v>297</v>
      </c>
      <c r="F240">
        <v>5</v>
      </c>
      <c r="G240">
        <v>4880</v>
      </c>
      <c r="H240">
        <v>27.4</v>
      </c>
      <c r="I240">
        <v>17714.400000000001</v>
      </c>
      <c r="J240" t="s">
        <v>87</v>
      </c>
      <c r="K240" t="s">
        <v>99</v>
      </c>
      <c r="L240">
        <v>0</v>
      </c>
      <c r="M240" t="b">
        <v>1</v>
      </c>
      <c r="N240" t="s">
        <v>2828</v>
      </c>
      <c r="O240" t="s">
        <v>2507</v>
      </c>
      <c r="P240">
        <v>47</v>
      </c>
      <c r="Q240" t="s">
        <v>2855</v>
      </c>
      <c r="R240">
        <v>2768</v>
      </c>
    </row>
    <row r="241" spans="1:18" x14ac:dyDescent="0.3">
      <c r="A241" t="s">
        <v>1736</v>
      </c>
      <c r="B241" s="45">
        <v>45584</v>
      </c>
      <c r="C241" t="s">
        <v>621</v>
      </c>
      <c r="D241" t="s">
        <v>408</v>
      </c>
      <c r="E241" t="s">
        <v>204</v>
      </c>
      <c r="F241">
        <v>9</v>
      </c>
      <c r="G241">
        <v>3970</v>
      </c>
      <c r="H241">
        <v>18.2</v>
      </c>
      <c r="I241">
        <v>29227.14</v>
      </c>
      <c r="J241" t="s">
        <v>93</v>
      </c>
      <c r="K241" t="s">
        <v>94</v>
      </c>
      <c r="L241">
        <v>0</v>
      </c>
      <c r="M241" t="b">
        <v>1</v>
      </c>
      <c r="N241" t="s">
        <v>2784</v>
      </c>
      <c r="O241" t="s">
        <v>2509</v>
      </c>
      <c r="P241">
        <v>22</v>
      </c>
      <c r="Q241" t="s">
        <v>2862</v>
      </c>
      <c r="R241">
        <v>2865</v>
      </c>
    </row>
    <row r="242" spans="1:18" x14ac:dyDescent="0.3">
      <c r="A242" t="s">
        <v>1732</v>
      </c>
      <c r="B242" s="45">
        <v>45568</v>
      </c>
      <c r="C242" t="s">
        <v>357</v>
      </c>
      <c r="D242" t="s">
        <v>279</v>
      </c>
      <c r="E242" t="s">
        <v>188</v>
      </c>
      <c r="F242">
        <v>4</v>
      </c>
      <c r="G242">
        <v>2660</v>
      </c>
      <c r="H242">
        <v>8.9</v>
      </c>
      <c r="I242">
        <v>9693.0400000000009</v>
      </c>
      <c r="J242" t="s">
        <v>87</v>
      </c>
      <c r="K242" t="s">
        <v>99</v>
      </c>
      <c r="L242">
        <v>0</v>
      </c>
      <c r="M242" t="b">
        <v>0</v>
      </c>
      <c r="N242" t="s">
        <v>2784</v>
      </c>
      <c r="O242" t="s">
        <v>2515</v>
      </c>
      <c r="P242">
        <v>38</v>
      </c>
      <c r="Q242" t="s">
        <v>2862</v>
      </c>
      <c r="R242">
        <v>1259</v>
      </c>
    </row>
    <row r="243" spans="1:18" x14ac:dyDescent="0.3">
      <c r="A243" t="s">
        <v>1726</v>
      </c>
      <c r="B243" s="45">
        <v>45575</v>
      </c>
      <c r="C243" t="s">
        <v>314</v>
      </c>
      <c r="D243" t="s">
        <v>364</v>
      </c>
      <c r="E243" t="s">
        <v>346</v>
      </c>
      <c r="F243">
        <v>6</v>
      </c>
      <c r="G243">
        <v>5330</v>
      </c>
      <c r="H243">
        <v>0.3</v>
      </c>
      <c r="I243">
        <v>31884.06</v>
      </c>
      <c r="J243" t="s">
        <v>93</v>
      </c>
      <c r="K243" t="s">
        <v>88</v>
      </c>
      <c r="L243">
        <v>0</v>
      </c>
      <c r="M243" t="b">
        <v>1</v>
      </c>
      <c r="N243" t="s">
        <v>2784</v>
      </c>
      <c r="O243" t="s">
        <v>2509</v>
      </c>
      <c r="P243">
        <v>33</v>
      </c>
      <c r="Q243" t="s">
        <v>2862</v>
      </c>
      <c r="R243">
        <v>2405</v>
      </c>
    </row>
    <row r="244" spans="1:18" x14ac:dyDescent="0.3">
      <c r="A244" t="s">
        <v>1720</v>
      </c>
      <c r="B244" s="45">
        <v>45620</v>
      </c>
      <c r="C244" t="s">
        <v>908</v>
      </c>
      <c r="D244" t="s">
        <v>124</v>
      </c>
      <c r="E244" t="s">
        <v>252</v>
      </c>
      <c r="F244">
        <v>8</v>
      </c>
      <c r="G244">
        <v>5490</v>
      </c>
      <c r="H244">
        <v>23.2</v>
      </c>
      <c r="I244">
        <v>33730.559999999998</v>
      </c>
      <c r="J244" t="s">
        <v>87</v>
      </c>
      <c r="K244" t="s">
        <v>133</v>
      </c>
      <c r="L244">
        <v>0</v>
      </c>
      <c r="M244" t="b">
        <v>1</v>
      </c>
      <c r="N244" t="s">
        <v>2817</v>
      </c>
      <c r="O244" t="s">
        <v>2507</v>
      </c>
      <c r="P244">
        <v>31</v>
      </c>
      <c r="Q244" t="s">
        <v>2862</v>
      </c>
      <c r="R244">
        <v>2549</v>
      </c>
    </row>
    <row r="245" spans="1:18" x14ac:dyDescent="0.3">
      <c r="A245" t="s">
        <v>1716</v>
      </c>
      <c r="B245" s="45">
        <v>45634</v>
      </c>
      <c r="C245" t="s">
        <v>314</v>
      </c>
      <c r="D245" t="s">
        <v>182</v>
      </c>
      <c r="E245" t="s">
        <v>121</v>
      </c>
      <c r="F245">
        <v>10</v>
      </c>
      <c r="G245">
        <v>1010</v>
      </c>
      <c r="H245">
        <v>14</v>
      </c>
      <c r="I245">
        <v>8686</v>
      </c>
      <c r="J245" t="s">
        <v>87</v>
      </c>
      <c r="K245" t="s">
        <v>88</v>
      </c>
      <c r="L245">
        <v>0</v>
      </c>
      <c r="M245" t="b">
        <v>1</v>
      </c>
      <c r="N245" t="s">
        <v>2839</v>
      </c>
      <c r="O245" t="s">
        <v>2509</v>
      </c>
      <c r="P245">
        <v>33</v>
      </c>
      <c r="Q245" t="s">
        <v>2871</v>
      </c>
      <c r="R245">
        <v>516</v>
      </c>
    </row>
    <row r="246" spans="1:18" x14ac:dyDescent="0.3">
      <c r="A246" t="s">
        <v>590</v>
      </c>
      <c r="B246" s="45">
        <v>45627</v>
      </c>
      <c r="C246" t="s">
        <v>308</v>
      </c>
      <c r="D246" t="s">
        <v>259</v>
      </c>
      <c r="E246" t="s">
        <v>297</v>
      </c>
      <c r="F246">
        <v>3</v>
      </c>
      <c r="G246">
        <v>1540</v>
      </c>
      <c r="H246">
        <v>20.9</v>
      </c>
      <c r="I246">
        <v>3654.42</v>
      </c>
      <c r="J246" t="s">
        <v>87</v>
      </c>
      <c r="K246" t="s">
        <v>88</v>
      </c>
      <c r="L246">
        <v>0</v>
      </c>
      <c r="M246" t="b">
        <v>0</v>
      </c>
      <c r="N246" t="s">
        <v>2828</v>
      </c>
      <c r="O246" t="s">
        <v>2515</v>
      </c>
      <c r="P246">
        <v>54</v>
      </c>
      <c r="Q246" t="s">
        <v>2855</v>
      </c>
      <c r="R246">
        <v>647</v>
      </c>
    </row>
    <row r="247" spans="1:18" x14ac:dyDescent="0.3">
      <c r="A247" t="s">
        <v>591</v>
      </c>
      <c r="B247" s="45">
        <v>45576</v>
      </c>
      <c r="C247" t="s">
        <v>592</v>
      </c>
      <c r="D247" t="s">
        <v>135</v>
      </c>
      <c r="E247" t="s">
        <v>132</v>
      </c>
      <c r="F247">
        <v>10</v>
      </c>
      <c r="G247">
        <v>2640</v>
      </c>
      <c r="H247">
        <v>11.2</v>
      </c>
      <c r="I247">
        <v>23443.200000000001</v>
      </c>
      <c r="J247" t="s">
        <v>93</v>
      </c>
      <c r="K247" t="s">
        <v>133</v>
      </c>
      <c r="L247">
        <v>0</v>
      </c>
      <c r="M247" t="b">
        <v>1</v>
      </c>
      <c r="N247" t="s">
        <v>2784</v>
      </c>
      <c r="O247" t="s">
        <v>2507</v>
      </c>
      <c r="P247">
        <v>22</v>
      </c>
      <c r="Q247" t="s">
        <v>2862</v>
      </c>
      <c r="R247">
        <v>1149</v>
      </c>
    </row>
    <row r="248" spans="1:18" x14ac:dyDescent="0.3">
      <c r="A248" t="s">
        <v>1714</v>
      </c>
      <c r="B248" s="45">
        <v>45607</v>
      </c>
      <c r="C248" t="s">
        <v>310</v>
      </c>
      <c r="D248" t="s">
        <v>279</v>
      </c>
      <c r="E248" t="s">
        <v>139</v>
      </c>
      <c r="F248">
        <v>7</v>
      </c>
      <c r="G248">
        <v>2660</v>
      </c>
      <c r="H248">
        <v>8.5</v>
      </c>
      <c r="I248">
        <v>17037.3</v>
      </c>
      <c r="J248" t="s">
        <v>87</v>
      </c>
      <c r="K248" t="s">
        <v>117</v>
      </c>
      <c r="L248">
        <v>0</v>
      </c>
      <c r="M248" t="b">
        <v>0</v>
      </c>
      <c r="N248" t="s">
        <v>2784</v>
      </c>
      <c r="O248" t="s">
        <v>2507</v>
      </c>
      <c r="P248">
        <v>42</v>
      </c>
      <c r="Q248" t="s">
        <v>2855</v>
      </c>
      <c r="R248">
        <v>1259</v>
      </c>
    </row>
    <row r="249" spans="1:18" x14ac:dyDescent="0.3">
      <c r="A249" t="s">
        <v>594</v>
      </c>
      <c r="B249" s="45">
        <v>45650</v>
      </c>
      <c r="C249" t="s">
        <v>595</v>
      </c>
      <c r="D249" t="s">
        <v>164</v>
      </c>
      <c r="E249" t="s">
        <v>86</v>
      </c>
      <c r="F249">
        <v>4</v>
      </c>
      <c r="G249">
        <v>1080</v>
      </c>
      <c r="H249">
        <v>20.7</v>
      </c>
      <c r="I249">
        <v>3425.76</v>
      </c>
      <c r="J249" t="s">
        <v>93</v>
      </c>
      <c r="K249" t="s">
        <v>99</v>
      </c>
      <c r="L249">
        <v>0</v>
      </c>
      <c r="M249" t="b">
        <v>1</v>
      </c>
      <c r="N249" t="s">
        <v>2817</v>
      </c>
      <c r="O249" t="s">
        <v>2515</v>
      </c>
      <c r="P249">
        <v>48</v>
      </c>
      <c r="Q249" t="s">
        <v>2855</v>
      </c>
      <c r="R249">
        <v>519</v>
      </c>
    </row>
    <row r="250" spans="1:18" x14ac:dyDescent="0.3">
      <c r="A250" t="s">
        <v>596</v>
      </c>
      <c r="B250" s="45">
        <v>45585</v>
      </c>
      <c r="C250" t="s">
        <v>597</v>
      </c>
      <c r="D250" t="s">
        <v>182</v>
      </c>
      <c r="E250" t="s">
        <v>252</v>
      </c>
      <c r="F250">
        <v>4</v>
      </c>
      <c r="G250">
        <v>1010</v>
      </c>
      <c r="H250">
        <v>29.5</v>
      </c>
      <c r="I250">
        <v>2848.2</v>
      </c>
      <c r="J250" t="s">
        <v>93</v>
      </c>
      <c r="K250" t="s">
        <v>112</v>
      </c>
      <c r="L250">
        <v>0</v>
      </c>
      <c r="M250" t="b">
        <v>1</v>
      </c>
      <c r="N250" t="s">
        <v>2839</v>
      </c>
      <c r="O250" t="s">
        <v>2507</v>
      </c>
      <c r="P250">
        <v>39</v>
      </c>
      <c r="Q250" t="s">
        <v>2862</v>
      </c>
      <c r="R250">
        <v>516</v>
      </c>
    </row>
    <row r="251" spans="1:18" x14ac:dyDescent="0.3">
      <c r="A251" t="s">
        <v>1712</v>
      </c>
      <c r="B251" s="45">
        <v>45609</v>
      </c>
      <c r="C251" t="s">
        <v>403</v>
      </c>
      <c r="D251" t="s">
        <v>408</v>
      </c>
      <c r="E251" t="s">
        <v>148</v>
      </c>
      <c r="F251">
        <v>6</v>
      </c>
      <c r="G251">
        <v>3970</v>
      </c>
      <c r="H251">
        <v>18.8</v>
      </c>
      <c r="I251">
        <v>19341.84</v>
      </c>
      <c r="J251" t="s">
        <v>93</v>
      </c>
      <c r="K251" t="s">
        <v>117</v>
      </c>
      <c r="L251">
        <v>0</v>
      </c>
      <c r="M251" t="b">
        <v>1</v>
      </c>
      <c r="N251" t="s">
        <v>2784</v>
      </c>
      <c r="O251" t="s">
        <v>2507</v>
      </c>
      <c r="P251">
        <v>59</v>
      </c>
      <c r="Q251" t="s">
        <v>2855</v>
      </c>
      <c r="R251">
        <v>2865</v>
      </c>
    </row>
    <row r="252" spans="1:18" x14ac:dyDescent="0.3">
      <c r="A252" t="s">
        <v>1711</v>
      </c>
      <c r="B252" s="45">
        <v>45594</v>
      </c>
      <c r="C252" t="s">
        <v>294</v>
      </c>
      <c r="D252" t="s">
        <v>143</v>
      </c>
      <c r="E252" t="s">
        <v>273</v>
      </c>
      <c r="F252">
        <v>5</v>
      </c>
      <c r="G252">
        <v>3250</v>
      </c>
      <c r="H252">
        <v>8.1</v>
      </c>
      <c r="I252">
        <v>14933.75</v>
      </c>
      <c r="J252" t="s">
        <v>87</v>
      </c>
      <c r="K252" t="s">
        <v>133</v>
      </c>
      <c r="L252">
        <v>0</v>
      </c>
      <c r="M252" t="b">
        <v>1</v>
      </c>
      <c r="N252" t="s">
        <v>2817</v>
      </c>
      <c r="O252" t="s">
        <v>2515</v>
      </c>
      <c r="P252">
        <v>43</v>
      </c>
      <c r="Q252" t="s">
        <v>2862</v>
      </c>
      <c r="R252">
        <v>1556</v>
      </c>
    </row>
    <row r="253" spans="1:18" x14ac:dyDescent="0.3">
      <c r="A253" t="s">
        <v>601</v>
      </c>
      <c r="B253" s="45">
        <v>45636</v>
      </c>
      <c r="C253" t="s">
        <v>602</v>
      </c>
      <c r="D253" t="s">
        <v>264</v>
      </c>
      <c r="E253" t="s">
        <v>285</v>
      </c>
      <c r="F253">
        <v>9</v>
      </c>
      <c r="G253">
        <v>4070</v>
      </c>
      <c r="H253">
        <v>6.7</v>
      </c>
      <c r="I253">
        <v>34175.79</v>
      </c>
      <c r="J253" t="s">
        <v>140</v>
      </c>
      <c r="K253" t="s">
        <v>94</v>
      </c>
      <c r="L253">
        <v>0</v>
      </c>
      <c r="M253" t="b">
        <v>1</v>
      </c>
      <c r="N253" t="s">
        <v>2806</v>
      </c>
      <c r="O253" t="s">
        <v>2507</v>
      </c>
      <c r="P253">
        <v>61</v>
      </c>
      <c r="Q253" t="s">
        <v>2871</v>
      </c>
      <c r="R253">
        <v>2027</v>
      </c>
    </row>
    <row r="254" spans="1:18" x14ac:dyDescent="0.3">
      <c r="A254" t="s">
        <v>603</v>
      </c>
      <c r="B254" s="45">
        <v>45612</v>
      </c>
      <c r="C254" t="s">
        <v>604</v>
      </c>
      <c r="D254" t="s">
        <v>91</v>
      </c>
      <c r="E254" t="s">
        <v>132</v>
      </c>
      <c r="F254">
        <v>6</v>
      </c>
      <c r="G254">
        <v>820</v>
      </c>
      <c r="H254">
        <v>14</v>
      </c>
      <c r="I254">
        <v>4231.2</v>
      </c>
      <c r="J254" t="s">
        <v>87</v>
      </c>
      <c r="K254" t="s">
        <v>117</v>
      </c>
      <c r="L254">
        <v>0</v>
      </c>
      <c r="M254" t="b">
        <v>1</v>
      </c>
      <c r="N254" t="s">
        <v>2795</v>
      </c>
      <c r="O254" t="s">
        <v>2507</v>
      </c>
      <c r="P254">
        <v>34</v>
      </c>
      <c r="Q254" t="s">
        <v>2862</v>
      </c>
      <c r="R254">
        <v>391</v>
      </c>
    </row>
    <row r="255" spans="1:18" x14ac:dyDescent="0.3">
      <c r="A255" t="s">
        <v>1708</v>
      </c>
      <c r="B255" s="45">
        <v>45610</v>
      </c>
      <c r="C255" t="s">
        <v>741</v>
      </c>
      <c r="D255" t="s">
        <v>515</v>
      </c>
      <c r="E255" t="s">
        <v>273</v>
      </c>
      <c r="F255">
        <v>5</v>
      </c>
      <c r="G255">
        <v>6940</v>
      </c>
      <c r="H255">
        <v>0.3</v>
      </c>
      <c r="I255">
        <v>34595.9</v>
      </c>
      <c r="J255" t="s">
        <v>87</v>
      </c>
      <c r="K255" t="s">
        <v>133</v>
      </c>
      <c r="L255">
        <v>0</v>
      </c>
      <c r="M255" t="b">
        <v>1</v>
      </c>
      <c r="N255" t="s">
        <v>2839</v>
      </c>
      <c r="O255" t="s">
        <v>2515</v>
      </c>
      <c r="P255">
        <v>29</v>
      </c>
      <c r="Q255" t="s">
        <v>2862</v>
      </c>
      <c r="R255">
        <v>2827</v>
      </c>
    </row>
    <row r="256" spans="1:18" x14ac:dyDescent="0.3">
      <c r="A256" t="s">
        <v>1706</v>
      </c>
      <c r="B256" s="45">
        <v>45593</v>
      </c>
      <c r="C256" t="s">
        <v>599</v>
      </c>
      <c r="D256" t="s">
        <v>270</v>
      </c>
      <c r="E256" t="s">
        <v>148</v>
      </c>
      <c r="F256">
        <v>4</v>
      </c>
      <c r="G256">
        <v>4610</v>
      </c>
      <c r="H256">
        <v>14.8</v>
      </c>
      <c r="I256">
        <v>15710.88</v>
      </c>
      <c r="J256" t="s">
        <v>87</v>
      </c>
      <c r="K256" t="s">
        <v>117</v>
      </c>
      <c r="L256">
        <v>0</v>
      </c>
      <c r="M256" t="b">
        <v>1</v>
      </c>
      <c r="N256" t="s">
        <v>2817</v>
      </c>
      <c r="O256" t="s">
        <v>2509</v>
      </c>
      <c r="P256">
        <v>26</v>
      </c>
      <c r="Q256" t="s">
        <v>2855</v>
      </c>
      <c r="R256">
        <v>1850</v>
      </c>
    </row>
    <row r="257" spans="1:18" x14ac:dyDescent="0.3">
      <c r="A257" t="s">
        <v>1703</v>
      </c>
      <c r="B257" s="45">
        <v>45569</v>
      </c>
      <c r="C257" t="s">
        <v>137</v>
      </c>
      <c r="D257" t="s">
        <v>157</v>
      </c>
      <c r="E257" t="s">
        <v>116</v>
      </c>
      <c r="F257">
        <v>9</v>
      </c>
      <c r="G257">
        <v>3450</v>
      </c>
      <c r="H257">
        <v>19.399999999999999</v>
      </c>
      <c r="I257">
        <v>25026.3</v>
      </c>
      <c r="J257" t="s">
        <v>87</v>
      </c>
      <c r="K257" t="s">
        <v>99</v>
      </c>
      <c r="L257">
        <v>0</v>
      </c>
      <c r="M257" t="b">
        <v>1</v>
      </c>
      <c r="N257" t="s">
        <v>2828</v>
      </c>
      <c r="O257" t="s">
        <v>2515</v>
      </c>
      <c r="P257">
        <v>27</v>
      </c>
      <c r="Q257" t="s">
        <v>2879</v>
      </c>
      <c r="R257">
        <v>2420</v>
      </c>
    </row>
    <row r="258" spans="1:18" x14ac:dyDescent="0.3">
      <c r="A258" t="s">
        <v>1698</v>
      </c>
      <c r="B258" s="45">
        <v>45629</v>
      </c>
      <c r="C258" t="s">
        <v>1000</v>
      </c>
      <c r="D258" t="s">
        <v>164</v>
      </c>
      <c r="E258" t="s">
        <v>204</v>
      </c>
      <c r="F258">
        <v>2</v>
      </c>
      <c r="G258">
        <v>1080</v>
      </c>
      <c r="H258">
        <v>21.1</v>
      </c>
      <c r="I258">
        <v>1704.24</v>
      </c>
      <c r="J258" t="s">
        <v>87</v>
      </c>
      <c r="K258" t="s">
        <v>117</v>
      </c>
      <c r="L258">
        <v>0</v>
      </c>
      <c r="M258" t="b">
        <v>1</v>
      </c>
      <c r="N258" t="s">
        <v>2817</v>
      </c>
      <c r="O258" t="s">
        <v>2507</v>
      </c>
      <c r="P258">
        <v>27</v>
      </c>
      <c r="Q258" t="s">
        <v>2862</v>
      </c>
      <c r="R258">
        <v>519</v>
      </c>
    </row>
    <row r="259" spans="1:18" x14ac:dyDescent="0.3">
      <c r="A259" t="s">
        <v>612</v>
      </c>
      <c r="B259" s="45">
        <v>45595</v>
      </c>
      <c r="C259" t="s">
        <v>613</v>
      </c>
      <c r="D259" t="s">
        <v>115</v>
      </c>
      <c r="E259" t="s">
        <v>139</v>
      </c>
      <c r="F259">
        <v>1</v>
      </c>
      <c r="G259">
        <v>960</v>
      </c>
      <c r="H259">
        <v>29.2</v>
      </c>
      <c r="I259">
        <v>679.68</v>
      </c>
      <c r="J259" t="s">
        <v>87</v>
      </c>
      <c r="K259" t="s">
        <v>112</v>
      </c>
      <c r="L259">
        <v>0</v>
      </c>
      <c r="M259" t="b">
        <v>1</v>
      </c>
      <c r="N259" t="s">
        <v>2839</v>
      </c>
      <c r="O259" t="s">
        <v>2507</v>
      </c>
      <c r="P259">
        <v>44</v>
      </c>
      <c r="Q259" t="s">
        <v>2855</v>
      </c>
      <c r="R259">
        <v>705</v>
      </c>
    </row>
    <row r="260" spans="1:18" x14ac:dyDescent="0.3">
      <c r="A260" t="s">
        <v>1692</v>
      </c>
      <c r="B260" s="45">
        <v>45585</v>
      </c>
      <c r="C260" t="s">
        <v>617</v>
      </c>
      <c r="D260" t="s">
        <v>151</v>
      </c>
      <c r="E260" t="s">
        <v>325</v>
      </c>
      <c r="F260">
        <v>1</v>
      </c>
      <c r="G260">
        <v>2400</v>
      </c>
      <c r="H260">
        <v>26.5</v>
      </c>
      <c r="I260">
        <v>1764</v>
      </c>
      <c r="J260" t="s">
        <v>87</v>
      </c>
      <c r="K260" t="s">
        <v>112</v>
      </c>
      <c r="L260">
        <v>0</v>
      </c>
      <c r="M260" t="b">
        <v>1</v>
      </c>
      <c r="N260" t="s">
        <v>2839</v>
      </c>
      <c r="O260" t="s">
        <v>2515</v>
      </c>
      <c r="P260">
        <v>65</v>
      </c>
      <c r="Q260" t="s">
        <v>2862</v>
      </c>
      <c r="R260">
        <v>974</v>
      </c>
    </row>
    <row r="261" spans="1:18" x14ac:dyDescent="0.3">
      <c r="A261" t="s">
        <v>1679</v>
      </c>
      <c r="B261" s="45">
        <v>45656</v>
      </c>
      <c r="C261" t="s">
        <v>604</v>
      </c>
      <c r="D261" t="s">
        <v>127</v>
      </c>
      <c r="E261" t="s">
        <v>285</v>
      </c>
      <c r="F261">
        <v>9</v>
      </c>
      <c r="G261">
        <v>970</v>
      </c>
      <c r="H261">
        <v>19.5</v>
      </c>
      <c r="I261">
        <v>7027.65</v>
      </c>
      <c r="J261" t="s">
        <v>87</v>
      </c>
      <c r="K261" t="s">
        <v>117</v>
      </c>
      <c r="L261">
        <v>0</v>
      </c>
      <c r="M261" t="b">
        <v>1</v>
      </c>
      <c r="N261" t="s">
        <v>2806</v>
      </c>
      <c r="O261" t="s">
        <v>2507</v>
      </c>
      <c r="P261">
        <v>34</v>
      </c>
      <c r="Q261" t="s">
        <v>2871</v>
      </c>
      <c r="R261">
        <v>434</v>
      </c>
    </row>
    <row r="262" spans="1:18" x14ac:dyDescent="0.3">
      <c r="A262" t="s">
        <v>618</v>
      </c>
      <c r="B262" s="45">
        <v>45575</v>
      </c>
      <c r="C262" t="s">
        <v>510</v>
      </c>
      <c r="D262" t="s">
        <v>164</v>
      </c>
      <c r="E262" t="s">
        <v>98</v>
      </c>
      <c r="F262">
        <v>6</v>
      </c>
      <c r="G262">
        <v>1080</v>
      </c>
      <c r="H262">
        <v>19.8</v>
      </c>
      <c r="I262">
        <v>5196.96</v>
      </c>
      <c r="J262" t="s">
        <v>87</v>
      </c>
      <c r="K262" t="s">
        <v>117</v>
      </c>
      <c r="L262">
        <v>0</v>
      </c>
      <c r="M262" t="b">
        <v>1</v>
      </c>
      <c r="N262" t="s">
        <v>2817</v>
      </c>
      <c r="O262" t="s">
        <v>2515</v>
      </c>
      <c r="P262">
        <v>26</v>
      </c>
      <c r="Q262" t="s">
        <v>2862</v>
      </c>
      <c r="R262">
        <v>519</v>
      </c>
    </row>
    <row r="263" spans="1:18" x14ac:dyDescent="0.3">
      <c r="A263" t="s">
        <v>619</v>
      </c>
      <c r="B263" s="45">
        <v>45649</v>
      </c>
      <c r="C263" t="s">
        <v>175</v>
      </c>
      <c r="D263" t="s">
        <v>452</v>
      </c>
      <c r="E263" t="s">
        <v>132</v>
      </c>
      <c r="F263">
        <v>8</v>
      </c>
      <c r="G263">
        <v>3450</v>
      </c>
      <c r="H263">
        <v>19</v>
      </c>
      <c r="I263">
        <v>22356</v>
      </c>
      <c r="J263" t="s">
        <v>87</v>
      </c>
      <c r="K263" t="s">
        <v>133</v>
      </c>
      <c r="L263">
        <v>0</v>
      </c>
      <c r="M263" t="b">
        <v>1</v>
      </c>
      <c r="N263" t="s">
        <v>2795</v>
      </c>
      <c r="O263" t="s">
        <v>2515</v>
      </c>
      <c r="P263">
        <v>40</v>
      </c>
      <c r="Q263" t="s">
        <v>2862</v>
      </c>
      <c r="R263">
        <v>1748</v>
      </c>
    </row>
    <row r="264" spans="1:18" x14ac:dyDescent="0.3">
      <c r="A264" t="s">
        <v>1672</v>
      </c>
      <c r="B264" s="45">
        <v>45651</v>
      </c>
      <c r="C264" t="s">
        <v>703</v>
      </c>
      <c r="D264" t="s">
        <v>187</v>
      </c>
      <c r="E264" t="s">
        <v>107</v>
      </c>
      <c r="F264">
        <v>4</v>
      </c>
      <c r="G264">
        <v>3570</v>
      </c>
      <c r="H264">
        <v>0.9</v>
      </c>
      <c r="I264">
        <v>14151.48</v>
      </c>
      <c r="J264" t="s">
        <v>93</v>
      </c>
      <c r="K264" t="s">
        <v>88</v>
      </c>
      <c r="L264">
        <v>0</v>
      </c>
      <c r="M264" t="b">
        <v>1</v>
      </c>
      <c r="N264" t="s">
        <v>2784</v>
      </c>
      <c r="O264" t="s">
        <v>2509</v>
      </c>
      <c r="P264">
        <v>52</v>
      </c>
      <c r="Q264" t="s">
        <v>2855</v>
      </c>
      <c r="R264">
        <v>1665</v>
      </c>
    </row>
    <row r="265" spans="1:18" x14ac:dyDescent="0.3">
      <c r="A265" t="s">
        <v>1669</v>
      </c>
      <c r="B265" s="45">
        <v>45617</v>
      </c>
      <c r="C265" t="s">
        <v>328</v>
      </c>
      <c r="D265" t="s">
        <v>187</v>
      </c>
      <c r="E265" t="s">
        <v>111</v>
      </c>
      <c r="F265">
        <v>9</v>
      </c>
      <c r="G265">
        <v>3570</v>
      </c>
      <c r="H265">
        <v>24.8</v>
      </c>
      <c r="I265">
        <v>24161.759999999998</v>
      </c>
      <c r="J265" t="s">
        <v>87</v>
      </c>
      <c r="K265" t="s">
        <v>94</v>
      </c>
      <c r="L265">
        <v>0</v>
      </c>
      <c r="M265" t="b">
        <v>1</v>
      </c>
      <c r="N265" t="s">
        <v>2784</v>
      </c>
      <c r="O265" t="s">
        <v>2507</v>
      </c>
      <c r="P265">
        <v>28</v>
      </c>
      <c r="Q265" t="s">
        <v>2879</v>
      </c>
      <c r="R265">
        <v>1665</v>
      </c>
    </row>
    <row r="266" spans="1:18" x14ac:dyDescent="0.3">
      <c r="A266" t="s">
        <v>1665</v>
      </c>
      <c r="B266" s="45">
        <v>45656</v>
      </c>
      <c r="C266" t="s">
        <v>580</v>
      </c>
      <c r="D266" t="s">
        <v>85</v>
      </c>
      <c r="E266" t="s">
        <v>103</v>
      </c>
      <c r="F266">
        <v>6</v>
      </c>
      <c r="G266">
        <v>3620</v>
      </c>
      <c r="H266">
        <v>20.2</v>
      </c>
      <c r="I266">
        <v>17332.560000000001</v>
      </c>
      <c r="J266" t="s">
        <v>87</v>
      </c>
      <c r="K266" t="s">
        <v>88</v>
      </c>
      <c r="L266">
        <v>0</v>
      </c>
      <c r="M266" t="b">
        <v>1</v>
      </c>
      <c r="N266" t="s">
        <v>2795</v>
      </c>
      <c r="O266" t="s">
        <v>2509</v>
      </c>
      <c r="P266">
        <v>40</v>
      </c>
      <c r="Q266" t="s">
        <v>2855</v>
      </c>
      <c r="R266">
        <v>2509</v>
      </c>
    </row>
    <row r="267" spans="1:18" x14ac:dyDescent="0.3">
      <c r="A267" t="s">
        <v>1661</v>
      </c>
      <c r="B267" s="45">
        <v>45602</v>
      </c>
      <c r="C267" t="s">
        <v>785</v>
      </c>
      <c r="D267" t="s">
        <v>264</v>
      </c>
      <c r="E267" t="s">
        <v>229</v>
      </c>
      <c r="F267">
        <v>8</v>
      </c>
      <c r="G267">
        <v>4070</v>
      </c>
      <c r="H267">
        <v>17.7</v>
      </c>
      <c r="I267">
        <v>26796.880000000001</v>
      </c>
      <c r="J267" t="s">
        <v>87</v>
      </c>
      <c r="K267" t="s">
        <v>88</v>
      </c>
      <c r="L267">
        <v>0</v>
      </c>
      <c r="M267" t="b">
        <v>1</v>
      </c>
      <c r="N267" t="s">
        <v>2806</v>
      </c>
      <c r="O267" t="s">
        <v>2507</v>
      </c>
      <c r="P267">
        <v>31</v>
      </c>
      <c r="Q267" t="s">
        <v>2879</v>
      </c>
      <c r="R267">
        <v>2027</v>
      </c>
    </row>
    <row r="268" spans="1:18" x14ac:dyDescent="0.3">
      <c r="A268" t="s">
        <v>1655</v>
      </c>
      <c r="B268" s="45">
        <v>45567</v>
      </c>
      <c r="C268" t="s">
        <v>385</v>
      </c>
      <c r="D268" t="s">
        <v>176</v>
      </c>
      <c r="E268" t="s">
        <v>92</v>
      </c>
      <c r="F268">
        <v>9</v>
      </c>
      <c r="G268">
        <v>1650</v>
      </c>
      <c r="H268">
        <v>19.8</v>
      </c>
      <c r="I268">
        <v>11909.7</v>
      </c>
      <c r="J268" t="s">
        <v>144</v>
      </c>
      <c r="K268" t="s">
        <v>117</v>
      </c>
      <c r="L268">
        <v>0</v>
      </c>
      <c r="M268" t="b">
        <v>1</v>
      </c>
      <c r="N268" t="s">
        <v>2828</v>
      </c>
      <c r="O268" t="s">
        <v>2507</v>
      </c>
      <c r="P268">
        <v>23</v>
      </c>
      <c r="Q268" t="s">
        <v>2855</v>
      </c>
      <c r="R268">
        <v>1222</v>
      </c>
    </row>
    <row r="269" spans="1:18" x14ac:dyDescent="0.3">
      <c r="A269" t="s">
        <v>1652</v>
      </c>
      <c r="B269" s="45">
        <v>45603</v>
      </c>
      <c r="C269" t="s">
        <v>429</v>
      </c>
      <c r="D269" t="s">
        <v>138</v>
      </c>
      <c r="E269" t="s">
        <v>154</v>
      </c>
      <c r="F269">
        <v>3</v>
      </c>
      <c r="G269">
        <v>2600</v>
      </c>
      <c r="H269">
        <v>1.9</v>
      </c>
      <c r="I269">
        <v>7651.8</v>
      </c>
      <c r="J269" t="s">
        <v>87</v>
      </c>
      <c r="K269" t="s">
        <v>117</v>
      </c>
      <c r="L269">
        <v>0</v>
      </c>
      <c r="M269" t="b">
        <v>1</v>
      </c>
      <c r="N269" t="s">
        <v>2784</v>
      </c>
      <c r="O269" t="s">
        <v>2507</v>
      </c>
      <c r="P269">
        <v>55</v>
      </c>
      <c r="Q269" t="s">
        <v>2871</v>
      </c>
      <c r="R269">
        <v>1052</v>
      </c>
    </row>
    <row r="270" spans="1:18" x14ac:dyDescent="0.3">
      <c r="A270" t="s">
        <v>1650</v>
      </c>
      <c r="B270" s="45">
        <v>45614</v>
      </c>
      <c r="C270" t="s">
        <v>1308</v>
      </c>
      <c r="D270" t="s">
        <v>461</v>
      </c>
      <c r="E270" t="s">
        <v>116</v>
      </c>
      <c r="F270">
        <v>9</v>
      </c>
      <c r="G270">
        <v>3780</v>
      </c>
      <c r="H270">
        <v>27.8</v>
      </c>
      <c r="I270">
        <v>24562.44</v>
      </c>
      <c r="J270" t="s">
        <v>140</v>
      </c>
      <c r="K270" t="s">
        <v>94</v>
      </c>
      <c r="L270">
        <v>0</v>
      </c>
      <c r="M270" t="b">
        <v>1</v>
      </c>
      <c r="N270" t="s">
        <v>2839</v>
      </c>
      <c r="O270" t="s">
        <v>2515</v>
      </c>
      <c r="P270">
        <v>51</v>
      </c>
      <c r="Q270" t="s">
        <v>2879</v>
      </c>
      <c r="R270">
        <v>1860</v>
      </c>
    </row>
    <row r="271" spans="1:18" x14ac:dyDescent="0.3">
      <c r="A271" t="s">
        <v>1646</v>
      </c>
      <c r="B271" s="45">
        <v>45650</v>
      </c>
      <c r="C271" t="s">
        <v>388</v>
      </c>
      <c r="D271" t="s">
        <v>276</v>
      </c>
      <c r="E271" t="s">
        <v>192</v>
      </c>
      <c r="F271">
        <v>6</v>
      </c>
      <c r="G271">
        <v>3020</v>
      </c>
      <c r="H271">
        <v>28.5</v>
      </c>
      <c r="I271">
        <v>12955.8</v>
      </c>
      <c r="J271" t="s">
        <v>87</v>
      </c>
      <c r="K271" t="s">
        <v>133</v>
      </c>
      <c r="L271">
        <v>0</v>
      </c>
      <c r="M271" t="b">
        <v>1</v>
      </c>
      <c r="N271" t="s">
        <v>2828</v>
      </c>
      <c r="O271" t="s">
        <v>2507</v>
      </c>
      <c r="P271">
        <v>44</v>
      </c>
      <c r="Q271" t="s">
        <v>2871</v>
      </c>
      <c r="R271">
        <v>1626</v>
      </c>
    </row>
    <row r="272" spans="1:18" x14ac:dyDescent="0.3">
      <c r="A272" t="s">
        <v>1645</v>
      </c>
      <c r="B272" s="45">
        <v>45602</v>
      </c>
      <c r="C272" t="s">
        <v>487</v>
      </c>
      <c r="D272" t="s">
        <v>282</v>
      </c>
      <c r="E272" t="s">
        <v>201</v>
      </c>
      <c r="F272">
        <v>1</v>
      </c>
      <c r="G272">
        <v>300</v>
      </c>
      <c r="H272">
        <v>26.9</v>
      </c>
      <c r="I272">
        <v>219.3</v>
      </c>
      <c r="J272" t="s">
        <v>87</v>
      </c>
      <c r="K272" t="s">
        <v>88</v>
      </c>
      <c r="L272">
        <v>0</v>
      </c>
      <c r="M272" t="b">
        <v>1</v>
      </c>
      <c r="N272" t="s">
        <v>2784</v>
      </c>
      <c r="O272" t="s">
        <v>2509</v>
      </c>
      <c r="P272">
        <v>29</v>
      </c>
      <c r="Q272" t="s">
        <v>2879</v>
      </c>
      <c r="R272">
        <v>128</v>
      </c>
    </row>
    <row r="273" spans="1:18" x14ac:dyDescent="0.3">
      <c r="A273" t="s">
        <v>1641</v>
      </c>
      <c r="B273" s="45">
        <v>45627</v>
      </c>
      <c r="C273" t="s">
        <v>504</v>
      </c>
      <c r="D273" t="s">
        <v>267</v>
      </c>
      <c r="E273" t="s">
        <v>170</v>
      </c>
      <c r="F273">
        <v>3</v>
      </c>
      <c r="G273">
        <v>1220</v>
      </c>
      <c r="H273">
        <v>7.7</v>
      </c>
      <c r="I273">
        <v>3378.18</v>
      </c>
      <c r="J273" t="s">
        <v>93</v>
      </c>
      <c r="K273" t="s">
        <v>117</v>
      </c>
      <c r="L273">
        <v>0</v>
      </c>
      <c r="M273" t="b">
        <v>1</v>
      </c>
      <c r="N273" t="s">
        <v>2784</v>
      </c>
      <c r="O273" t="s">
        <v>2509</v>
      </c>
      <c r="P273">
        <v>36</v>
      </c>
      <c r="Q273" t="s">
        <v>2879</v>
      </c>
      <c r="R273">
        <v>517</v>
      </c>
    </row>
    <row r="274" spans="1:18" x14ac:dyDescent="0.3">
      <c r="A274" t="s">
        <v>1640</v>
      </c>
      <c r="B274" s="45">
        <v>45619</v>
      </c>
      <c r="C274" t="s">
        <v>254</v>
      </c>
      <c r="D274" t="s">
        <v>110</v>
      </c>
      <c r="E274" t="s">
        <v>204</v>
      </c>
      <c r="F274">
        <v>3</v>
      </c>
      <c r="G274">
        <v>370</v>
      </c>
      <c r="H274">
        <v>25.5</v>
      </c>
      <c r="I274">
        <v>826.95</v>
      </c>
      <c r="J274" t="s">
        <v>87</v>
      </c>
      <c r="K274" t="s">
        <v>94</v>
      </c>
      <c r="L274">
        <v>0</v>
      </c>
      <c r="M274" t="b">
        <v>1</v>
      </c>
      <c r="N274" t="s">
        <v>2817</v>
      </c>
      <c r="O274" t="s">
        <v>2507</v>
      </c>
      <c r="P274">
        <v>24</v>
      </c>
      <c r="Q274" t="s">
        <v>2862</v>
      </c>
      <c r="R274">
        <v>288</v>
      </c>
    </row>
    <row r="275" spans="1:18" x14ac:dyDescent="0.3">
      <c r="A275" t="s">
        <v>1629</v>
      </c>
      <c r="B275" s="45">
        <v>45632</v>
      </c>
      <c r="C275" t="s">
        <v>318</v>
      </c>
      <c r="D275" t="s">
        <v>282</v>
      </c>
      <c r="E275" t="s">
        <v>285</v>
      </c>
      <c r="F275">
        <v>5</v>
      </c>
      <c r="G275">
        <v>300</v>
      </c>
      <c r="H275">
        <v>3.8</v>
      </c>
      <c r="I275">
        <v>1443</v>
      </c>
      <c r="J275" t="s">
        <v>87</v>
      </c>
      <c r="K275" t="s">
        <v>94</v>
      </c>
      <c r="L275">
        <v>0</v>
      </c>
      <c r="M275" t="b">
        <v>1</v>
      </c>
      <c r="N275" t="s">
        <v>2784</v>
      </c>
      <c r="O275" t="s">
        <v>2515</v>
      </c>
      <c r="P275">
        <v>57</v>
      </c>
      <c r="Q275" t="s">
        <v>2871</v>
      </c>
      <c r="R275">
        <v>128</v>
      </c>
    </row>
    <row r="276" spans="1:18" x14ac:dyDescent="0.3">
      <c r="A276" t="s">
        <v>1625</v>
      </c>
      <c r="B276" s="45">
        <v>45648</v>
      </c>
      <c r="C276" t="s">
        <v>247</v>
      </c>
      <c r="D276" t="s">
        <v>184</v>
      </c>
      <c r="E276" t="s">
        <v>103</v>
      </c>
      <c r="F276">
        <v>3</v>
      </c>
      <c r="G276">
        <v>4880</v>
      </c>
      <c r="H276">
        <v>6.1</v>
      </c>
      <c r="I276">
        <v>13746.96</v>
      </c>
      <c r="J276" t="s">
        <v>87</v>
      </c>
      <c r="K276" t="s">
        <v>117</v>
      </c>
      <c r="L276">
        <v>0</v>
      </c>
      <c r="M276" t="b">
        <v>1</v>
      </c>
      <c r="N276" t="s">
        <v>2828</v>
      </c>
      <c r="O276" t="s">
        <v>2507</v>
      </c>
      <c r="P276">
        <v>34</v>
      </c>
      <c r="Q276" t="s">
        <v>2855</v>
      </c>
      <c r="R276">
        <v>2768</v>
      </c>
    </row>
    <row r="277" spans="1:18" x14ac:dyDescent="0.3">
      <c r="A277" t="s">
        <v>1624</v>
      </c>
      <c r="B277" s="45">
        <v>45597</v>
      </c>
      <c r="C277" t="s">
        <v>1250</v>
      </c>
      <c r="D277" t="s">
        <v>367</v>
      </c>
      <c r="E277" t="s">
        <v>297</v>
      </c>
      <c r="F277">
        <v>7</v>
      </c>
      <c r="G277">
        <v>2380</v>
      </c>
      <c r="H277">
        <v>15.5</v>
      </c>
      <c r="I277">
        <v>14077.7</v>
      </c>
      <c r="J277" t="s">
        <v>87</v>
      </c>
      <c r="K277" t="s">
        <v>88</v>
      </c>
      <c r="L277">
        <v>0</v>
      </c>
      <c r="M277" t="b">
        <v>1</v>
      </c>
      <c r="N277" t="s">
        <v>2806</v>
      </c>
      <c r="O277" t="s">
        <v>2507</v>
      </c>
      <c r="P277">
        <v>44</v>
      </c>
      <c r="Q277" t="s">
        <v>2855</v>
      </c>
      <c r="R277">
        <v>1182</v>
      </c>
    </row>
    <row r="278" spans="1:18" x14ac:dyDescent="0.3">
      <c r="A278" t="s">
        <v>1617</v>
      </c>
      <c r="B278" s="45">
        <v>45650</v>
      </c>
      <c r="C278" t="s">
        <v>956</v>
      </c>
      <c r="D278" t="s">
        <v>182</v>
      </c>
      <c r="E278" t="s">
        <v>103</v>
      </c>
      <c r="F278">
        <v>4</v>
      </c>
      <c r="G278">
        <v>1010</v>
      </c>
      <c r="H278">
        <v>3.1</v>
      </c>
      <c r="I278">
        <v>3914.76</v>
      </c>
      <c r="J278" t="s">
        <v>87</v>
      </c>
      <c r="K278" t="s">
        <v>112</v>
      </c>
      <c r="L278">
        <v>0</v>
      </c>
      <c r="M278" t="b">
        <v>1</v>
      </c>
      <c r="N278" t="s">
        <v>2839</v>
      </c>
      <c r="O278" t="s">
        <v>2507</v>
      </c>
      <c r="P278">
        <v>49</v>
      </c>
      <c r="Q278" t="s">
        <v>2855</v>
      </c>
      <c r="R278">
        <v>516</v>
      </c>
    </row>
    <row r="279" spans="1:18" x14ac:dyDescent="0.3">
      <c r="A279" t="s">
        <v>1614</v>
      </c>
      <c r="B279" s="45">
        <v>45634</v>
      </c>
      <c r="C279" t="s">
        <v>454</v>
      </c>
      <c r="D279" t="s">
        <v>203</v>
      </c>
      <c r="E279" t="s">
        <v>103</v>
      </c>
      <c r="F279">
        <v>4</v>
      </c>
      <c r="G279">
        <v>660</v>
      </c>
      <c r="H279">
        <v>27.1</v>
      </c>
      <c r="I279">
        <v>1924.56</v>
      </c>
      <c r="J279" t="s">
        <v>87</v>
      </c>
      <c r="K279" t="s">
        <v>133</v>
      </c>
      <c r="L279">
        <v>0</v>
      </c>
      <c r="M279" t="b">
        <v>1</v>
      </c>
      <c r="N279" t="s">
        <v>2817</v>
      </c>
      <c r="O279" t="s">
        <v>2509</v>
      </c>
      <c r="P279">
        <v>43</v>
      </c>
      <c r="Q279" t="s">
        <v>2855</v>
      </c>
      <c r="R279">
        <v>329</v>
      </c>
    </row>
    <row r="280" spans="1:18" x14ac:dyDescent="0.3">
      <c r="A280" t="s">
        <v>1603</v>
      </c>
      <c r="B280" s="45">
        <v>45604</v>
      </c>
      <c r="C280" t="s">
        <v>357</v>
      </c>
      <c r="D280" t="s">
        <v>195</v>
      </c>
      <c r="E280" t="s">
        <v>132</v>
      </c>
      <c r="F280">
        <v>6</v>
      </c>
      <c r="G280">
        <v>2860</v>
      </c>
      <c r="H280">
        <v>6.6</v>
      </c>
      <c r="I280">
        <v>16027.44</v>
      </c>
      <c r="J280" t="s">
        <v>87</v>
      </c>
      <c r="K280" t="s">
        <v>99</v>
      </c>
      <c r="L280">
        <v>0</v>
      </c>
      <c r="M280" t="b">
        <v>1</v>
      </c>
      <c r="N280" t="s">
        <v>2839</v>
      </c>
      <c r="O280" t="s">
        <v>2515</v>
      </c>
      <c r="P280">
        <v>38</v>
      </c>
      <c r="Q280" t="s">
        <v>2862</v>
      </c>
      <c r="R280">
        <v>2028</v>
      </c>
    </row>
    <row r="281" spans="1:18" x14ac:dyDescent="0.3">
      <c r="A281" t="s">
        <v>644</v>
      </c>
      <c r="B281" s="45">
        <v>45638</v>
      </c>
      <c r="C281" t="s">
        <v>403</v>
      </c>
      <c r="D281" t="s">
        <v>452</v>
      </c>
      <c r="E281" t="s">
        <v>252</v>
      </c>
      <c r="F281">
        <v>3</v>
      </c>
      <c r="G281">
        <v>3450</v>
      </c>
      <c r="H281">
        <v>3</v>
      </c>
      <c r="I281">
        <v>10039.5</v>
      </c>
      <c r="J281" t="s">
        <v>87</v>
      </c>
      <c r="K281" t="s">
        <v>117</v>
      </c>
      <c r="L281">
        <v>0</v>
      </c>
      <c r="M281" t="b">
        <v>1</v>
      </c>
      <c r="N281" t="s">
        <v>2795</v>
      </c>
      <c r="O281" t="s">
        <v>2507</v>
      </c>
      <c r="P281">
        <v>59</v>
      </c>
      <c r="Q281" t="s">
        <v>2862</v>
      </c>
      <c r="R281">
        <v>1748</v>
      </c>
    </row>
    <row r="282" spans="1:18" x14ac:dyDescent="0.3">
      <c r="A282" t="s">
        <v>1601</v>
      </c>
      <c r="B282" s="45">
        <v>45626</v>
      </c>
      <c r="C282" t="s">
        <v>900</v>
      </c>
      <c r="D282" t="s">
        <v>267</v>
      </c>
      <c r="E282" t="s">
        <v>204</v>
      </c>
      <c r="F282">
        <v>9</v>
      </c>
      <c r="G282">
        <v>1220</v>
      </c>
      <c r="H282">
        <v>24.1</v>
      </c>
      <c r="I282">
        <v>8333.82</v>
      </c>
      <c r="J282" t="s">
        <v>87</v>
      </c>
      <c r="K282" t="s">
        <v>117</v>
      </c>
      <c r="L282">
        <v>0</v>
      </c>
      <c r="M282" t="b">
        <v>1</v>
      </c>
      <c r="N282" t="s">
        <v>2784</v>
      </c>
      <c r="O282" t="s">
        <v>2507</v>
      </c>
      <c r="P282">
        <v>35</v>
      </c>
      <c r="Q282" t="s">
        <v>2862</v>
      </c>
      <c r="R282">
        <v>517</v>
      </c>
    </row>
    <row r="283" spans="1:18" x14ac:dyDescent="0.3">
      <c r="A283" t="s">
        <v>1592</v>
      </c>
      <c r="B283" s="45">
        <v>45569</v>
      </c>
      <c r="C283" t="s">
        <v>369</v>
      </c>
      <c r="D283" t="s">
        <v>179</v>
      </c>
      <c r="E283" t="s">
        <v>238</v>
      </c>
      <c r="F283">
        <v>1</v>
      </c>
      <c r="G283">
        <v>3350</v>
      </c>
      <c r="H283">
        <v>14.9</v>
      </c>
      <c r="I283">
        <v>2850.85</v>
      </c>
      <c r="J283" t="s">
        <v>87</v>
      </c>
      <c r="K283" t="s">
        <v>94</v>
      </c>
      <c r="L283">
        <v>0</v>
      </c>
      <c r="M283" t="b">
        <v>1</v>
      </c>
      <c r="N283" t="s">
        <v>2828</v>
      </c>
      <c r="O283" t="s">
        <v>2515</v>
      </c>
      <c r="P283">
        <v>62</v>
      </c>
      <c r="Q283" t="s">
        <v>2871</v>
      </c>
      <c r="R283">
        <v>1728</v>
      </c>
    </row>
    <row r="284" spans="1:18" x14ac:dyDescent="0.3">
      <c r="A284" t="s">
        <v>647</v>
      </c>
      <c r="B284" s="45">
        <v>45633</v>
      </c>
      <c r="C284" t="s">
        <v>608</v>
      </c>
      <c r="D284" t="s">
        <v>267</v>
      </c>
      <c r="E284" t="s">
        <v>229</v>
      </c>
      <c r="F284">
        <v>5</v>
      </c>
      <c r="G284">
        <v>1220</v>
      </c>
      <c r="H284">
        <v>4</v>
      </c>
      <c r="I284">
        <v>5856</v>
      </c>
      <c r="J284" t="s">
        <v>140</v>
      </c>
      <c r="K284" t="s">
        <v>88</v>
      </c>
      <c r="L284">
        <v>0</v>
      </c>
      <c r="M284" t="b">
        <v>1</v>
      </c>
      <c r="N284" t="s">
        <v>2784</v>
      </c>
      <c r="O284" t="s">
        <v>2509</v>
      </c>
      <c r="P284">
        <v>40</v>
      </c>
      <c r="Q284" t="s">
        <v>2879</v>
      </c>
      <c r="R284">
        <v>517</v>
      </c>
    </row>
    <row r="285" spans="1:18" x14ac:dyDescent="0.3">
      <c r="A285" t="s">
        <v>1588</v>
      </c>
      <c r="B285" s="45">
        <v>45627</v>
      </c>
      <c r="C285" t="s">
        <v>886</v>
      </c>
      <c r="D285" t="s">
        <v>259</v>
      </c>
      <c r="E285" t="s">
        <v>238</v>
      </c>
      <c r="F285">
        <v>5</v>
      </c>
      <c r="G285">
        <v>1540</v>
      </c>
      <c r="H285">
        <v>18.100000000000001</v>
      </c>
      <c r="I285">
        <v>6306.3</v>
      </c>
      <c r="J285" t="s">
        <v>87</v>
      </c>
      <c r="K285" t="s">
        <v>94</v>
      </c>
      <c r="L285">
        <v>0</v>
      </c>
      <c r="M285" t="b">
        <v>0</v>
      </c>
      <c r="N285" t="s">
        <v>2828</v>
      </c>
      <c r="O285" t="s">
        <v>2509</v>
      </c>
      <c r="P285">
        <v>44</v>
      </c>
      <c r="Q285" t="s">
        <v>2871</v>
      </c>
      <c r="R285">
        <v>647</v>
      </c>
    </row>
    <row r="286" spans="1:18" x14ac:dyDescent="0.3">
      <c r="A286" t="s">
        <v>1585</v>
      </c>
      <c r="B286" s="45">
        <v>45622</v>
      </c>
      <c r="C286" t="s">
        <v>114</v>
      </c>
      <c r="D286" t="s">
        <v>248</v>
      </c>
      <c r="E286" t="s">
        <v>238</v>
      </c>
      <c r="F286">
        <v>3</v>
      </c>
      <c r="G286">
        <v>3870</v>
      </c>
      <c r="H286">
        <v>21.9</v>
      </c>
      <c r="I286">
        <v>9067.41</v>
      </c>
      <c r="J286" t="s">
        <v>93</v>
      </c>
      <c r="K286" t="s">
        <v>117</v>
      </c>
      <c r="L286">
        <v>0</v>
      </c>
      <c r="M286" t="b">
        <v>1</v>
      </c>
      <c r="N286" t="s">
        <v>2784</v>
      </c>
      <c r="O286" t="s">
        <v>2507</v>
      </c>
      <c r="P286">
        <v>27</v>
      </c>
      <c r="Q286" t="s">
        <v>2871</v>
      </c>
      <c r="R286">
        <v>1559</v>
      </c>
    </row>
    <row r="287" spans="1:18" x14ac:dyDescent="0.3">
      <c r="A287" t="s">
        <v>1580</v>
      </c>
      <c r="B287" s="45">
        <v>45653</v>
      </c>
      <c r="C287" t="s">
        <v>1499</v>
      </c>
      <c r="D287" t="s">
        <v>226</v>
      </c>
      <c r="E287" t="s">
        <v>325</v>
      </c>
      <c r="F287">
        <v>9</v>
      </c>
      <c r="G287">
        <v>3730</v>
      </c>
      <c r="H287">
        <v>15.5</v>
      </c>
      <c r="I287">
        <v>28366.65</v>
      </c>
      <c r="J287" t="s">
        <v>87</v>
      </c>
      <c r="K287" t="s">
        <v>94</v>
      </c>
      <c r="L287">
        <v>0</v>
      </c>
      <c r="M287" t="b">
        <v>1</v>
      </c>
      <c r="N287" t="s">
        <v>2817</v>
      </c>
      <c r="O287" t="s">
        <v>2507</v>
      </c>
      <c r="P287">
        <v>26</v>
      </c>
      <c r="Q287" t="s">
        <v>2862</v>
      </c>
      <c r="R287">
        <v>2135</v>
      </c>
    </row>
    <row r="288" spans="1:18" x14ac:dyDescent="0.3">
      <c r="A288" t="s">
        <v>1579</v>
      </c>
      <c r="B288" s="45">
        <v>45656</v>
      </c>
      <c r="C288" t="s">
        <v>493</v>
      </c>
      <c r="D288" t="s">
        <v>157</v>
      </c>
      <c r="E288" t="s">
        <v>215</v>
      </c>
      <c r="F288">
        <v>6</v>
      </c>
      <c r="G288">
        <v>3450</v>
      </c>
      <c r="H288">
        <v>13</v>
      </c>
      <c r="I288">
        <v>18009</v>
      </c>
      <c r="J288" t="s">
        <v>87</v>
      </c>
      <c r="K288" t="s">
        <v>88</v>
      </c>
      <c r="L288">
        <v>0</v>
      </c>
      <c r="M288" t="b">
        <v>1</v>
      </c>
      <c r="N288" t="s">
        <v>2828</v>
      </c>
      <c r="O288" t="s">
        <v>2507</v>
      </c>
      <c r="P288">
        <v>57</v>
      </c>
      <c r="Q288" t="s">
        <v>2855</v>
      </c>
      <c r="R288">
        <v>2420</v>
      </c>
    </row>
    <row r="289" spans="1:18" x14ac:dyDescent="0.3">
      <c r="A289" t="s">
        <v>1573</v>
      </c>
      <c r="B289" s="45">
        <v>45638</v>
      </c>
      <c r="C289" t="s">
        <v>1038</v>
      </c>
      <c r="D289" t="s">
        <v>248</v>
      </c>
      <c r="E289" t="s">
        <v>92</v>
      </c>
      <c r="F289">
        <v>10</v>
      </c>
      <c r="G289">
        <v>3870</v>
      </c>
      <c r="H289">
        <v>4.9000000000000004</v>
      </c>
      <c r="I289">
        <v>36803.699999999997</v>
      </c>
      <c r="J289" t="s">
        <v>140</v>
      </c>
      <c r="K289" t="s">
        <v>117</v>
      </c>
      <c r="L289">
        <v>0</v>
      </c>
      <c r="M289" t="b">
        <v>1</v>
      </c>
      <c r="N289" t="s">
        <v>2784</v>
      </c>
      <c r="O289" t="s">
        <v>2509</v>
      </c>
      <c r="P289">
        <v>55</v>
      </c>
      <c r="Q289" t="s">
        <v>2855</v>
      </c>
      <c r="R289">
        <v>1559</v>
      </c>
    </row>
    <row r="290" spans="1:18" x14ac:dyDescent="0.3">
      <c r="A290" t="s">
        <v>1571</v>
      </c>
      <c r="B290" s="45">
        <v>45588</v>
      </c>
      <c r="C290" t="s">
        <v>101</v>
      </c>
      <c r="D290" t="s">
        <v>131</v>
      </c>
      <c r="E290" t="s">
        <v>325</v>
      </c>
      <c r="F290">
        <v>6</v>
      </c>
      <c r="G290">
        <v>2270</v>
      </c>
      <c r="H290">
        <v>9.3000000000000007</v>
      </c>
      <c r="I290">
        <v>12353.34</v>
      </c>
      <c r="J290" t="s">
        <v>87</v>
      </c>
      <c r="K290" t="s">
        <v>99</v>
      </c>
      <c r="L290">
        <v>0</v>
      </c>
      <c r="M290" t="b">
        <v>1</v>
      </c>
      <c r="N290" t="s">
        <v>2806</v>
      </c>
      <c r="O290" t="s">
        <v>2509</v>
      </c>
      <c r="P290">
        <v>46</v>
      </c>
      <c r="Q290" t="s">
        <v>2862</v>
      </c>
      <c r="R290">
        <v>1203</v>
      </c>
    </row>
    <row r="291" spans="1:18" x14ac:dyDescent="0.3">
      <c r="A291" t="s">
        <v>1569</v>
      </c>
      <c r="B291" s="45">
        <v>45609</v>
      </c>
      <c r="C291" t="s">
        <v>902</v>
      </c>
      <c r="D291" t="s">
        <v>164</v>
      </c>
      <c r="E291" t="s">
        <v>158</v>
      </c>
      <c r="F291">
        <v>9</v>
      </c>
      <c r="G291">
        <v>1080</v>
      </c>
      <c r="H291">
        <v>19.2</v>
      </c>
      <c r="I291">
        <v>7853.76</v>
      </c>
      <c r="J291" t="s">
        <v>93</v>
      </c>
      <c r="K291" t="s">
        <v>112</v>
      </c>
      <c r="L291">
        <v>0</v>
      </c>
      <c r="M291" t="b">
        <v>1</v>
      </c>
      <c r="N291" t="s">
        <v>2817</v>
      </c>
      <c r="O291" t="s">
        <v>2507</v>
      </c>
      <c r="P291">
        <v>37</v>
      </c>
      <c r="Q291" t="s">
        <v>2871</v>
      </c>
      <c r="R291">
        <v>519</v>
      </c>
    </row>
    <row r="292" spans="1:18" x14ac:dyDescent="0.3">
      <c r="A292" t="s">
        <v>1561</v>
      </c>
      <c r="B292" s="45">
        <v>45636</v>
      </c>
      <c r="C292" t="s">
        <v>305</v>
      </c>
      <c r="D292" t="s">
        <v>110</v>
      </c>
      <c r="E292" t="s">
        <v>86</v>
      </c>
      <c r="F292">
        <v>1</v>
      </c>
      <c r="G292">
        <v>370</v>
      </c>
      <c r="H292">
        <v>10</v>
      </c>
      <c r="I292">
        <v>333</v>
      </c>
      <c r="J292" t="s">
        <v>87</v>
      </c>
      <c r="K292" t="s">
        <v>133</v>
      </c>
      <c r="L292">
        <v>0</v>
      </c>
      <c r="M292" t="b">
        <v>1</v>
      </c>
      <c r="N292" t="s">
        <v>2817</v>
      </c>
      <c r="O292" t="s">
        <v>2509</v>
      </c>
      <c r="P292">
        <v>46</v>
      </c>
      <c r="Q292" t="s">
        <v>2855</v>
      </c>
      <c r="R292">
        <v>288</v>
      </c>
    </row>
    <row r="293" spans="1:18" x14ac:dyDescent="0.3">
      <c r="A293" t="s">
        <v>1559</v>
      </c>
      <c r="B293" s="45">
        <v>45592</v>
      </c>
      <c r="C293" t="s">
        <v>1560</v>
      </c>
      <c r="D293" t="s">
        <v>515</v>
      </c>
      <c r="E293" t="s">
        <v>343</v>
      </c>
      <c r="F293">
        <v>6</v>
      </c>
      <c r="G293">
        <v>6940</v>
      </c>
      <c r="H293">
        <v>20</v>
      </c>
      <c r="I293">
        <v>33312</v>
      </c>
      <c r="J293" t="s">
        <v>87</v>
      </c>
      <c r="K293" t="s">
        <v>94</v>
      </c>
      <c r="L293">
        <v>0</v>
      </c>
      <c r="M293" t="b">
        <v>1</v>
      </c>
      <c r="N293" t="s">
        <v>2839</v>
      </c>
      <c r="O293" t="e">
        <v>#N/A</v>
      </c>
      <c r="P293" t="e">
        <v>#N/A</v>
      </c>
      <c r="Q293" t="s">
        <v>2879</v>
      </c>
      <c r="R293">
        <v>2827</v>
      </c>
    </row>
    <row r="294" spans="1:18" x14ac:dyDescent="0.3">
      <c r="A294" t="s">
        <v>1551</v>
      </c>
      <c r="B294" s="45">
        <v>45618</v>
      </c>
      <c r="C294" t="s">
        <v>872</v>
      </c>
      <c r="D294" t="s">
        <v>234</v>
      </c>
      <c r="E294" t="s">
        <v>303</v>
      </c>
      <c r="F294">
        <v>7</v>
      </c>
      <c r="G294">
        <v>3780</v>
      </c>
      <c r="H294">
        <v>8.5</v>
      </c>
      <c r="I294">
        <v>24210.9</v>
      </c>
      <c r="J294" t="s">
        <v>140</v>
      </c>
      <c r="K294" t="s">
        <v>112</v>
      </c>
      <c r="L294">
        <v>0</v>
      </c>
      <c r="M294" t="b">
        <v>1</v>
      </c>
      <c r="N294" t="s">
        <v>2806</v>
      </c>
      <c r="O294" t="s">
        <v>2509</v>
      </c>
      <c r="P294">
        <v>62</v>
      </c>
      <c r="Q294" t="s">
        <v>2871</v>
      </c>
      <c r="R294">
        <v>2436</v>
      </c>
    </row>
    <row r="295" spans="1:18" x14ac:dyDescent="0.3">
      <c r="A295" t="s">
        <v>661</v>
      </c>
      <c r="B295" s="45">
        <v>45619</v>
      </c>
      <c r="C295" t="s">
        <v>662</v>
      </c>
      <c r="D295" t="s">
        <v>515</v>
      </c>
      <c r="E295" t="s">
        <v>103</v>
      </c>
      <c r="F295">
        <v>8</v>
      </c>
      <c r="G295">
        <v>6940</v>
      </c>
      <c r="H295">
        <v>3.2</v>
      </c>
      <c r="I295">
        <v>53743.360000000001</v>
      </c>
      <c r="J295" t="s">
        <v>140</v>
      </c>
      <c r="K295" t="s">
        <v>94</v>
      </c>
      <c r="L295">
        <v>0</v>
      </c>
      <c r="M295" t="b">
        <v>1</v>
      </c>
      <c r="N295" t="s">
        <v>2839</v>
      </c>
      <c r="O295" t="s">
        <v>2509</v>
      </c>
      <c r="P295">
        <v>41</v>
      </c>
      <c r="Q295" t="s">
        <v>2855</v>
      </c>
      <c r="R295">
        <v>2827</v>
      </c>
    </row>
    <row r="296" spans="1:18" x14ac:dyDescent="0.3">
      <c r="A296" t="s">
        <v>663</v>
      </c>
      <c r="B296" s="45">
        <v>45617</v>
      </c>
      <c r="C296" t="s">
        <v>312</v>
      </c>
      <c r="D296" t="s">
        <v>106</v>
      </c>
      <c r="E296" t="s">
        <v>188</v>
      </c>
      <c r="F296">
        <v>7</v>
      </c>
      <c r="G296">
        <v>3160</v>
      </c>
      <c r="H296">
        <v>3.6</v>
      </c>
      <c r="I296">
        <v>21323.68</v>
      </c>
      <c r="J296" t="s">
        <v>87</v>
      </c>
      <c r="K296" t="s">
        <v>133</v>
      </c>
      <c r="L296">
        <v>1</v>
      </c>
      <c r="M296" t="b">
        <v>1</v>
      </c>
      <c r="N296" t="s">
        <v>2795</v>
      </c>
      <c r="O296" t="s">
        <v>2507</v>
      </c>
      <c r="P296">
        <v>46</v>
      </c>
      <c r="Q296" t="s">
        <v>2862</v>
      </c>
      <c r="R296">
        <v>1886</v>
      </c>
    </row>
    <row r="297" spans="1:18" x14ac:dyDescent="0.3">
      <c r="A297" t="s">
        <v>664</v>
      </c>
      <c r="B297" s="45">
        <v>45640</v>
      </c>
      <c r="C297" t="s">
        <v>485</v>
      </c>
      <c r="D297" t="s">
        <v>102</v>
      </c>
      <c r="E297" t="s">
        <v>107</v>
      </c>
      <c r="F297">
        <v>2</v>
      </c>
      <c r="G297">
        <v>3660</v>
      </c>
      <c r="H297">
        <v>30</v>
      </c>
      <c r="I297">
        <v>5124</v>
      </c>
      <c r="J297" t="s">
        <v>93</v>
      </c>
      <c r="K297" t="s">
        <v>88</v>
      </c>
      <c r="L297">
        <v>0</v>
      </c>
      <c r="M297" t="b">
        <v>0</v>
      </c>
      <c r="N297" t="s">
        <v>2806</v>
      </c>
      <c r="O297" t="s">
        <v>2507</v>
      </c>
      <c r="P297">
        <v>49</v>
      </c>
      <c r="Q297" t="s">
        <v>2855</v>
      </c>
      <c r="R297">
        <v>2214</v>
      </c>
    </row>
    <row r="298" spans="1:18" x14ac:dyDescent="0.3">
      <c r="A298" t="s">
        <v>1547</v>
      </c>
      <c r="B298" s="45">
        <v>45617</v>
      </c>
      <c r="C298" t="s">
        <v>429</v>
      </c>
      <c r="D298" t="s">
        <v>237</v>
      </c>
      <c r="E298" t="s">
        <v>98</v>
      </c>
      <c r="F298">
        <v>1</v>
      </c>
      <c r="G298">
        <v>3640</v>
      </c>
      <c r="H298">
        <v>8.8000000000000007</v>
      </c>
      <c r="I298">
        <v>3319.68</v>
      </c>
      <c r="J298" t="s">
        <v>87</v>
      </c>
      <c r="K298" t="s">
        <v>117</v>
      </c>
      <c r="L298">
        <v>0</v>
      </c>
      <c r="M298" t="b">
        <v>1</v>
      </c>
      <c r="N298" t="s">
        <v>2795</v>
      </c>
      <c r="O298" t="s">
        <v>2507</v>
      </c>
      <c r="P298">
        <v>55</v>
      </c>
      <c r="Q298" t="s">
        <v>2862</v>
      </c>
      <c r="R298">
        <v>2611</v>
      </c>
    </row>
    <row r="299" spans="1:18" x14ac:dyDescent="0.3">
      <c r="A299" t="s">
        <v>1546</v>
      </c>
      <c r="B299" s="45">
        <v>45594</v>
      </c>
      <c r="C299" t="s">
        <v>294</v>
      </c>
      <c r="D299" t="s">
        <v>115</v>
      </c>
      <c r="E299" t="s">
        <v>121</v>
      </c>
      <c r="F299">
        <v>10</v>
      </c>
      <c r="G299">
        <v>960</v>
      </c>
      <c r="H299">
        <v>17.899999999999999</v>
      </c>
      <c r="I299">
        <v>7881.6</v>
      </c>
      <c r="J299" t="s">
        <v>87</v>
      </c>
      <c r="K299" t="s">
        <v>133</v>
      </c>
      <c r="L299">
        <v>0</v>
      </c>
      <c r="M299" t="b">
        <v>1</v>
      </c>
      <c r="N299" t="s">
        <v>2839</v>
      </c>
      <c r="O299" t="s">
        <v>2515</v>
      </c>
      <c r="P299">
        <v>43</v>
      </c>
      <c r="Q299" t="s">
        <v>2871</v>
      </c>
      <c r="R299">
        <v>705</v>
      </c>
    </row>
    <row r="300" spans="1:18" x14ac:dyDescent="0.3">
      <c r="A300" t="s">
        <v>1542</v>
      </c>
      <c r="B300" s="45">
        <v>45586</v>
      </c>
      <c r="C300" t="s">
        <v>533</v>
      </c>
      <c r="D300" t="s">
        <v>380</v>
      </c>
      <c r="E300" t="s">
        <v>201</v>
      </c>
      <c r="F300">
        <v>5</v>
      </c>
      <c r="G300">
        <v>960</v>
      </c>
      <c r="H300">
        <v>11.4</v>
      </c>
      <c r="I300">
        <v>4252.8</v>
      </c>
      <c r="J300" t="s">
        <v>87</v>
      </c>
      <c r="K300" t="s">
        <v>99</v>
      </c>
      <c r="L300">
        <v>0</v>
      </c>
      <c r="M300" t="b">
        <v>1</v>
      </c>
      <c r="N300" t="s">
        <v>2828</v>
      </c>
      <c r="O300" t="s">
        <v>2515</v>
      </c>
      <c r="P300">
        <v>48</v>
      </c>
      <c r="Q300" t="s">
        <v>2879</v>
      </c>
      <c r="R300">
        <v>675</v>
      </c>
    </row>
    <row r="301" spans="1:18" x14ac:dyDescent="0.3">
      <c r="A301" t="s">
        <v>1536</v>
      </c>
      <c r="B301" s="45">
        <v>45578</v>
      </c>
      <c r="C301" t="s">
        <v>454</v>
      </c>
      <c r="D301" t="s">
        <v>191</v>
      </c>
      <c r="E301" t="s">
        <v>201</v>
      </c>
      <c r="F301">
        <v>8</v>
      </c>
      <c r="G301">
        <v>5100</v>
      </c>
      <c r="H301">
        <v>26.9</v>
      </c>
      <c r="I301">
        <v>29824.799999999999</v>
      </c>
      <c r="J301" t="s">
        <v>87</v>
      </c>
      <c r="K301" t="s">
        <v>133</v>
      </c>
      <c r="L301">
        <v>0</v>
      </c>
      <c r="M301" t="b">
        <v>1</v>
      </c>
      <c r="N301" t="s">
        <v>2828</v>
      </c>
      <c r="O301" t="s">
        <v>2509</v>
      </c>
      <c r="P301">
        <v>43</v>
      </c>
      <c r="Q301" t="s">
        <v>2879</v>
      </c>
      <c r="R301">
        <v>2237</v>
      </c>
    </row>
    <row r="302" spans="1:18" x14ac:dyDescent="0.3">
      <c r="A302" t="s">
        <v>670</v>
      </c>
      <c r="B302" s="45">
        <v>45624</v>
      </c>
      <c r="C302" t="s">
        <v>269</v>
      </c>
      <c r="D302" t="s">
        <v>355</v>
      </c>
      <c r="E302" t="s">
        <v>170</v>
      </c>
      <c r="F302">
        <v>3</v>
      </c>
      <c r="G302">
        <v>2510</v>
      </c>
      <c r="H302">
        <v>17.399999999999999</v>
      </c>
      <c r="I302">
        <v>6219.78</v>
      </c>
      <c r="J302" t="s">
        <v>87</v>
      </c>
      <c r="K302" t="s">
        <v>112</v>
      </c>
      <c r="L302">
        <v>0</v>
      </c>
      <c r="M302" t="b">
        <v>0</v>
      </c>
      <c r="N302" t="s">
        <v>2795</v>
      </c>
      <c r="O302" t="s">
        <v>2507</v>
      </c>
      <c r="P302">
        <v>40</v>
      </c>
      <c r="Q302" t="s">
        <v>2879</v>
      </c>
      <c r="R302">
        <v>1075</v>
      </c>
    </row>
    <row r="303" spans="1:18" x14ac:dyDescent="0.3">
      <c r="A303" t="s">
        <v>671</v>
      </c>
      <c r="B303" s="45">
        <v>45635</v>
      </c>
      <c r="C303" t="s">
        <v>565</v>
      </c>
      <c r="D303" t="s">
        <v>164</v>
      </c>
      <c r="E303" t="s">
        <v>139</v>
      </c>
      <c r="F303">
        <v>1</v>
      </c>
      <c r="G303">
        <v>1080</v>
      </c>
      <c r="H303">
        <v>13.9</v>
      </c>
      <c r="I303">
        <v>929.88</v>
      </c>
      <c r="J303" t="s">
        <v>87</v>
      </c>
      <c r="K303" t="s">
        <v>112</v>
      </c>
      <c r="L303">
        <v>0</v>
      </c>
      <c r="M303" t="b">
        <v>1</v>
      </c>
      <c r="N303" t="s">
        <v>2817</v>
      </c>
      <c r="O303" t="s">
        <v>2515</v>
      </c>
      <c r="P303">
        <v>61</v>
      </c>
      <c r="Q303" t="s">
        <v>2855</v>
      </c>
      <c r="R303">
        <v>519</v>
      </c>
    </row>
    <row r="304" spans="1:18" x14ac:dyDescent="0.3">
      <c r="A304" t="s">
        <v>1532</v>
      </c>
      <c r="B304" s="45">
        <v>45646</v>
      </c>
      <c r="C304" t="s">
        <v>382</v>
      </c>
      <c r="D304" t="s">
        <v>367</v>
      </c>
      <c r="E304" t="s">
        <v>325</v>
      </c>
      <c r="F304">
        <v>7</v>
      </c>
      <c r="G304">
        <v>2380</v>
      </c>
      <c r="H304">
        <v>10.6</v>
      </c>
      <c r="I304">
        <v>14894.04</v>
      </c>
      <c r="J304" t="s">
        <v>140</v>
      </c>
      <c r="K304" t="s">
        <v>99</v>
      </c>
      <c r="L304">
        <v>0</v>
      </c>
      <c r="M304" t="b">
        <v>1</v>
      </c>
      <c r="N304" t="s">
        <v>2806</v>
      </c>
      <c r="O304" t="s">
        <v>2509</v>
      </c>
      <c r="P304">
        <v>27</v>
      </c>
      <c r="Q304" t="s">
        <v>2862</v>
      </c>
      <c r="R304">
        <v>1182</v>
      </c>
    </row>
    <row r="305" spans="1:18" x14ac:dyDescent="0.3">
      <c r="A305" t="s">
        <v>1531</v>
      </c>
      <c r="B305" s="45">
        <v>45589</v>
      </c>
      <c r="C305" t="s">
        <v>407</v>
      </c>
      <c r="D305" t="s">
        <v>127</v>
      </c>
      <c r="E305" t="s">
        <v>148</v>
      </c>
      <c r="F305">
        <v>8</v>
      </c>
      <c r="G305">
        <v>970</v>
      </c>
      <c r="H305">
        <v>13.1</v>
      </c>
      <c r="I305">
        <v>6743.44</v>
      </c>
      <c r="J305" t="s">
        <v>87</v>
      </c>
      <c r="K305" t="s">
        <v>88</v>
      </c>
      <c r="L305">
        <v>0</v>
      </c>
      <c r="M305" t="b">
        <v>1</v>
      </c>
      <c r="N305" t="s">
        <v>2806</v>
      </c>
      <c r="O305" t="s">
        <v>2515</v>
      </c>
      <c r="P305">
        <v>53</v>
      </c>
      <c r="Q305" t="s">
        <v>2855</v>
      </c>
      <c r="R305">
        <v>434</v>
      </c>
    </row>
    <row r="306" spans="1:18" x14ac:dyDescent="0.3">
      <c r="A306" t="s">
        <v>675</v>
      </c>
      <c r="B306" s="45">
        <v>45653</v>
      </c>
      <c r="C306" t="s">
        <v>676</v>
      </c>
      <c r="D306" t="s">
        <v>106</v>
      </c>
      <c r="E306" t="s">
        <v>346</v>
      </c>
      <c r="F306">
        <v>1</v>
      </c>
      <c r="G306">
        <v>3160</v>
      </c>
      <c r="H306">
        <v>10.7</v>
      </c>
      <c r="I306">
        <v>2821.88</v>
      </c>
      <c r="J306" t="s">
        <v>87</v>
      </c>
      <c r="K306" t="s">
        <v>88</v>
      </c>
      <c r="L306">
        <v>0</v>
      </c>
      <c r="M306" t="b">
        <v>1</v>
      </c>
      <c r="N306" t="s">
        <v>2795</v>
      </c>
      <c r="O306" t="s">
        <v>2515</v>
      </c>
      <c r="P306">
        <v>35</v>
      </c>
      <c r="Q306" t="s">
        <v>2862</v>
      </c>
      <c r="R306">
        <v>1886</v>
      </c>
    </row>
    <row r="307" spans="1:18" x14ac:dyDescent="0.3">
      <c r="A307" t="s">
        <v>1528</v>
      </c>
      <c r="B307" s="45">
        <v>45640</v>
      </c>
      <c r="C307" t="s">
        <v>1529</v>
      </c>
      <c r="D307" t="s">
        <v>184</v>
      </c>
      <c r="E307" t="s">
        <v>107</v>
      </c>
      <c r="F307">
        <v>10</v>
      </c>
      <c r="G307">
        <v>4880</v>
      </c>
      <c r="H307">
        <v>7.3</v>
      </c>
      <c r="I307">
        <v>45237.599999999999</v>
      </c>
      <c r="J307" t="s">
        <v>87</v>
      </c>
      <c r="K307" t="s">
        <v>94</v>
      </c>
      <c r="L307">
        <v>0</v>
      </c>
      <c r="M307" t="b">
        <v>1</v>
      </c>
      <c r="N307" t="s">
        <v>2828</v>
      </c>
      <c r="O307" t="s">
        <v>2507</v>
      </c>
      <c r="P307">
        <v>31</v>
      </c>
      <c r="Q307" t="s">
        <v>2855</v>
      </c>
      <c r="R307">
        <v>2768</v>
      </c>
    </row>
    <row r="308" spans="1:18" x14ac:dyDescent="0.3">
      <c r="A308" t="s">
        <v>678</v>
      </c>
      <c r="B308" s="45">
        <v>45633</v>
      </c>
      <c r="C308" t="s">
        <v>638</v>
      </c>
      <c r="D308" t="s">
        <v>226</v>
      </c>
      <c r="E308" t="s">
        <v>204</v>
      </c>
      <c r="F308">
        <v>9</v>
      </c>
      <c r="G308">
        <v>3730</v>
      </c>
      <c r="H308">
        <v>10</v>
      </c>
      <c r="I308">
        <v>30213</v>
      </c>
      <c r="J308" t="s">
        <v>87</v>
      </c>
      <c r="K308" t="s">
        <v>99</v>
      </c>
      <c r="L308">
        <v>0</v>
      </c>
      <c r="M308" t="b">
        <v>1</v>
      </c>
      <c r="N308" t="s">
        <v>2817</v>
      </c>
      <c r="O308" t="s">
        <v>2507</v>
      </c>
      <c r="P308">
        <v>43</v>
      </c>
      <c r="Q308" t="s">
        <v>2862</v>
      </c>
      <c r="R308">
        <v>2135</v>
      </c>
    </row>
    <row r="309" spans="1:18" x14ac:dyDescent="0.3">
      <c r="A309" t="s">
        <v>1522</v>
      </c>
      <c r="B309" s="45">
        <v>45578</v>
      </c>
      <c r="C309" t="s">
        <v>490</v>
      </c>
      <c r="D309" t="s">
        <v>515</v>
      </c>
      <c r="E309" t="s">
        <v>204</v>
      </c>
      <c r="F309">
        <v>4</v>
      </c>
      <c r="G309">
        <v>6940</v>
      </c>
      <c r="H309">
        <v>3.9</v>
      </c>
      <c r="I309">
        <v>26677.360000000001</v>
      </c>
      <c r="J309" t="s">
        <v>140</v>
      </c>
      <c r="K309" t="s">
        <v>99</v>
      </c>
      <c r="L309">
        <v>0</v>
      </c>
      <c r="M309" t="b">
        <v>1</v>
      </c>
      <c r="N309" t="s">
        <v>2839</v>
      </c>
      <c r="O309" t="s">
        <v>2507</v>
      </c>
      <c r="P309">
        <v>59</v>
      </c>
      <c r="Q309" t="s">
        <v>2862</v>
      </c>
      <c r="R309">
        <v>2827</v>
      </c>
    </row>
    <row r="310" spans="1:18" x14ac:dyDescent="0.3">
      <c r="A310" t="s">
        <v>1520</v>
      </c>
      <c r="B310" s="45">
        <v>45622</v>
      </c>
      <c r="C310" t="s">
        <v>289</v>
      </c>
      <c r="D310" t="s">
        <v>110</v>
      </c>
      <c r="E310" t="s">
        <v>192</v>
      </c>
      <c r="F310">
        <v>6</v>
      </c>
      <c r="G310">
        <v>370</v>
      </c>
      <c r="H310">
        <v>5.4</v>
      </c>
      <c r="I310">
        <v>2100.12</v>
      </c>
      <c r="J310" t="s">
        <v>87</v>
      </c>
      <c r="K310" t="s">
        <v>94</v>
      </c>
      <c r="L310">
        <v>0</v>
      </c>
      <c r="M310" t="b">
        <v>1</v>
      </c>
      <c r="N310" t="s">
        <v>2817</v>
      </c>
      <c r="O310" t="s">
        <v>2507</v>
      </c>
      <c r="P310">
        <v>38</v>
      </c>
      <c r="Q310" t="s">
        <v>2871</v>
      </c>
      <c r="R310">
        <v>288</v>
      </c>
    </row>
    <row r="311" spans="1:18" x14ac:dyDescent="0.3">
      <c r="A311" t="s">
        <v>1506</v>
      </c>
      <c r="B311" s="45">
        <v>45600</v>
      </c>
      <c r="C311" t="s">
        <v>602</v>
      </c>
      <c r="D311" t="s">
        <v>120</v>
      </c>
      <c r="E311" t="s">
        <v>121</v>
      </c>
      <c r="F311">
        <v>10</v>
      </c>
      <c r="G311">
        <v>1430</v>
      </c>
      <c r="H311">
        <v>3.7</v>
      </c>
      <c r="I311">
        <v>13770.9</v>
      </c>
      <c r="J311" t="s">
        <v>87</v>
      </c>
      <c r="K311" t="s">
        <v>94</v>
      </c>
      <c r="L311">
        <v>0</v>
      </c>
      <c r="M311" t="b">
        <v>1</v>
      </c>
      <c r="N311" t="s">
        <v>2784</v>
      </c>
      <c r="O311" t="s">
        <v>2507</v>
      </c>
      <c r="P311">
        <v>61</v>
      </c>
      <c r="Q311" t="s">
        <v>2871</v>
      </c>
      <c r="R311">
        <v>861</v>
      </c>
    </row>
    <row r="312" spans="1:18" x14ac:dyDescent="0.3">
      <c r="A312" t="s">
        <v>1496</v>
      </c>
      <c r="B312" s="45">
        <v>45598</v>
      </c>
      <c r="C312" t="s">
        <v>785</v>
      </c>
      <c r="D312" t="s">
        <v>127</v>
      </c>
      <c r="E312" t="s">
        <v>116</v>
      </c>
      <c r="F312">
        <v>7</v>
      </c>
      <c r="G312">
        <v>970</v>
      </c>
      <c r="H312">
        <v>25.5</v>
      </c>
      <c r="I312">
        <v>5058.55</v>
      </c>
      <c r="J312" t="s">
        <v>87</v>
      </c>
      <c r="K312" t="s">
        <v>88</v>
      </c>
      <c r="L312">
        <v>0</v>
      </c>
      <c r="M312" t="b">
        <v>1</v>
      </c>
      <c r="N312" t="s">
        <v>2806</v>
      </c>
      <c r="O312" t="s">
        <v>2507</v>
      </c>
      <c r="P312">
        <v>31</v>
      </c>
      <c r="Q312" t="s">
        <v>2879</v>
      </c>
      <c r="R312">
        <v>434</v>
      </c>
    </row>
    <row r="313" spans="1:18" x14ac:dyDescent="0.3">
      <c r="A313" t="s">
        <v>1491</v>
      </c>
      <c r="B313" s="45">
        <v>45630</v>
      </c>
      <c r="C313" t="s">
        <v>537</v>
      </c>
      <c r="D313" t="s">
        <v>131</v>
      </c>
      <c r="E313" t="s">
        <v>107</v>
      </c>
      <c r="F313">
        <v>4</v>
      </c>
      <c r="G313">
        <v>2270</v>
      </c>
      <c r="H313">
        <v>18.399999999999999</v>
      </c>
      <c r="I313">
        <v>7409.28</v>
      </c>
      <c r="J313" t="s">
        <v>87</v>
      </c>
      <c r="K313" t="s">
        <v>133</v>
      </c>
      <c r="L313">
        <v>0</v>
      </c>
      <c r="M313" t="b">
        <v>1</v>
      </c>
      <c r="N313" t="s">
        <v>2806</v>
      </c>
      <c r="O313" t="s">
        <v>2515</v>
      </c>
      <c r="P313">
        <v>48</v>
      </c>
      <c r="Q313" t="s">
        <v>2855</v>
      </c>
      <c r="R313">
        <v>1203</v>
      </c>
    </row>
    <row r="314" spans="1:18" x14ac:dyDescent="0.3">
      <c r="A314" t="s">
        <v>1489</v>
      </c>
      <c r="B314" s="45">
        <v>45630</v>
      </c>
      <c r="C314" t="s">
        <v>1361</v>
      </c>
      <c r="D314" t="s">
        <v>237</v>
      </c>
      <c r="E314" t="s">
        <v>215</v>
      </c>
      <c r="F314">
        <v>3</v>
      </c>
      <c r="G314">
        <v>3640</v>
      </c>
      <c r="H314">
        <v>18.2</v>
      </c>
      <c r="I314">
        <v>8932.56</v>
      </c>
      <c r="J314" t="s">
        <v>87</v>
      </c>
      <c r="K314" t="s">
        <v>94</v>
      </c>
      <c r="L314">
        <v>0</v>
      </c>
      <c r="M314" t="b">
        <v>1</v>
      </c>
      <c r="N314" t="s">
        <v>2795</v>
      </c>
      <c r="O314" t="s">
        <v>2507</v>
      </c>
      <c r="P314">
        <v>34</v>
      </c>
      <c r="Q314" t="s">
        <v>2855</v>
      </c>
      <c r="R314">
        <v>2611</v>
      </c>
    </row>
    <row r="315" spans="1:18" x14ac:dyDescent="0.3">
      <c r="A315" t="s">
        <v>1488</v>
      </c>
      <c r="B315" s="45">
        <v>45585</v>
      </c>
      <c r="C315" t="s">
        <v>390</v>
      </c>
      <c r="D315" t="s">
        <v>195</v>
      </c>
      <c r="E315" t="s">
        <v>215</v>
      </c>
      <c r="F315">
        <v>10</v>
      </c>
      <c r="G315">
        <v>2860</v>
      </c>
      <c r="H315">
        <v>13.1</v>
      </c>
      <c r="I315">
        <v>24853.4</v>
      </c>
      <c r="J315" t="s">
        <v>144</v>
      </c>
      <c r="K315" t="s">
        <v>88</v>
      </c>
      <c r="L315">
        <v>0</v>
      </c>
      <c r="M315" t="b">
        <v>1</v>
      </c>
      <c r="N315" t="s">
        <v>2839</v>
      </c>
      <c r="O315" t="s">
        <v>2515</v>
      </c>
      <c r="P315">
        <v>54</v>
      </c>
      <c r="Q315" t="s">
        <v>2855</v>
      </c>
      <c r="R315">
        <v>2028</v>
      </c>
    </row>
    <row r="316" spans="1:18" x14ac:dyDescent="0.3">
      <c r="A316" t="s">
        <v>690</v>
      </c>
      <c r="B316" s="45">
        <v>45592</v>
      </c>
      <c r="C316" t="s">
        <v>482</v>
      </c>
      <c r="D316" t="s">
        <v>131</v>
      </c>
      <c r="E316" t="s">
        <v>188</v>
      </c>
      <c r="F316">
        <v>8</v>
      </c>
      <c r="G316">
        <v>2270</v>
      </c>
      <c r="H316">
        <v>19.8</v>
      </c>
      <c r="I316">
        <v>14564.32</v>
      </c>
      <c r="J316" t="s">
        <v>93</v>
      </c>
      <c r="K316" t="s">
        <v>133</v>
      </c>
      <c r="L316">
        <v>0</v>
      </c>
      <c r="M316" t="b">
        <v>1</v>
      </c>
      <c r="N316" t="s">
        <v>2806</v>
      </c>
      <c r="O316" t="s">
        <v>2509</v>
      </c>
      <c r="P316">
        <v>52</v>
      </c>
      <c r="Q316" t="s">
        <v>2862</v>
      </c>
      <c r="R316">
        <v>1203</v>
      </c>
    </row>
    <row r="317" spans="1:18" x14ac:dyDescent="0.3">
      <c r="A317" t="s">
        <v>1470</v>
      </c>
      <c r="B317" s="45">
        <v>45632</v>
      </c>
      <c r="C317" t="s">
        <v>427</v>
      </c>
      <c r="D317" t="s">
        <v>248</v>
      </c>
      <c r="E317" t="s">
        <v>252</v>
      </c>
      <c r="F317">
        <v>2</v>
      </c>
      <c r="G317">
        <v>3870</v>
      </c>
      <c r="H317">
        <v>5.2</v>
      </c>
      <c r="I317">
        <v>7337.52</v>
      </c>
      <c r="J317" t="s">
        <v>87</v>
      </c>
      <c r="K317" t="s">
        <v>88</v>
      </c>
      <c r="L317">
        <v>0</v>
      </c>
      <c r="M317" t="b">
        <v>1</v>
      </c>
      <c r="N317" t="s">
        <v>2784</v>
      </c>
      <c r="O317" t="s">
        <v>2509</v>
      </c>
      <c r="P317">
        <v>48</v>
      </c>
      <c r="Q317" t="s">
        <v>2862</v>
      </c>
      <c r="R317">
        <v>1559</v>
      </c>
    </row>
    <row r="318" spans="1:18" x14ac:dyDescent="0.3">
      <c r="A318" t="s">
        <v>1467</v>
      </c>
      <c r="B318" s="45">
        <v>45577</v>
      </c>
      <c r="C318" t="s">
        <v>835</v>
      </c>
      <c r="D318" t="s">
        <v>226</v>
      </c>
      <c r="E318" t="s">
        <v>343</v>
      </c>
      <c r="F318">
        <v>4</v>
      </c>
      <c r="G318">
        <v>3730</v>
      </c>
      <c r="H318">
        <v>2.1</v>
      </c>
      <c r="I318">
        <v>14606.68</v>
      </c>
      <c r="J318" t="s">
        <v>87</v>
      </c>
      <c r="K318" t="s">
        <v>117</v>
      </c>
      <c r="L318">
        <v>0</v>
      </c>
      <c r="M318" t="b">
        <v>1</v>
      </c>
      <c r="N318" t="s">
        <v>2817</v>
      </c>
      <c r="O318" t="s">
        <v>2507</v>
      </c>
      <c r="P318">
        <v>52</v>
      </c>
      <c r="Q318" t="s">
        <v>2879</v>
      </c>
      <c r="R318">
        <v>2135</v>
      </c>
    </row>
    <row r="319" spans="1:18" x14ac:dyDescent="0.3">
      <c r="A319" t="s">
        <v>1460</v>
      </c>
      <c r="B319" s="45">
        <v>45628</v>
      </c>
      <c r="C319" t="s">
        <v>1350</v>
      </c>
      <c r="D319" t="s">
        <v>157</v>
      </c>
      <c r="E319" t="s">
        <v>285</v>
      </c>
      <c r="F319">
        <v>8</v>
      </c>
      <c r="G319">
        <v>3450</v>
      </c>
      <c r="H319">
        <v>3.7</v>
      </c>
      <c r="I319">
        <v>26578.799999999999</v>
      </c>
      <c r="J319" t="s">
        <v>87</v>
      </c>
      <c r="K319" t="s">
        <v>112</v>
      </c>
      <c r="L319">
        <v>0</v>
      </c>
      <c r="M319" t="b">
        <v>1</v>
      </c>
      <c r="N319" t="s">
        <v>2828</v>
      </c>
      <c r="O319" t="s">
        <v>2507</v>
      </c>
      <c r="P319">
        <v>38</v>
      </c>
      <c r="Q319" t="s">
        <v>2871</v>
      </c>
      <c r="R319">
        <v>2420</v>
      </c>
    </row>
    <row r="320" spans="1:18" x14ac:dyDescent="0.3">
      <c r="A320" t="s">
        <v>694</v>
      </c>
      <c r="B320" s="45">
        <v>45632</v>
      </c>
      <c r="C320" t="s">
        <v>490</v>
      </c>
      <c r="D320" t="s">
        <v>106</v>
      </c>
      <c r="E320" t="s">
        <v>215</v>
      </c>
      <c r="F320">
        <v>7</v>
      </c>
      <c r="G320">
        <v>3160</v>
      </c>
      <c r="H320">
        <v>8.9</v>
      </c>
      <c r="I320">
        <v>20151.32</v>
      </c>
      <c r="J320" t="s">
        <v>87</v>
      </c>
      <c r="K320" t="s">
        <v>99</v>
      </c>
      <c r="L320">
        <v>0</v>
      </c>
      <c r="M320" t="b">
        <v>1</v>
      </c>
      <c r="N320" t="s">
        <v>2795</v>
      </c>
      <c r="O320" t="s">
        <v>2507</v>
      </c>
      <c r="P320">
        <v>59</v>
      </c>
      <c r="Q320" t="s">
        <v>2855</v>
      </c>
      <c r="R320">
        <v>1886</v>
      </c>
    </row>
    <row r="321" spans="1:18" x14ac:dyDescent="0.3">
      <c r="A321" t="s">
        <v>695</v>
      </c>
      <c r="B321" s="45">
        <v>45592</v>
      </c>
      <c r="C321" t="s">
        <v>210</v>
      </c>
      <c r="D321" t="s">
        <v>182</v>
      </c>
      <c r="E321" t="s">
        <v>252</v>
      </c>
      <c r="F321">
        <v>6</v>
      </c>
      <c r="G321">
        <v>1010</v>
      </c>
      <c r="H321">
        <v>12.9</v>
      </c>
      <c r="I321">
        <v>5278.26</v>
      </c>
      <c r="J321" t="s">
        <v>87</v>
      </c>
      <c r="K321" t="s">
        <v>99</v>
      </c>
      <c r="L321">
        <v>0</v>
      </c>
      <c r="M321" t="b">
        <v>1</v>
      </c>
      <c r="N321" t="s">
        <v>2839</v>
      </c>
      <c r="O321" t="s">
        <v>2507</v>
      </c>
      <c r="P321">
        <v>41</v>
      </c>
      <c r="Q321" t="s">
        <v>2862</v>
      </c>
      <c r="R321">
        <v>516</v>
      </c>
    </row>
    <row r="322" spans="1:18" x14ac:dyDescent="0.3">
      <c r="A322" t="s">
        <v>1456</v>
      </c>
      <c r="B322" s="45">
        <v>45611</v>
      </c>
      <c r="C322" t="s">
        <v>868</v>
      </c>
      <c r="D322" t="s">
        <v>203</v>
      </c>
      <c r="E322" t="s">
        <v>273</v>
      </c>
      <c r="F322">
        <v>7</v>
      </c>
      <c r="G322">
        <v>660</v>
      </c>
      <c r="H322">
        <v>17.3</v>
      </c>
      <c r="I322">
        <v>3820.74</v>
      </c>
      <c r="J322" t="s">
        <v>87</v>
      </c>
      <c r="K322" t="s">
        <v>99</v>
      </c>
      <c r="L322">
        <v>0</v>
      </c>
      <c r="M322" t="b">
        <v>1</v>
      </c>
      <c r="N322" t="s">
        <v>2817</v>
      </c>
      <c r="O322" t="s">
        <v>2515</v>
      </c>
      <c r="P322">
        <v>38</v>
      </c>
      <c r="Q322" t="s">
        <v>2862</v>
      </c>
      <c r="R322">
        <v>329</v>
      </c>
    </row>
    <row r="323" spans="1:18" x14ac:dyDescent="0.3">
      <c r="A323" t="s">
        <v>1454</v>
      </c>
      <c r="B323" s="45">
        <v>45573</v>
      </c>
      <c r="C323" t="s">
        <v>284</v>
      </c>
      <c r="D323" t="s">
        <v>443</v>
      </c>
      <c r="E323" t="s">
        <v>285</v>
      </c>
      <c r="F323">
        <v>7</v>
      </c>
      <c r="G323">
        <v>5080</v>
      </c>
      <c r="H323">
        <v>6.5</v>
      </c>
      <c r="I323">
        <v>33248.6</v>
      </c>
      <c r="J323" t="s">
        <v>87</v>
      </c>
      <c r="K323" t="s">
        <v>94</v>
      </c>
      <c r="L323">
        <v>0</v>
      </c>
      <c r="M323" t="b">
        <v>1</v>
      </c>
      <c r="N323" t="s">
        <v>2817</v>
      </c>
      <c r="O323" t="s">
        <v>2507</v>
      </c>
      <c r="P323">
        <v>28</v>
      </c>
      <c r="Q323" t="s">
        <v>2871</v>
      </c>
      <c r="R323">
        <v>2459</v>
      </c>
    </row>
    <row r="324" spans="1:18" x14ac:dyDescent="0.3">
      <c r="A324" t="s">
        <v>1452</v>
      </c>
      <c r="B324" s="45">
        <v>45606</v>
      </c>
      <c r="C324" t="s">
        <v>407</v>
      </c>
      <c r="D324" t="s">
        <v>367</v>
      </c>
      <c r="E324" t="s">
        <v>285</v>
      </c>
      <c r="F324">
        <v>4</v>
      </c>
      <c r="G324">
        <v>2380</v>
      </c>
      <c r="H324">
        <v>9.5</v>
      </c>
      <c r="I324">
        <v>8615.6</v>
      </c>
      <c r="J324" t="s">
        <v>140</v>
      </c>
      <c r="K324" t="s">
        <v>88</v>
      </c>
      <c r="L324">
        <v>0</v>
      </c>
      <c r="M324" t="b">
        <v>1</v>
      </c>
      <c r="N324" t="s">
        <v>2806</v>
      </c>
      <c r="O324" t="s">
        <v>2515</v>
      </c>
      <c r="P324">
        <v>53</v>
      </c>
      <c r="Q324" t="s">
        <v>2871</v>
      </c>
      <c r="R324">
        <v>1182</v>
      </c>
    </row>
    <row r="325" spans="1:18" x14ac:dyDescent="0.3">
      <c r="A325" t="s">
        <v>1450</v>
      </c>
      <c r="B325" s="45">
        <v>45566</v>
      </c>
      <c r="C325" t="s">
        <v>1451</v>
      </c>
      <c r="D325" t="s">
        <v>127</v>
      </c>
      <c r="E325" t="s">
        <v>325</v>
      </c>
      <c r="F325">
        <v>1</v>
      </c>
      <c r="G325">
        <v>970</v>
      </c>
      <c r="H325">
        <v>24.9</v>
      </c>
      <c r="I325">
        <v>728.47</v>
      </c>
      <c r="J325" t="s">
        <v>87</v>
      </c>
      <c r="K325" t="s">
        <v>117</v>
      </c>
      <c r="L325">
        <v>0</v>
      </c>
      <c r="M325" t="b">
        <v>1</v>
      </c>
      <c r="N325" t="s">
        <v>2806</v>
      </c>
      <c r="O325" t="e">
        <v>#N/A</v>
      </c>
      <c r="P325" t="e">
        <v>#N/A</v>
      </c>
      <c r="Q325" t="s">
        <v>2862</v>
      </c>
      <c r="R325">
        <v>434</v>
      </c>
    </row>
    <row r="326" spans="1:18" x14ac:dyDescent="0.3">
      <c r="A326" t="s">
        <v>1449</v>
      </c>
      <c r="B326" s="45">
        <v>45612</v>
      </c>
      <c r="C326" t="s">
        <v>959</v>
      </c>
      <c r="D326" t="s">
        <v>167</v>
      </c>
      <c r="E326" t="s">
        <v>107</v>
      </c>
      <c r="F326">
        <v>9</v>
      </c>
      <c r="G326">
        <v>2480</v>
      </c>
      <c r="H326">
        <v>15.6</v>
      </c>
      <c r="I326">
        <v>18838.080000000002</v>
      </c>
      <c r="J326" t="s">
        <v>87</v>
      </c>
      <c r="K326" t="s">
        <v>112</v>
      </c>
      <c r="L326">
        <v>0</v>
      </c>
      <c r="M326" t="b">
        <v>1</v>
      </c>
      <c r="N326" t="s">
        <v>2795</v>
      </c>
      <c r="O326" t="s">
        <v>2515</v>
      </c>
      <c r="P326">
        <v>65</v>
      </c>
      <c r="Q326" t="s">
        <v>2855</v>
      </c>
      <c r="R326">
        <v>1173</v>
      </c>
    </row>
    <row r="327" spans="1:18" x14ac:dyDescent="0.3">
      <c r="A327" t="s">
        <v>1444</v>
      </c>
      <c r="B327" s="45">
        <v>45602</v>
      </c>
      <c r="C327" t="s">
        <v>373</v>
      </c>
      <c r="D327" t="s">
        <v>131</v>
      </c>
      <c r="E327" t="s">
        <v>139</v>
      </c>
      <c r="F327">
        <v>4</v>
      </c>
      <c r="G327">
        <v>2270</v>
      </c>
      <c r="H327">
        <v>28.9</v>
      </c>
      <c r="I327">
        <v>6455.88</v>
      </c>
      <c r="J327" t="s">
        <v>87</v>
      </c>
      <c r="K327" t="s">
        <v>88</v>
      </c>
      <c r="L327">
        <v>0</v>
      </c>
      <c r="M327" t="b">
        <v>1</v>
      </c>
      <c r="N327" t="s">
        <v>2806</v>
      </c>
      <c r="O327" t="s">
        <v>2507</v>
      </c>
      <c r="P327">
        <v>43</v>
      </c>
      <c r="Q327" t="s">
        <v>2855</v>
      </c>
      <c r="R327">
        <v>1203</v>
      </c>
    </row>
    <row r="328" spans="1:18" x14ac:dyDescent="0.3">
      <c r="A328" t="s">
        <v>1436</v>
      </c>
      <c r="B328" s="45">
        <v>45579</v>
      </c>
      <c r="C328" t="s">
        <v>447</v>
      </c>
      <c r="D328" t="s">
        <v>164</v>
      </c>
      <c r="E328" t="s">
        <v>201</v>
      </c>
      <c r="F328">
        <v>8</v>
      </c>
      <c r="G328">
        <v>1080</v>
      </c>
      <c r="H328">
        <v>8.6999999999999993</v>
      </c>
      <c r="I328">
        <v>7888.32</v>
      </c>
      <c r="J328" t="s">
        <v>87</v>
      </c>
      <c r="K328" t="s">
        <v>112</v>
      </c>
      <c r="L328">
        <v>0</v>
      </c>
      <c r="M328" t="b">
        <v>1</v>
      </c>
      <c r="N328" t="s">
        <v>2817</v>
      </c>
      <c r="O328" t="s">
        <v>2507</v>
      </c>
      <c r="P328">
        <v>41</v>
      </c>
      <c r="Q328" t="s">
        <v>2879</v>
      </c>
      <c r="R328">
        <v>519</v>
      </c>
    </row>
    <row r="329" spans="1:18" x14ac:dyDescent="0.3">
      <c r="A329" t="s">
        <v>1433</v>
      </c>
      <c r="B329" s="45">
        <v>45575</v>
      </c>
      <c r="C329" t="s">
        <v>597</v>
      </c>
      <c r="D329" t="s">
        <v>161</v>
      </c>
      <c r="E329" t="s">
        <v>346</v>
      </c>
      <c r="F329">
        <v>3</v>
      </c>
      <c r="G329">
        <v>3450</v>
      </c>
      <c r="H329">
        <v>4.7</v>
      </c>
      <c r="I329">
        <v>9863.5499999999993</v>
      </c>
      <c r="J329" t="s">
        <v>93</v>
      </c>
      <c r="K329" t="s">
        <v>112</v>
      </c>
      <c r="L329">
        <v>0</v>
      </c>
      <c r="M329" t="b">
        <v>1</v>
      </c>
      <c r="N329" t="s">
        <v>2839</v>
      </c>
      <c r="O329" t="s">
        <v>2507</v>
      </c>
      <c r="P329">
        <v>39</v>
      </c>
      <c r="Q329" t="s">
        <v>2862</v>
      </c>
      <c r="R329">
        <v>2467</v>
      </c>
    </row>
    <row r="330" spans="1:18" x14ac:dyDescent="0.3">
      <c r="A330" t="s">
        <v>1430</v>
      </c>
      <c r="B330" s="45">
        <v>45591</v>
      </c>
      <c r="C330" t="s">
        <v>522</v>
      </c>
      <c r="D330" t="s">
        <v>443</v>
      </c>
      <c r="E330" t="s">
        <v>98</v>
      </c>
      <c r="F330">
        <v>4</v>
      </c>
      <c r="G330">
        <v>5080</v>
      </c>
      <c r="H330">
        <v>2</v>
      </c>
      <c r="I330">
        <v>19913.599999999999</v>
      </c>
      <c r="J330" t="s">
        <v>87</v>
      </c>
      <c r="K330" t="s">
        <v>1431</v>
      </c>
      <c r="L330">
        <v>0</v>
      </c>
      <c r="M330" t="b">
        <v>1</v>
      </c>
      <c r="N330" t="s">
        <v>2817</v>
      </c>
      <c r="O330" t="s">
        <v>2515</v>
      </c>
      <c r="P330">
        <v>55</v>
      </c>
      <c r="Q330" t="s">
        <v>2862</v>
      </c>
      <c r="R330">
        <v>2459</v>
      </c>
    </row>
    <row r="331" spans="1:18" x14ac:dyDescent="0.3">
      <c r="A331" t="s">
        <v>1424</v>
      </c>
      <c r="B331" s="45">
        <v>45567</v>
      </c>
      <c r="C331" t="s">
        <v>250</v>
      </c>
      <c r="D331" t="s">
        <v>259</v>
      </c>
      <c r="E331" t="s">
        <v>170</v>
      </c>
      <c r="F331">
        <v>2</v>
      </c>
      <c r="G331">
        <v>1540</v>
      </c>
      <c r="H331">
        <v>17.7</v>
      </c>
      <c r="I331">
        <v>2534.84</v>
      </c>
      <c r="J331" t="s">
        <v>87</v>
      </c>
      <c r="K331" t="s">
        <v>117</v>
      </c>
      <c r="L331">
        <v>0</v>
      </c>
      <c r="M331" t="b">
        <v>0</v>
      </c>
      <c r="N331" t="s">
        <v>2828</v>
      </c>
      <c r="O331" t="s">
        <v>2515</v>
      </c>
      <c r="P331">
        <v>34</v>
      </c>
      <c r="Q331" t="s">
        <v>2879</v>
      </c>
      <c r="R331">
        <v>647</v>
      </c>
    </row>
    <row r="332" spans="1:18" x14ac:dyDescent="0.3">
      <c r="A332" t="s">
        <v>711</v>
      </c>
      <c r="B332" s="45">
        <v>45646</v>
      </c>
      <c r="C332" t="s">
        <v>712</v>
      </c>
      <c r="D332" t="s">
        <v>276</v>
      </c>
      <c r="E332" t="s">
        <v>116</v>
      </c>
      <c r="F332">
        <v>9</v>
      </c>
      <c r="G332">
        <v>3020</v>
      </c>
      <c r="H332">
        <v>7.9</v>
      </c>
      <c r="I332">
        <v>25032.78</v>
      </c>
      <c r="J332" t="s">
        <v>87</v>
      </c>
      <c r="K332" t="s">
        <v>112</v>
      </c>
      <c r="L332">
        <v>0</v>
      </c>
      <c r="M332" t="b">
        <v>1</v>
      </c>
      <c r="N332" t="s">
        <v>2828</v>
      </c>
      <c r="O332" t="s">
        <v>2509</v>
      </c>
      <c r="P332">
        <v>51</v>
      </c>
      <c r="Q332" t="s">
        <v>2879</v>
      </c>
      <c r="R332">
        <v>1626</v>
      </c>
    </row>
    <row r="333" spans="1:18" x14ac:dyDescent="0.3">
      <c r="A333" t="s">
        <v>713</v>
      </c>
      <c r="B333" s="45">
        <v>45645</v>
      </c>
      <c r="C333" t="s">
        <v>714</v>
      </c>
      <c r="D333" t="s">
        <v>248</v>
      </c>
      <c r="E333" t="s">
        <v>229</v>
      </c>
      <c r="F333">
        <v>8</v>
      </c>
      <c r="G333">
        <v>3870</v>
      </c>
      <c r="H333">
        <v>11.9</v>
      </c>
      <c r="I333">
        <v>27275.759999999998</v>
      </c>
      <c r="J333" t="s">
        <v>87</v>
      </c>
      <c r="K333" t="s">
        <v>99</v>
      </c>
      <c r="L333">
        <v>0</v>
      </c>
      <c r="M333" t="b">
        <v>1</v>
      </c>
      <c r="N333" t="s">
        <v>2784</v>
      </c>
      <c r="O333" t="s">
        <v>2507</v>
      </c>
      <c r="P333">
        <v>24</v>
      </c>
      <c r="Q333" t="s">
        <v>2879</v>
      </c>
      <c r="R333">
        <v>1559</v>
      </c>
    </row>
    <row r="334" spans="1:18" x14ac:dyDescent="0.3">
      <c r="A334" t="s">
        <v>1421</v>
      </c>
      <c r="B334" s="45">
        <v>45610</v>
      </c>
      <c r="C334" t="s">
        <v>615</v>
      </c>
      <c r="D334" t="s">
        <v>515</v>
      </c>
      <c r="E334" t="s">
        <v>215</v>
      </c>
      <c r="F334">
        <v>5</v>
      </c>
      <c r="G334">
        <v>6940</v>
      </c>
      <c r="H334">
        <v>1.5</v>
      </c>
      <c r="I334">
        <v>34179.5</v>
      </c>
      <c r="J334" t="s">
        <v>87</v>
      </c>
      <c r="K334" t="s">
        <v>112</v>
      </c>
      <c r="L334">
        <v>0</v>
      </c>
      <c r="M334" t="b">
        <v>1</v>
      </c>
      <c r="N334" t="s">
        <v>2839</v>
      </c>
      <c r="O334" t="s">
        <v>2507</v>
      </c>
      <c r="P334">
        <v>53</v>
      </c>
      <c r="Q334" t="s">
        <v>2855</v>
      </c>
      <c r="R334">
        <v>2827</v>
      </c>
    </row>
    <row r="335" spans="1:18" x14ac:dyDescent="0.3">
      <c r="A335" t="s">
        <v>716</v>
      </c>
      <c r="B335" s="45">
        <v>45655</v>
      </c>
      <c r="C335" t="s">
        <v>717</v>
      </c>
      <c r="D335" t="s">
        <v>191</v>
      </c>
      <c r="E335" t="s">
        <v>107</v>
      </c>
      <c r="F335">
        <v>9</v>
      </c>
      <c r="G335">
        <v>5100</v>
      </c>
      <c r="H335">
        <v>2.1</v>
      </c>
      <c r="I335">
        <v>44936.1</v>
      </c>
      <c r="J335" t="s">
        <v>87</v>
      </c>
      <c r="K335" t="s">
        <v>94</v>
      </c>
      <c r="L335">
        <v>0</v>
      </c>
      <c r="M335" t="b">
        <v>1</v>
      </c>
      <c r="N335" t="s">
        <v>2828</v>
      </c>
      <c r="O335" t="s">
        <v>2507</v>
      </c>
      <c r="P335">
        <v>24</v>
      </c>
      <c r="Q335" t="s">
        <v>2855</v>
      </c>
      <c r="R335">
        <v>2237</v>
      </c>
    </row>
    <row r="336" spans="1:18" x14ac:dyDescent="0.3">
      <c r="A336" t="s">
        <v>1420</v>
      </c>
      <c r="B336" s="45">
        <v>45618</v>
      </c>
      <c r="C336" t="s">
        <v>197</v>
      </c>
      <c r="D336" t="s">
        <v>408</v>
      </c>
      <c r="E336" t="s">
        <v>170</v>
      </c>
      <c r="F336">
        <v>7</v>
      </c>
      <c r="G336">
        <v>3970</v>
      </c>
      <c r="H336">
        <v>12.3</v>
      </c>
      <c r="I336">
        <v>24371.83</v>
      </c>
      <c r="J336" t="s">
        <v>87</v>
      </c>
      <c r="K336" t="s">
        <v>88</v>
      </c>
      <c r="L336">
        <v>0</v>
      </c>
      <c r="M336" t="b">
        <v>1</v>
      </c>
      <c r="N336" t="s">
        <v>2784</v>
      </c>
      <c r="O336" t="s">
        <v>2509</v>
      </c>
      <c r="P336">
        <v>47</v>
      </c>
      <c r="Q336" t="s">
        <v>2879</v>
      </c>
      <c r="R336">
        <v>2865</v>
      </c>
    </row>
    <row r="337" spans="1:18" x14ac:dyDescent="0.3">
      <c r="A337" t="s">
        <v>1407</v>
      </c>
      <c r="B337" s="45">
        <v>45613</v>
      </c>
      <c r="C337" t="s">
        <v>870</v>
      </c>
      <c r="D337" t="s">
        <v>295</v>
      </c>
      <c r="E337" t="s">
        <v>346</v>
      </c>
      <c r="F337">
        <v>4</v>
      </c>
      <c r="G337">
        <v>2030</v>
      </c>
      <c r="H337">
        <v>25.7</v>
      </c>
      <c r="I337">
        <v>6033.16</v>
      </c>
      <c r="J337" t="s">
        <v>87</v>
      </c>
      <c r="K337" t="s">
        <v>117</v>
      </c>
      <c r="L337">
        <v>0</v>
      </c>
      <c r="M337" t="b">
        <v>1</v>
      </c>
      <c r="N337" t="s">
        <v>2817</v>
      </c>
      <c r="O337" t="s">
        <v>2507</v>
      </c>
      <c r="P337">
        <v>47</v>
      </c>
      <c r="Q337" t="s">
        <v>2862</v>
      </c>
      <c r="R337">
        <v>1143</v>
      </c>
    </row>
    <row r="338" spans="1:18" x14ac:dyDescent="0.3">
      <c r="A338" t="s">
        <v>1405</v>
      </c>
      <c r="B338" s="45">
        <v>45579</v>
      </c>
      <c r="C338" t="s">
        <v>606</v>
      </c>
      <c r="D338" t="s">
        <v>452</v>
      </c>
      <c r="E338" t="s">
        <v>303</v>
      </c>
      <c r="F338">
        <v>4</v>
      </c>
      <c r="G338">
        <v>3450</v>
      </c>
      <c r="H338">
        <v>11.7</v>
      </c>
      <c r="I338">
        <v>12185.4</v>
      </c>
      <c r="J338" t="s">
        <v>140</v>
      </c>
      <c r="K338" t="s">
        <v>112</v>
      </c>
      <c r="L338">
        <v>0</v>
      </c>
      <c r="M338" t="b">
        <v>1</v>
      </c>
      <c r="N338" t="s">
        <v>2795</v>
      </c>
      <c r="O338" t="s">
        <v>2507</v>
      </c>
      <c r="P338">
        <v>52</v>
      </c>
      <c r="Q338" t="s">
        <v>2871</v>
      </c>
      <c r="R338">
        <v>1748</v>
      </c>
    </row>
    <row r="339" spans="1:18" x14ac:dyDescent="0.3">
      <c r="A339" t="s">
        <v>722</v>
      </c>
      <c r="B339" s="45">
        <v>45618</v>
      </c>
      <c r="C339" t="s">
        <v>142</v>
      </c>
      <c r="D339" t="s">
        <v>355</v>
      </c>
      <c r="E339" t="s">
        <v>116</v>
      </c>
      <c r="F339">
        <v>5</v>
      </c>
      <c r="G339">
        <v>2510</v>
      </c>
      <c r="H339">
        <v>25</v>
      </c>
      <c r="I339">
        <v>9412.5</v>
      </c>
      <c r="J339" t="s">
        <v>87</v>
      </c>
      <c r="K339" t="s">
        <v>88</v>
      </c>
      <c r="L339">
        <v>0</v>
      </c>
      <c r="M339" t="b">
        <v>0</v>
      </c>
      <c r="N339" t="s">
        <v>2795</v>
      </c>
      <c r="O339" t="s">
        <v>2515</v>
      </c>
      <c r="P339">
        <v>39</v>
      </c>
      <c r="Q339" t="s">
        <v>2879</v>
      </c>
      <c r="R339">
        <v>1075</v>
      </c>
    </row>
    <row r="340" spans="1:18" x14ac:dyDescent="0.3">
      <c r="A340" t="s">
        <v>1404</v>
      </c>
      <c r="B340" s="45">
        <v>45625</v>
      </c>
      <c r="C340" t="s">
        <v>990</v>
      </c>
      <c r="D340" t="s">
        <v>131</v>
      </c>
      <c r="E340" t="s">
        <v>273</v>
      </c>
      <c r="F340">
        <v>1</v>
      </c>
      <c r="G340">
        <v>2270</v>
      </c>
      <c r="H340">
        <v>14.9</v>
      </c>
      <c r="I340">
        <v>1931.77</v>
      </c>
      <c r="J340" t="s">
        <v>87</v>
      </c>
      <c r="K340" t="s">
        <v>117</v>
      </c>
      <c r="L340">
        <v>0</v>
      </c>
      <c r="M340" t="b">
        <v>1</v>
      </c>
      <c r="N340" t="s">
        <v>2806</v>
      </c>
      <c r="O340" t="s">
        <v>2507</v>
      </c>
      <c r="P340">
        <v>61</v>
      </c>
      <c r="Q340" t="s">
        <v>2862</v>
      </c>
      <c r="R340">
        <v>1203</v>
      </c>
    </row>
    <row r="341" spans="1:18" x14ac:dyDescent="0.3">
      <c r="A341" t="s">
        <v>1397</v>
      </c>
      <c r="B341" s="45">
        <v>45571</v>
      </c>
      <c r="C341" t="s">
        <v>485</v>
      </c>
      <c r="D341" t="s">
        <v>110</v>
      </c>
      <c r="E341" t="s">
        <v>107</v>
      </c>
      <c r="F341">
        <v>2</v>
      </c>
      <c r="G341">
        <v>370</v>
      </c>
      <c r="H341">
        <v>17.7</v>
      </c>
      <c r="I341">
        <v>609.02</v>
      </c>
      <c r="J341" t="s">
        <v>87</v>
      </c>
      <c r="K341" t="s">
        <v>88</v>
      </c>
      <c r="L341">
        <v>0</v>
      </c>
      <c r="M341" t="b">
        <v>1</v>
      </c>
      <c r="N341" t="s">
        <v>2817</v>
      </c>
      <c r="O341" t="s">
        <v>2507</v>
      </c>
      <c r="P341">
        <v>49</v>
      </c>
      <c r="Q341" t="s">
        <v>2855</v>
      </c>
      <c r="R341">
        <v>288</v>
      </c>
    </row>
    <row r="342" spans="1:18" x14ac:dyDescent="0.3">
      <c r="A342" t="s">
        <v>1391</v>
      </c>
      <c r="B342" s="45">
        <v>45633</v>
      </c>
      <c r="C342" t="s">
        <v>256</v>
      </c>
      <c r="D342" t="s">
        <v>85</v>
      </c>
      <c r="E342" t="s">
        <v>139</v>
      </c>
      <c r="F342">
        <v>4</v>
      </c>
      <c r="G342">
        <v>3620</v>
      </c>
      <c r="H342">
        <v>11.7</v>
      </c>
      <c r="I342">
        <v>12785.84</v>
      </c>
      <c r="J342" t="s">
        <v>87</v>
      </c>
      <c r="K342" t="s">
        <v>133</v>
      </c>
      <c r="L342">
        <v>0</v>
      </c>
      <c r="M342" t="b">
        <v>1</v>
      </c>
      <c r="N342" t="s">
        <v>2795</v>
      </c>
      <c r="O342" t="s">
        <v>2507</v>
      </c>
      <c r="P342">
        <v>27</v>
      </c>
      <c r="Q342" t="s">
        <v>2855</v>
      </c>
      <c r="R342">
        <v>2509</v>
      </c>
    </row>
    <row r="343" spans="1:18" x14ac:dyDescent="0.3">
      <c r="A343" t="s">
        <v>727</v>
      </c>
      <c r="B343" s="45">
        <v>45590</v>
      </c>
      <c r="C343" t="s">
        <v>256</v>
      </c>
      <c r="D343" t="s">
        <v>364</v>
      </c>
      <c r="E343" t="s">
        <v>229</v>
      </c>
      <c r="F343">
        <v>3</v>
      </c>
      <c r="G343">
        <v>5330</v>
      </c>
      <c r="H343">
        <v>16.2</v>
      </c>
      <c r="I343">
        <v>13399.62</v>
      </c>
      <c r="J343" t="s">
        <v>87</v>
      </c>
      <c r="K343" t="s">
        <v>133</v>
      </c>
      <c r="L343">
        <v>0</v>
      </c>
      <c r="M343" t="b">
        <v>1</v>
      </c>
      <c r="N343" t="s">
        <v>2784</v>
      </c>
      <c r="O343" t="s">
        <v>2507</v>
      </c>
      <c r="P343">
        <v>27</v>
      </c>
      <c r="Q343" t="s">
        <v>2879</v>
      </c>
      <c r="R343">
        <v>2405</v>
      </c>
    </row>
    <row r="344" spans="1:18" x14ac:dyDescent="0.3">
      <c r="A344" t="s">
        <v>1390</v>
      </c>
      <c r="B344" s="45">
        <v>45640</v>
      </c>
      <c r="C344" t="s">
        <v>621</v>
      </c>
      <c r="D344" t="s">
        <v>264</v>
      </c>
      <c r="E344" t="s">
        <v>192</v>
      </c>
      <c r="F344">
        <v>4</v>
      </c>
      <c r="G344">
        <v>4070</v>
      </c>
      <c r="H344">
        <v>26.8</v>
      </c>
      <c r="I344">
        <v>11916.96</v>
      </c>
      <c r="J344" t="s">
        <v>87</v>
      </c>
      <c r="K344" t="s">
        <v>94</v>
      </c>
      <c r="L344">
        <v>0</v>
      </c>
      <c r="M344" t="b">
        <v>1</v>
      </c>
      <c r="N344" t="s">
        <v>2806</v>
      </c>
      <c r="O344" t="s">
        <v>2509</v>
      </c>
      <c r="P344">
        <v>22</v>
      </c>
      <c r="Q344" t="s">
        <v>2871</v>
      </c>
      <c r="R344">
        <v>2027</v>
      </c>
    </row>
    <row r="345" spans="1:18" x14ac:dyDescent="0.3">
      <c r="A345" t="s">
        <v>730</v>
      </c>
      <c r="B345" s="45">
        <v>45600</v>
      </c>
      <c r="C345" t="s">
        <v>673</v>
      </c>
      <c r="D345" t="s">
        <v>182</v>
      </c>
      <c r="E345" t="s">
        <v>188</v>
      </c>
      <c r="F345">
        <v>2</v>
      </c>
      <c r="G345">
        <v>1010</v>
      </c>
      <c r="H345">
        <v>29.2</v>
      </c>
      <c r="I345">
        <v>1430.16</v>
      </c>
      <c r="J345" t="s">
        <v>87</v>
      </c>
      <c r="K345" t="s">
        <v>112</v>
      </c>
      <c r="L345">
        <v>0</v>
      </c>
      <c r="M345" t="b">
        <v>1</v>
      </c>
      <c r="N345" t="s">
        <v>2839</v>
      </c>
      <c r="O345" t="s">
        <v>2507</v>
      </c>
      <c r="P345">
        <v>35</v>
      </c>
      <c r="Q345" t="s">
        <v>2862</v>
      </c>
      <c r="R345">
        <v>516</v>
      </c>
    </row>
    <row r="346" spans="1:18" x14ac:dyDescent="0.3">
      <c r="A346" t="s">
        <v>1386</v>
      </c>
      <c r="B346" s="45">
        <v>45615</v>
      </c>
      <c r="C346" t="s">
        <v>1308</v>
      </c>
      <c r="D346" t="s">
        <v>659</v>
      </c>
      <c r="E346" t="s">
        <v>343</v>
      </c>
      <c r="F346">
        <v>7</v>
      </c>
      <c r="G346">
        <v>3560</v>
      </c>
      <c r="H346">
        <v>11.1</v>
      </c>
      <c r="I346">
        <v>22153.88</v>
      </c>
      <c r="J346" t="s">
        <v>87</v>
      </c>
      <c r="K346" t="s">
        <v>94</v>
      </c>
      <c r="L346">
        <v>0</v>
      </c>
      <c r="M346" t="b">
        <v>1</v>
      </c>
      <c r="N346" t="s">
        <v>2795</v>
      </c>
      <c r="O346" t="s">
        <v>2515</v>
      </c>
      <c r="P346">
        <v>51</v>
      </c>
      <c r="Q346" t="s">
        <v>2879</v>
      </c>
      <c r="R346">
        <v>2629</v>
      </c>
    </row>
    <row r="347" spans="1:18" x14ac:dyDescent="0.3">
      <c r="A347" t="s">
        <v>1377</v>
      </c>
      <c r="B347" s="45">
        <v>45646</v>
      </c>
      <c r="C347" t="s">
        <v>1378</v>
      </c>
      <c r="D347" t="s">
        <v>120</v>
      </c>
      <c r="E347" t="s">
        <v>188</v>
      </c>
      <c r="F347">
        <v>10</v>
      </c>
      <c r="G347">
        <v>1430</v>
      </c>
      <c r="H347">
        <v>5.0999999999999996</v>
      </c>
      <c r="I347">
        <v>13570.7</v>
      </c>
      <c r="J347" t="s">
        <v>140</v>
      </c>
      <c r="K347" t="s">
        <v>94</v>
      </c>
      <c r="L347">
        <v>0</v>
      </c>
      <c r="M347" t="b">
        <v>1</v>
      </c>
      <c r="N347" t="s">
        <v>2784</v>
      </c>
      <c r="O347" t="e">
        <v>#N/A</v>
      </c>
      <c r="P347" t="e">
        <v>#N/A</v>
      </c>
      <c r="Q347" t="s">
        <v>2862</v>
      </c>
      <c r="R347">
        <v>861</v>
      </c>
    </row>
    <row r="348" spans="1:18" x14ac:dyDescent="0.3">
      <c r="A348" t="s">
        <v>1375</v>
      </c>
      <c r="B348" s="45">
        <v>45593</v>
      </c>
      <c r="C348" t="s">
        <v>376</v>
      </c>
      <c r="D348" t="s">
        <v>270</v>
      </c>
      <c r="E348" t="s">
        <v>297</v>
      </c>
      <c r="F348">
        <v>3</v>
      </c>
      <c r="G348">
        <v>4610</v>
      </c>
      <c r="H348">
        <v>29.7</v>
      </c>
      <c r="I348">
        <v>9722.49</v>
      </c>
      <c r="J348" t="s">
        <v>87</v>
      </c>
      <c r="K348" t="s">
        <v>117</v>
      </c>
      <c r="L348">
        <v>0</v>
      </c>
      <c r="M348" t="b">
        <v>1</v>
      </c>
      <c r="N348" t="s">
        <v>2817</v>
      </c>
      <c r="O348" t="s">
        <v>2515</v>
      </c>
      <c r="P348">
        <v>44</v>
      </c>
      <c r="Q348" t="s">
        <v>2855</v>
      </c>
      <c r="R348">
        <v>1850</v>
      </c>
    </row>
    <row r="349" spans="1:18" x14ac:dyDescent="0.3">
      <c r="A349" t="s">
        <v>1374</v>
      </c>
      <c r="B349" s="45">
        <v>45589</v>
      </c>
      <c r="C349" t="s">
        <v>1261</v>
      </c>
      <c r="D349" t="s">
        <v>110</v>
      </c>
      <c r="E349" t="s">
        <v>148</v>
      </c>
      <c r="F349">
        <v>2</v>
      </c>
      <c r="G349">
        <v>370</v>
      </c>
      <c r="H349">
        <v>26.5</v>
      </c>
      <c r="I349">
        <v>543.9</v>
      </c>
      <c r="J349" t="s">
        <v>87</v>
      </c>
      <c r="K349" t="s">
        <v>117</v>
      </c>
      <c r="L349">
        <v>0</v>
      </c>
      <c r="M349" t="b">
        <v>1</v>
      </c>
      <c r="N349" t="s">
        <v>2817</v>
      </c>
      <c r="O349" t="s">
        <v>2507</v>
      </c>
      <c r="P349">
        <v>54</v>
      </c>
      <c r="Q349" t="s">
        <v>2855</v>
      </c>
      <c r="R349">
        <v>288</v>
      </c>
    </row>
    <row r="350" spans="1:18" x14ac:dyDescent="0.3">
      <c r="A350" t="s">
        <v>1369</v>
      </c>
      <c r="B350" s="45">
        <v>45649</v>
      </c>
      <c r="C350" t="s">
        <v>371</v>
      </c>
      <c r="D350" t="s">
        <v>241</v>
      </c>
      <c r="E350" t="s">
        <v>201</v>
      </c>
      <c r="F350">
        <v>1</v>
      </c>
      <c r="G350">
        <v>6080</v>
      </c>
      <c r="H350">
        <v>5.6</v>
      </c>
      <c r="I350">
        <v>5739.52</v>
      </c>
      <c r="J350" t="s">
        <v>87</v>
      </c>
      <c r="K350" t="s">
        <v>112</v>
      </c>
      <c r="L350">
        <v>0</v>
      </c>
      <c r="M350" t="b">
        <v>1</v>
      </c>
      <c r="N350" t="s">
        <v>2828</v>
      </c>
      <c r="O350" t="s">
        <v>2507</v>
      </c>
      <c r="P350">
        <v>42</v>
      </c>
      <c r="Q350" t="s">
        <v>2879</v>
      </c>
      <c r="R350">
        <v>2617</v>
      </c>
    </row>
    <row r="351" spans="1:18" x14ac:dyDescent="0.3">
      <c r="A351" t="s">
        <v>737</v>
      </c>
      <c r="B351" s="45">
        <v>45626</v>
      </c>
      <c r="C351" t="s">
        <v>738</v>
      </c>
      <c r="D351" t="s">
        <v>360</v>
      </c>
      <c r="E351" t="s">
        <v>116</v>
      </c>
      <c r="F351">
        <v>6</v>
      </c>
      <c r="G351">
        <v>5410</v>
      </c>
      <c r="H351">
        <v>29.4</v>
      </c>
      <c r="I351">
        <v>22916.76</v>
      </c>
      <c r="J351" t="s">
        <v>87</v>
      </c>
      <c r="K351" t="s">
        <v>88</v>
      </c>
      <c r="L351">
        <v>0</v>
      </c>
      <c r="M351" t="b">
        <v>1</v>
      </c>
      <c r="N351" t="s">
        <v>2839</v>
      </c>
      <c r="O351" t="s">
        <v>2507</v>
      </c>
      <c r="P351">
        <v>36</v>
      </c>
      <c r="Q351" t="s">
        <v>2879</v>
      </c>
      <c r="R351">
        <v>2265</v>
      </c>
    </row>
    <row r="352" spans="1:18" x14ac:dyDescent="0.3">
      <c r="A352" t="s">
        <v>1366</v>
      </c>
      <c r="B352" s="45">
        <v>45638</v>
      </c>
      <c r="C352" t="s">
        <v>522</v>
      </c>
      <c r="D352" t="s">
        <v>408</v>
      </c>
      <c r="E352" t="s">
        <v>121</v>
      </c>
      <c r="F352">
        <v>9</v>
      </c>
      <c r="G352">
        <v>3970</v>
      </c>
      <c r="H352">
        <v>7</v>
      </c>
      <c r="I352">
        <v>33228.9</v>
      </c>
      <c r="J352" t="s">
        <v>87</v>
      </c>
      <c r="K352" t="s">
        <v>99</v>
      </c>
      <c r="L352">
        <v>0</v>
      </c>
      <c r="M352" t="b">
        <v>1</v>
      </c>
      <c r="N352" t="s">
        <v>2784</v>
      </c>
      <c r="O352" t="s">
        <v>2515</v>
      </c>
      <c r="P352">
        <v>55</v>
      </c>
      <c r="Q352" t="s">
        <v>2871</v>
      </c>
      <c r="R352">
        <v>2865</v>
      </c>
    </row>
    <row r="353" spans="1:18" x14ac:dyDescent="0.3">
      <c r="A353" t="s">
        <v>1362</v>
      </c>
      <c r="B353" s="45">
        <v>45593</v>
      </c>
      <c r="C353" t="s">
        <v>225</v>
      </c>
      <c r="D353" t="s">
        <v>164</v>
      </c>
      <c r="E353" t="s">
        <v>158</v>
      </c>
      <c r="F353">
        <v>10</v>
      </c>
      <c r="G353">
        <v>1080</v>
      </c>
      <c r="H353">
        <v>21.4</v>
      </c>
      <c r="I353">
        <v>8488.7999999999993</v>
      </c>
      <c r="J353" t="s">
        <v>87</v>
      </c>
      <c r="K353" t="s">
        <v>94</v>
      </c>
      <c r="L353">
        <v>0</v>
      </c>
      <c r="M353" t="b">
        <v>1</v>
      </c>
      <c r="N353" t="s">
        <v>2817</v>
      </c>
      <c r="O353" t="s">
        <v>2507</v>
      </c>
      <c r="P353">
        <v>37</v>
      </c>
      <c r="Q353" t="s">
        <v>2871</v>
      </c>
      <c r="R353">
        <v>519</v>
      </c>
    </row>
    <row r="354" spans="1:18" x14ac:dyDescent="0.3">
      <c r="A354" t="s">
        <v>1360</v>
      </c>
      <c r="B354" s="45">
        <v>45636</v>
      </c>
      <c r="C354" t="s">
        <v>1361</v>
      </c>
      <c r="D354" t="s">
        <v>351</v>
      </c>
      <c r="E354" t="s">
        <v>98</v>
      </c>
      <c r="F354">
        <v>9</v>
      </c>
      <c r="G354">
        <v>4060</v>
      </c>
      <c r="H354">
        <v>11.5</v>
      </c>
      <c r="I354">
        <v>32337.9</v>
      </c>
      <c r="J354" t="s">
        <v>87</v>
      </c>
      <c r="K354" t="s">
        <v>94</v>
      </c>
      <c r="L354">
        <v>0</v>
      </c>
      <c r="M354" t="b">
        <v>1</v>
      </c>
      <c r="N354" t="s">
        <v>2806</v>
      </c>
      <c r="O354" t="s">
        <v>2507</v>
      </c>
      <c r="P354">
        <v>34</v>
      </c>
      <c r="Q354" t="s">
        <v>2862</v>
      </c>
      <c r="R354">
        <v>2911</v>
      </c>
    </row>
    <row r="355" spans="1:18" x14ac:dyDescent="0.3">
      <c r="A355" t="s">
        <v>1354</v>
      </c>
      <c r="B355" s="45">
        <v>45654</v>
      </c>
      <c r="C355" t="s">
        <v>1308</v>
      </c>
      <c r="D355" t="s">
        <v>157</v>
      </c>
      <c r="E355" t="s">
        <v>229</v>
      </c>
      <c r="F355">
        <v>5</v>
      </c>
      <c r="G355">
        <v>3450</v>
      </c>
      <c r="H355">
        <v>13.4</v>
      </c>
      <c r="I355">
        <v>14938.5</v>
      </c>
      <c r="J355" t="s">
        <v>93</v>
      </c>
      <c r="K355" t="s">
        <v>94</v>
      </c>
      <c r="L355">
        <v>0</v>
      </c>
      <c r="M355" t="b">
        <v>1</v>
      </c>
      <c r="N355" t="s">
        <v>2828</v>
      </c>
      <c r="O355" t="s">
        <v>2515</v>
      </c>
      <c r="P355">
        <v>51</v>
      </c>
      <c r="Q355" t="s">
        <v>2879</v>
      </c>
      <c r="R355">
        <v>2420</v>
      </c>
    </row>
    <row r="356" spans="1:18" x14ac:dyDescent="0.3">
      <c r="A356" t="s">
        <v>1351</v>
      </c>
      <c r="B356" s="45">
        <v>45583</v>
      </c>
      <c r="C356" t="s">
        <v>762</v>
      </c>
      <c r="D356" t="s">
        <v>267</v>
      </c>
      <c r="E356" t="s">
        <v>86</v>
      </c>
      <c r="F356">
        <v>4</v>
      </c>
      <c r="G356">
        <v>1220</v>
      </c>
      <c r="H356">
        <v>25.3</v>
      </c>
      <c r="I356">
        <v>3645.36</v>
      </c>
      <c r="J356" t="s">
        <v>87</v>
      </c>
      <c r="K356" t="s">
        <v>133</v>
      </c>
      <c r="L356">
        <v>0</v>
      </c>
      <c r="M356" t="b">
        <v>1</v>
      </c>
      <c r="N356" t="s">
        <v>2784</v>
      </c>
      <c r="O356" t="s">
        <v>2507</v>
      </c>
      <c r="P356">
        <v>52</v>
      </c>
      <c r="Q356" t="s">
        <v>2855</v>
      </c>
      <c r="R356">
        <v>517</v>
      </c>
    </row>
    <row r="357" spans="1:18" x14ac:dyDescent="0.3">
      <c r="A357" t="s">
        <v>1344</v>
      </c>
      <c r="B357" s="45">
        <v>45583</v>
      </c>
      <c r="C357" t="s">
        <v>299</v>
      </c>
      <c r="D357" t="s">
        <v>164</v>
      </c>
      <c r="E357" t="s">
        <v>201</v>
      </c>
      <c r="F357">
        <v>5</v>
      </c>
      <c r="G357">
        <v>1080</v>
      </c>
      <c r="H357">
        <v>15.7</v>
      </c>
      <c r="I357">
        <v>4552.2</v>
      </c>
      <c r="J357" t="s">
        <v>93</v>
      </c>
      <c r="K357" t="s">
        <v>133</v>
      </c>
      <c r="L357">
        <v>0</v>
      </c>
      <c r="M357" t="b">
        <v>1</v>
      </c>
      <c r="N357" t="s">
        <v>2817</v>
      </c>
      <c r="O357" t="s">
        <v>2507</v>
      </c>
      <c r="P357">
        <v>29</v>
      </c>
      <c r="Q357" t="s">
        <v>2879</v>
      </c>
      <c r="R357">
        <v>519</v>
      </c>
    </row>
    <row r="358" spans="1:18" x14ac:dyDescent="0.3">
      <c r="A358" t="s">
        <v>1343</v>
      </c>
      <c r="B358" s="45">
        <v>45588</v>
      </c>
      <c r="C358" t="s">
        <v>294</v>
      </c>
      <c r="D358" t="s">
        <v>151</v>
      </c>
      <c r="E358" t="s">
        <v>252</v>
      </c>
      <c r="F358">
        <v>2</v>
      </c>
      <c r="G358">
        <v>2400</v>
      </c>
      <c r="H358">
        <v>17.100000000000001</v>
      </c>
      <c r="I358">
        <v>3979.2</v>
      </c>
      <c r="J358" t="s">
        <v>93</v>
      </c>
      <c r="K358" t="s">
        <v>133</v>
      </c>
      <c r="L358">
        <v>0</v>
      </c>
      <c r="M358" t="b">
        <v>1</v>
      </c>
      <c r="N358" t="s">
        <v>2839</v>
      </c>
      <c r="O358" t="s">
        <v>2515</v>
      </c>
      <c r="P358">
        <v>43</v>
      </c>
      <c r="Q358" t="s">
        <v>2862</v>
      </c>
      <c r="R358">
        <v>974</v>
      </c>
    </row>
    <row r="359" spans="1:18" x14ac:dyDescent="0.3">
      <c r="A359" t="s">
        <v>1341</v>
      </c>
      <c r="B359" s="45">
        <v>45626</v>
      </c>
      <c r="C359" t="s">
        <v>169</v>
      </c>
      <c r="D359" t="s">
        <v>135</v>
      </c>
      <c r="E359" t="s">
        <v>107</v>
      </c>
      <c r="F359">
        <v>10</v>
      </c>
      <c r="G359">
        <v>2640</v>
      </c>
      <c r="H359">
        <v>17.8</v>
      </c>
      <c r="I359">
        <v>21700.799999999999</v>
      </c>
      <c r="J359" t="s">
        <v>144</v>
      </c>
      <c r="K359" t="s">
        <v>112</v>
      </c>
      <c r="L359">
        <v>0</v>
      </c>
      <c r="M359" t="b">
        <v>1</v>
      </c>
      <c r="N359" t="s">
        <v>2784</v>
      </c>
      <c r="O359" t="s">
        <v>2507</v>
      </c>
      <c r="P359">
        <v>34</v>
      </c>
      <c r="Q359" t="s">
        <v>2855</v>
      </c>
      <c r="R359">
        <v>1149</v>
      </c>
    </row>
    <row r="360" spans="1:18" x14ac:dyDescent="0.3">
      <c r="A360" t="s">
        <v>749</v>
      </c>
      <c r="B360" s="45">
        <v>45580</v>
      </c>
      <c r="C360" t="s">
        <v>539</v>
      </c>
      <c r="D360" t="s">
        <v>85</v>
      </c>
      <c r="E360" t="s">
        <v>325</v>
      </c>
      <c r="F360">
        <v>6</v>
      </c>
      <c r="G360">
        <v>3620</v>
      </c>
      <c r="H360">
        <v>21.3</v>
      </c>
      <c r="I360">
        <v>17093.64</v>
      </c>
      <c r="J360" t="s">
        <v>93</v>
      </c>
      <c r="K360" t="s">
        <v>133</v>
      </c>
      <c r="L360">
        <v>0</v>
      </c>
      <c r="M360" t="b">
        <v>1</v>
      </c>
      <c r="N360" t="s">
        <v>2795</v>
      </c>
      <c r="O360" t="s">
        <v>2507</v>
      </c>
      <c r="P360">
        <v>38</v>
      </c>
      <c r="Q360" t="s">
        <v>2862</v>
      </c>
      <c r="R360">
        <v>2509</v>
      </c>
    </row>
    <row r="361" spans="1:18" x14ac:dyDescent="0.3">
      <c r="A361" t="s">
        <v>1338</v>
      </c>
      <c r="B361" s="45">
        <v>45641</v>
      </c>
      <c r="C361" t="s">
        <v>759</v>
      </c>
      <c r="D361" t="s">
        <v>187</v>
      </c>
      <c r="E361" t="s">
        <v>128</v>
      </c>
      <c r="F361">
        <v>3</v>
      </c>
      <c r="G361">
        <v>3570</v>
      </c>
      <c r="H361">
        <v>20</v>
      </c>
      <c r="I361">
        <v>8568</v>
      </c>
      <c r="J361" t="s">
        <v>140</v>
      </c>
      <c r="K361" t="s">
        <v>117</v>
      </c>
      <c r="L361">
        <v>0</v>
      </c>
      <c r="M361" t="b">
        <v>1</v>
      </c>
      <c r="N361" t="s">
        <v>2784</v>
      </c>
      <c r="O361" t="s">
        <v>2507</v>
      </c>
      <c r="P361">
        <v>29</v>
      </c>
      <c r="Q361" t="s">
        <v>2879</v>
      </c>
      <c r="R361">
        <v>1665</v>
      </c>
    </row>
    <row r="362" spans="1:18" x14ac:dyDescent="0.3">
      <c r="A362" t="s">
        <v>1336</v>
      </c>
      <c r="B362" s="45">
        <v>45634</v>
      </c>
      <c r="C362" t="s">
        <v>856</v>
      </c>
      <c r="D362" t="s">
        <v>267</v>
      </c>
      <c r="E362" t="s">
        <v>107</v>
      </c>
      <c r="F362">
        <v>5</v>
      </c>
      <c r="G362">
        <v>1220</v>
      </c>
      <c r="H362">
        <v>0.3</v>
      </c>
      <c r="I362">
        <v>6081.7</v>
      </c>
      <c r="J362" t="s">
        <v>87</v>
      </c>
      <c r="K362" t="s">
        <v>88</v>
      </c>
      <c r="L362">
        <v>0</v>
      </c>
      <c r="M362" t="b">
        <v>1</v>
      </c>
      <c r="N362" t="s">
        <v>2784</v>
      </c>
      <c r="O362" t="s">
        <v>2515</v>
      </c>
      <c r="P362">
        <v>59</v>
      </c>
      <c r="Q362" t="s">
        <v>2855</v>
      </c>
      <c r="R362">
        <v>517</v>
      </c>
    </row>
    <row r="363" spans="1:18" x14ac:dyDescent="0.3">
      <c r="A363" t="s">
        <v>753</v>
      </c>
      <c r="B363" s="45">
        <v>45607</v>
      </c>
      <c r="C363" t="s">
        <v>208</v>
      </c>
      <c r="D363" t="s">
        <v>195</v>
      </c>
      <c r="E363" t="s">
        <v>158</v>
      </c>
      <c r="F363">
        <v>9</v>
      </c>
      <c r="G363">
        <v>2860</v>
      </c>
      <c r="H363">
        <v>12.9</v>
      </c>
      <c r="I363">
        <v>22419.54</v>
      </c>
      <c r="J363" t="s">
        <v>87</v>
      </c>
      <c r="K363" t="s">
        <v>133</v>
      </c>
      <c r="L363">
        <v>0</v>
      </c>
      <c r="M363" t="b">
        <v>1</v>
      </c>
      <c r="N363" t="s">
        <v>2839</v>
      </c>
      <c r="O363" t="s">
        <v>2507</v>
      </c>
      <c r="P363">
        <v>26</v>
      </c>
      <c r="Q363" t="s">
        <v>2871</v>
      </c>
      <c r="R363">
        <v>2028</v>
      </c>
    </row>
    <row r="364" spans="1:18" x14ac:dyDescent="0.3">
      <c r="A364" t="s">
        <v>1335</v>
      </c>
      <c r="B364" s="45">
        <v>45623</v>
      </c>
      <c r="C364" t="s">
        <v>294</v>
      </c>
      <c r="D364" t="s">
        <v>452</v>
      </c>
      <c r="E364" t="s">
        <v>148</v>
      </c>
      <c r="F364">
        <v>5</v>
      </c>
      <c r="G364">
        <v>3450</v>
      </c>
      <c r="H364">
        <v>22.9</v>
      </c>
      <c r="I364">
        <v>13299.75</v>
      </c>
      <c r="J364" t="s">
        <v>87</v>
      </c>
      <c r="K364" t="s">
        <v>133</v>
      </c>
      <c r="L364">
        <v>0</v>
      </c>
      <c r="M364" t="b">
        <v>1</v>
      </c>
      <c r="N364" t="s">
        <v>2795</v>
      </c>
      <c r="O364" t="s">
        <v>2515</v>
      </c>
      <c r="P364">
        <v>43</v>
      </c>
      <c r="Q364" t="s">
        <v>2855</v>
      </c>
      <c r="R364">
        <v>1748</v>
      </c>
    </row>
    <row r="365" spans="1:18" x14ac:dyDescent="0.3">
      <c r="A365" t="s">
        <v>755</v>
      </c>
      <c r="B365" s="45">
        <v>45591</v>
      </c>
      <c r="C365" t="s">
        <v>378</v>
      </c>
      <c r="D365" t="s">
        <v>267</v>
      </c>
      <c r="E365" t="s">
        <v>229</v>
      </c>
      <c r="F365">
        <v>1</v>
      </c>
      <c r="G365">
        <v>1220</v>
      </c>
      <c r="H365">
        <v>16.100000000000001</v>
      </c>
      <c r="I365">
        <v>1023.58</v>
      </c>
      <c r="J365" t="s">
        <v>87</v>
      </c>
      <c r="K365" t="s">
        <v>94</v>
      </c>
      <c r="L365">
        <v>0</v>
      </c>
      <c r="M365" t="b">
        <v>1</v>
      </c>
      <c r="N365" t="s">
        <v>2784</v>
      </c>
      <c r="O365" t="s">
        <v>2515</v>
      </c>
      <c r="P365">
        <v>53</v>
      </c>
      <c r="Q365" t="s">
        <v>2879</v>
      </c>
      <c r="R365">
        <v>517</v>
      </c>
    </row>
    <row r="366" spans="1:18" x14ac:dyDescent="0.3">
      <c r="A366" t="s">
        <v>1330</v>
      </c>
      <c r="B366" s="45">
        <v>45656</v>
      </c>
      <c r="C366" t="s">
        <v>921</v>
      </c>
      <c r="D366" t="s">
        <v>167</v>
      </c>
      <c r="E366" t="s">
        <v>103</v>
      </c>
      <c r="F366">
        <v>2</v>
      </c>
      <c r="G366">
        <v>2480</v>
      </c>
      <c r="H366">
        <v>27.2</v>
      </c>
      <c r="I366">
        <v>3610.88</v>
      </c>
      <c r="J366" t="s">
        <v>87</v>
      </c>
      <c r="K366" t="s">
        <v>117</v>
      </c>
      <c r="L366">
        <v>0</v>
      </c>
      <c r="M366" t="b">
        <v>1</v>
      </c>
      <c r="N366" t="s">
        <v>2795</v>
      </c>
      <c r="O366" t="s">
        <v>2507</v>
      </c>
      <c r="P366">
        <v>28</v>
      </c>
      <c r="Q366" t="s">
        <v>2855</v>
      </c>
      <c r="R366">
        <v>1173</v>
      </c>
    </row>
    <row r="367" spans="1:18" x14ac:dyDescent="0.3">
      <c r="A367" t="s">
        <v>1326</v>
      </c>
      <c r="B367" s="45">
        <v>45581</v>
      </c>
      <c r="C367" t="s">
        <v>442</v>
      </c>
      <c r="D367" t="s">
        <v>127</v>
      </c>
      <c r="E367" t="s">
        <v>92</v>
      </c>
      <c r="F367">
        <v>3</v>
      </c>
      <c r="G367">
        <v>970</v>
      </c>
      <c r="H367">
        <v>28.3</v>
      </c>
      <c r="I367">
        <v>2086.4699999999998</v>
      </c>
      <c r="J367" t="s">
        <v>87</v>
      </c>
      <c r="K367" t="s">
        <v>88</v>
      </c>
      <c r="L367">
        <v>0</v>
      </c>
      <c r="M367" t="b">
        <v>1</v>
      </c>
      <c r="N367" t="s">
        <v>2806</v>
      </c>
      <c r="O367" t="s">
        <v>2507</v>
      </c>
      <c r="P367">
        <v>65</v>
      </c>
      <c r="Q367" t="s">
        <v>2855</v>
      </c>
      <c r="R367">
        <v>434</v>
      </c>
    </row>
    <row r="368" spans="1:18" x14ac:dyDescent="0.3">
      <c r="A368" t="s">
        <v>1321</v>
      </c>
      <c r="B368" s="45">
        <v>45614</v>
      </c>
      <c r="C368" t="s">
        <v>990</v>
      </c>
      <c r="D368" t="s">
        <v>161</v>
      </c>
      <c r="E368" t="s">
        <v>343</v>
      </c>
      <c r="F368">
        <v>8</v>
      </c>
      <c r="G368">
        <v>3450</v>
      </c>
      <c r="H368">
        <v>20.9</v>
      </c>
      <c r="I368">
        <v>21831.599999999999</v>
      </c>
      <c r="J368" t="s">
        <v>87</v>
      </c>
      <c r="K368" t="s">
        <v>117</v>
      </c>
      <c r="L368">
        <v>0</v>
      </c>
      <c r="M368" t="b">
        <v>1</v>
      </c>
      <c r="N368" t="s">
        <v>2839</v>
      </c>
      <c r="O368" t="s">
        <v>2507</v>
      </c>
      <c r="P368">
        <v>61</v>
      </c>
      <c r="Q368" t="s">
        <v>2879</v>
      </c>
      <c r="R368">
        <v>2467</v>
      </c>
    </row>
    <row r="369" spans="1:18" x14ac:dyDescent="0.3">
      <c r="A369" t="s">
        <v>1320</v>
      </c>
      <c r="B369" s="45">
        <v>45624</v>
      </c>
      <c r="C369" t="s">
        <v>294</v>
      </c>
      <c r="D369" t="s">
        <v>443</v>
      </c>
      <c r="E369" t="s">
        <v>148</v>
      </c>
      <c r="F369">
        <v>6</v>
      </c>
      <c r="G369">
        <v>5080</v>
      </c>
      <c r="H369">
        <v>3</v>
      </c>
      <c r="I369">
        <v>29565.599999999999</v>
      </c>
      <c r="J369" t="s">
        <v>87</v>
      </c>
      <c r="K369" t="s">
        <v>133</v>
      </c>
      <c r="L369">
        <v>0</v>
      </c>
      <c r="M369" t="b">
        <v>1</v>
      </c>
      <c r="N369" t="s">
        <v>2817</v>
      </c>
      <c r="O369" t="s">
        <v>2515</v>
      </c>
      <c r="P369">
        <v>43</v>
      </c>
      <c r="Q369" t="s">
        <v>2855</v>
      </c>
      <c r="R369">
        <v>2459</v>
      </c>
    </row>
    <row r="370" spans="1:18" x14ac:dyDescent="0.3">
      <c r="A370" t="s">
        <v>1316</v>
      </c>
      <c r="B370" s="45">
        <v>45610</v>
      </c>
      <c r="C370" t="s">
        <v>401</v>
      </c>
      <c r="D370" t="s">
        <v>131</v>
      </c>
      <c r="E370" t="s">
        <v>343</v>
      </c>
      <c r="F370">
        <v>7</v>
      </c>
      <c r="G370">
        <v>2270</v>
      </c>
      <c r="H370">
        <v>1.7</v>
      </c>
      <c r="I370">
        <v>15619.87</v>
      </c>
      <c r="J370" t="s">
        <v>140</v>
      </c>
      <c r="K370" t="s">
        <v>94</v>
      </c>
      <c r="L370">
        <v>0</v>
      </c>
      <c r="M370" t="b">
        <v>1</v>
      </c>
      <c r="N370" t="s">
        <v>2806</v>
      </c>
      <c r="O370" t="s">
        <v>2515</v>
      </c>
      <c r="P370">
        <v>51</v>
      </c>
      <c r="Q370" t="s">
        <v>2879</v>
      </c>
      <c r="R370">
        <v>1203</v>
      </c>
    </row>
    <row r="371" spans="1:18" x14ac:dyDescent="0.3">
      <c r="A371" t="s">
        <v>1309</v>
      </c>
      <c r="B371" s="45">
        <v>45608</v>
      </c>
      <c r="C371" t="s">
        <v>966</v>
      </c>
      <c r="D371" t="s">
        <v>127</v>
      </c>
      <c r="E371" t="s">
        <v>229</v>
      </c>
      <c r="F371">
        <v>6</v>
      </c>
      <c r="G371">
        <v>970</v>
      </c>
      <c r="H371">
        <v>4.7</v>
      </c>
      <c r="I371">
        <v>5546.46</v>
      </c>
      <c r="J371" t="s">
        <v>140</v>
      </c>
      <c r="K371" t="s">
        <v>133</v>
      </c>
      <c r="L371">
        <v>0</v>
      </c>
      <c r="M371" t="b">
        <v>1</v>
      </c>
      <c r="N371" t="s">
        <v>2806</v>
      </c>
      <c r="O371" t="s">
        <v>2515</v>
      </c>
      <c r="P371">
        <v>31</v>
      </c>
      <c r="Q371" t="s">
        <v>2879</v>
      </c>
      <c r="R371">
        <v>434</v>
      </c>
    </row>
    <row r="372" spans="1:18" x14ac:dyDescent="0.3">
      <c r="A372" t="s">
        <v>766</v>
      </c>
      <c r="B372" s="45">
        <v>45623</v>
      </c>
      <c r="C372" t="s">
        <v>680</v>
      </c>
      <c r="D372" t="s">
        <v>147</v>
      </c>
      <c r="E372" t="s">
        <v>86</v>
      </c>
      <c r="F372">
        <v>2</v>
      </c>
      <c r="G372">
        <v>190</v>
      </c>
      <c r="H372">
        <v>4.8</v>
      </c>
      <c r="I372">
        <v>361.76</v>
      </c>
      <c r="J372" t="s">
        <v>87</v>
      </c>
      <c r="K372" t="s">
        <v>94</v>
      </c>
      <c r="L372">
        <v>0</v>
      </c>
      <c r="M372" t="b">
        <v>1</v>
      </c>
      <c r="N372" t="s">
        <v>2839</v>
      </c>
      <c r="O372" t="s">
        <v>2507</v>
      </c>
      <c r="P372">
        <v>26</v>
      </c>
      <c r="Q372" t="s">
        <v>2855</v>
      </c>
      <c r="R372">
        <v>147</v>
      </c>
    </row>
    <row r="373" spans="1:18" x14ac:dyDescent="0.3">
      <c r="A373" t="s">
        <v>1289</v>
      </c>
      <c r="B373" s="45">
        <v>45651</v>
      </c>
      <c r="C373" t="s">
        <v>533</v>
      </c>
      <c r="D373" t="s">
        <v>200</v>
      </c>
      <c r="E373" t="s">
        <v>128</v>
      </c>
      <c r="F373">
        <v>4</v>
      </c>
      <c r="G373">
        <v>2760</v>
      </c>
      <c r="H373">
        <v>27.5</v>
      </c>
      <c r="I373">
        <v>8004</v>
      </c>
      <c r="J373" t="s">
        <v>140</v>
      </c>
      <c r="K373" t="s">
        <v>99</v>
      </c>
      <c r="L373">
        <v>0</v>
      </c>
      <c r="M373" t="b">
        <v>1</v>
      </c>
      <c r="N373" t="s">
        <v>2806</v>
      </c>
      <c r="O373" t="s">
        <v>2515</v>
      </c>
      <c r="P373">
        <v>48</v>
      </c>
      <c r="Q373" t="s">
        <v>2879</v>
      </c>
      <c r="R373">
        <v>1435</v>
      </c>
    </row>
    <row r="374" spans="1:18" x14ac:dyDescent="0.3">
      <c r="A374" t="s">
        <v>1284</v>
      </c>
      <c r="B374" s="45">
        <v>45633</v>
      </c>
      <c r="C374" t="s">
        <v>316</v>
      </c>
      <c r="D374" t="s">
        <v>173</v>
      </c>
      <c r="E374" t="s">
        <v>121</v>
      </c>
      <c r="F374">
        <v>10</v>
      </c>
      <c r="G374">
        <v>2720</v>
      </c>
      <c r="H374">
        <v>3</v>
      </c>
      <c r="I374">
        <v>26384</v>
      </c>
      <c r="J374" t="s">
        <v>93</v>
      </c>
      <c r="K374" t="s">
        <v>88</v>
      </c>
      <c r="L374">
        <v>0</v>
      </c>
      <c r="M374" t="b">
        <v>1</v>
      </c>
      <c r="N374" t="s">
        <v>2795</v>
      </c>
      <c r="O374" t="s">
        <v>2515</v>
      </c>
      <c r="P374">
        <v>60</v>
      </c>
      <c r="Q374" t="s">
        <v>2871</v>
      </c>
      <c r="R374">
        <v>1962</v>
      </c>
    </row>
    <row r="375" spans="1:18" x14ac:dyDescent="0.3">
      <c r="A375" t="s">
        <v>771</v>
      </c>
      <c r="B375" s="45">
        <v>45567</v>
      </c>
      <c r="C375" t="s">
        <v>236</v>
      </c>
      <c r="D375" t="s">
        <v>259</v>
      </c>
      <c r="E375" t="s">
        <v>188</v>
      </c>
      <c r="F375">
        <v>9</v>
      </c>
      <c r="G375">
        <v>1540</v>
      </c>
      <c r="H375">
        <v>23.3</v>
      </c>
      <c r="I375">
        <v>10630.62</v>
      </c>
      <c r="J375" t="s">
        <v>87</v>
      </c>
      <c r="K375" t="s">
        <v>133</v>
      </c>
      <c r="L375">
        <v>1</v>
      </c>
      <c r="M375" t="b">
        <v>0</v>
      </c>
      <c r="N375" t="s">
        <v>2828</v>
      </c>
      <c r="O375" t="s">
        <v>2507</v>
      </c>
      <c r="P375">
        <v>64</v>
      </c>
      <c r="Q375" t="s">
        <v>2862</v>
      </c>
      <c r="R375">
        <v>647</v>
      </c>
    </row>
    <row r="376" spans="1:18" x14ac:dyDescent="0.3">
      <c r="A376" t="s">
        <v>772</v>
      </c>
      <c r="B376" s="45">
        <v>45653</v>
      </c>
      <c r="C376" t="s">
        <v>359</v>
      </c>
      <c r="D376" t="s">
        <v>443</v>
      </c>
      <c r="E376" t="s">
        <v>111</v>
      </c>
      <c r="F376">
        <v>2</v>
      </c>
      <c r="G376">
        <v>5080</v>
      </c>
      <c r="H376">
        <v>2.5</v>
      </c>
      <c r="I376">
        <v>9906</v>
      </c>
      <c r="J376" t="s">
        <v>140</v>
      </c>
      <c r="K376" t="s">
        <v>99</v>
      </c>
      <c r="L376">
        <v>0</v>
      </c>
      <c r="M376" t="b">
        <v>1</v>
      </c>
      <c r="N376" t="s">
        <v>2817</v>
      </c>
      <c r="O376" t="s">
        <v>2515</v>
      </c>
      <c r="P376">
        <v>28</v>
      </c>
      <c r="Q376" t="s">
        <v>2879</v>
      </c>
      <c r="R376">
        <v>2459</v>
      </c>
    </row>
    <row r="377" spans="1:18" x14ac:dyDescent="0.3">
      <c r="A377" t="s">
        <v>1277</v>
      </c>
      <c r="B377" s="45">
        <v>45597</v>
      </c>
      <c r="C377" t="s">
        <v>219</v>
      </c>
      <c r="D377" t="s">
        <v>355</v>
      </c>
      <c r="E377" t="s">
        <v>273</v>
      </c>
      <c r="F377">
        <v>9</v>
      </c>
      <c r="G377">
        <v>2510</v>
      </c>
      <c r="H377">
        <v>27.4</v>
      </c>
      <c r="I377">
        <v>16400.34</v>
      </c>
      <c r="J377" t="s">
        <v>87</v>
      </c>
      <c r="K377" t="s">
        <v>99</v>
      </c>
      <c r="L377">
        <v>0</v>
      </c>
      <c r="M377" t="b">
        <v>0</v>
      </c>
      <c r="N377" t="s">
        <v>2795</v>
      </c>
      <c r="O377" t="s">
        <v>2515</v>
      </c>
      <c r="P377">
        <v>50</v>
      </c>
      <c r="Q377" t="s">
        <v>2862</v>
      </c>
      <c r="R377">
        <v>1075</v>
      </c>
    </row>
    <row r="378" spans="1:18" x14ac:dyDescent="0.3">
      <c r="A378" t="s">
        <v>1276</v>
      </c>
      <c r="B378" s="45">
        <v>45652</v>
      </c>
      <c r="C378" t="s">
        <v>872</v>
      </c>
      <c r="D378" t="s">
        <v>241</v>
      </c>
      <c r="E378" t="s">
        <v>229</v>
      </c>
      <c r="F378">
        <v>1</v>
      </c>
      <c r="G378">
        <v>6080</v>
      </c>
      <c r="H378">
        <v>22.3</v>
      </c>
      <c r="I378">
        <v>4724.16</v>
      </c>
      <c r="J378" t="s">
        <v>87</v>
      </c>
      <c r="K378" t="s">
        <v>112</v>
      </c>
      <c r="L378">
        <v>0</v>
      </c>
      <c r="M378" t="b">
        <v>1</v>
      </c>
      <c r="N378" t="s">
        <v>2828</v>
      </c>
      <c r="O378" t="s">
        <v>2509</v>
      </c>
      <c r="P378">
        <v>62</v>
      </c>
      <c r="Q378" t="s">
        <v>2879</v>
      </c>
      <c r="R378">
        <v>2617</v>
      </c>
    </row>
    <row r="379" spans="1:18" x14ac:dyDescent="0.3">
      <c r="A379" t="s">
        <v>1269</v>
      </c>
      <c r="B379" s="45">
        <v>45601</v>
      </c>
      <c r="C379" t="s">
        <v>126</v>
      </c>
      <c r="D379" t="s">
        <v>143</v>
      </c>
      <c r="E379" t="s">
        <v>188</v>
      </c>
      <c r="F379">
        <v>9</v>
      </c>
      <c r="G379">
        <v>3250</v>
      </c>
      <c r="H379">
        <v>20.5</v>
      </c>
      <c r="I379">
        <v>23253.75</v>
      </c>
      <c r="J379" t="s">
        <v>87</v>
      </c>
      <c r="K379" t="s">
        <v>88</v>
      </c>
      <c r="L379">
        <v>0</v>
      </c>
      <c r="M379" t="b">
        <v>1</v>
      </c>
      <c r="N379" t="s">
        <v>2817</v>
      </c>
      <c r="O379" t="s">
        <v>2507</v>
      </c>
      <c r="P379">
        <v>56</v>
      </c>
      <c r="Q379" t="s">
        <v>2862</v>
      </c>
      <c r="R379">
        <v>1556</v>
      </c>
    </row>
    <row r="380" spans="1:18" x14ac:dyDescent="0.3">
      <c r="A380" t="s">
        <v>1268</v>
      </c>
      <c r="B380" s="45">
        <v>45582</v>
      </c>
      <c r="C380" t="s">
        <v>567</v>
      </c>
      <c r="D380" t="s">
        <v>259</v>
      </c>
      <c r="E380" t="s">
        <v>121</v>
      </c>
      <c r="F380">
        <v>8</v>
      </c>
      <c r="G380">
        <v>1540</v>
      </c>
      <c r="H380">
        <v>9</v>
      </c>
      <c r="I380">
        <v>11211.2</v>
      </c>
      <c r="J380" t="s">
        <v>140</v>
      </c>
      <c r="K380" t="s">
        <v>117</v>
      </c>
      <c r="L380">
        <v>0</v>
      </c>
      <c r="M380" t="b">
        <v>0</v>
      </c>
      <c r="N380" t="s">
        <v>2828</v>
      </c>
      <c r="O380" t="s">
        <v>2509</v>
      </c>
      <c r="P380">
        <v>41</v>
      </c>
      <c r="Q380" t="s">
        <v>2871</v>
      </c>
      <c r="R380">
        <v>647</v>
      </c>
    </row>
    <row r="381" spans="1:18" x14ac:dyDescent="0.3">
      <c r="A381" t="s">
        <v>1259</v>
      </c>
      <c r="B381" s="45">
        <v>45599</v>
      </c>
      <c r="C381" t="s">
        <v>84</v>
      </c>
      <c r="D381" t="s">
        <v>106</v>
      </c>
      <c r="E381" t="s">
        <v>154</v>
      </c>
      <c r="F381">
        <v>3</v>
      </c>
      <c r="G381">
        <v>3160</v>
      </c>
      <c r="H381">
        <v>1.5</v>
      </c>
      <c r="I381">
        <v>9337.7999999999993</v>
      </c>
      <c r="J381" t="s">
        <v>93</v>
      </c>
      <c r="K381" t="s">
        <v>88</v>
      </c>
      <c r="L381">
        <v>0</v>
      </c>
      <c r="M381" t="b">
        <v>1</v>
      </c>
      <c r="N381" t="s">
        <v>2795</v>
      </c>
      <c r="O381" t="s">
        <v>2515</v>
      </c>
      <c r="P381">
        <v>44</v>
      </c>
      <c r="Q381" t="s">
        <v>2871</v>
      </c>
      <c r="R381">
        <v>1886</v>
      </c>
    </row>
    <row r="382" spans="1:18" x14ac:dyDescent="0.3">
      <c r="A382" t="s">
        <v>1253</v>
      </c>
      <c r="B382" s="45">
        <v>45625</v>
      </c>
      <c r="C382" t="s">
        <v>1051</v>
      </c>
      <c r="D382" t="s">
        <v>659</v>
      </c>
      <c r="E382" t="s">
        <v>303</v>
      </c>
      <c r="F382">
        <v>7</v>
      </c>
      <c r="G382">
        <v>3560</v>
      </c>
      <c r="H382">
        <v>28.7</v>
      </c>
      <c r="I382">
        <v>17767.96</v>
      </c>
      <c r="J382" t="s">
        <v>87</v>
      </c>
      <c r="K382" t="s">
        <v>112</v>
      </c>
      <c r="L382">
        <v>0</v>
      </c>
      <c r="M382" t="b">
        <v>1</v>
      </c>
      <c r="N382" t="s">
        <v>2795</v>
      </c>
      <c r="O382" t="s">
        <v>2507</v>
      </c>
      <c r="P382">
        <v>54</v>
      </c>
      <c r="Q382" t="s">
        <v>2871</v>
      </c>
      <c r="R382">
        <v>2629</v>
      </c>
    </row>
    <row r="383" spans="1:18" x14ac:dyDescent="0.3">
      <c r="A383" t="s">
        <v>1251</v>
      </c>
      <c r="B383" s="45">
        <v>45609</v>
      </c>
      <c r="C383" t="s">
        <v>362</v>
      </c>
      <c r="D383" t="s">
        <v>502</v>
      </c>
      <c r="E383" t="s">
        <v>204</v>
      </c>
      <c r="F383">
        <v>1</v>
      </c>
      <c r="G383">
        <v>1090</v>
      </c>
      <c r="H383">
        <v>20.6</v>
      </c>
      <c r="I383">
        <v>865.46</v>
      </c>
      <c r="J383" t="s">
        <v>87</v>
      </c>
      <c r="K383" t="s">
        <v>94</v>
      </c>
      <c r="L383">
        <v>0</v>
      </c>
      <c r="M383" t="b">
        <v>1</v>
      </c>
      <c r="N383" t="s">
        <v>2817</v>
      </c>
      <c r="O383" t="s">
        <v>2509</v>
      </c>
      <c r="P383">
        <v>51</v>
      </c>
      <c r="Q383" t="s">
        <v>2862</v>
      </c>
      <c r="R383">
        <v>464</v>
      </c>
    </row>
    <row r="384" spans="1:18" x14ac:dyDescent="0.3">
      <c r="A384" t="s">
        <v>1248</v>
      </c>
      <c r="B384" s="45">
        <v>45655</v>
      </c>
      <c r="C384" t="s">
        <v>613</v>
      </c>
      <c r="D384" t="s">
        <v>295</v>
      </c>
      <c r="E384" t="s">
        <v>343</v>
      </c>
      <c r="F384">
        <v>3</v>
      </c>
      <c r="G384">
        <v>2030</v>
      </c>
      <c r="H384">
        <v>18.5</v>
      </c>
      <c r="I384">
        <v>4963.3500000000004</v>
      </c>
      <c r="J384" t="s">
        <v>87</v>
      </c>
      <c r="K384" t="s">
        <v>112</v>
      </c>
      <c r="L384">
        <v>0</v>
      </c>
      <c r="M384" t="b">
        <v>1</v>
      </c>
      <c r="N384" t="s">
        <v>2817</v>
      </c>
      <c r="O384" t="s">
        <v>2507</v>
      </c>
      <c r="P384">
        <v>44</v>
      </c>
      <c r="Q384" t="s">
        <v>2879</v>
      </c>
      <c r="R384">
        <v>1143</v>
      </c>
    </row>
    <row r="385" spans="1:18" x14ac:dyDescent="0.3">
      <c r="A385" t="s">
        <v>783</v>
      </c>
      <c r="B385" s="45">
        <v>45590</v>
      </c>
      <c r="C385" t="s">
        <v>272</v>
      </c>
      <c r="D385" t="s">
        <v>259</v>
      </c>
      <c r="E385" t="s">
        <v>343</v>
      </c>
      <c r="F385">
        <v>8</v>
      </c>
      <c r="G385">
        <v>1540</v>
      </c>
      <c r="H385">
        <v>27.8</v>
      </c>
      <c r="I385">
        <v>8895.0400000000009</v>
      </c>
      <c r="J385" t="s">
        <v>87</v>
      </c>
      <c r="K385" t="s">
        <v>94</v>
      </c>
      <c r="L385">
        <v>0</v>
      </c>
      <c r="M385" t="b">
        <v>0</v>
      </c>
      <c r="N385" t="s">
        <v>2828</v>
      </c>
      <c r="O385" t="s">
        <v>2515</v>
      </c>
      <c r="P385">
        <v>55</v>
      </c>
      <c r="Q385" t="s">
        <v>2879</v>
      </c>
      <c r="R385">
        <v>647</v>
      </c>
    </row>
    <row r="386" spans="1:18" x14ac:dyDescent="0.3">
      <c r="A386" t="s">
        <v>784</v>
      </c>
      <c r="B386" s="45">
        <v>45591</v>
      </c>
      <c r="C386" t="s">
        <v>785</v>
      </c>
      <c r="D386" t="s">
        <v>131</v>
      </c>
      <c r="E386" t="s">
        <v>116</v>
      </c>
      <c r="F386">
        <v>1</v>
      </c>
      <c r="G386">
        <v>2270</v>
      </c>
      <c r="H386">
        <v>6.5</v>
      </c>
      <c r="I386">
        <v>2122.4499999999998</v>
      </c>
      <c r="J386" t="s">
        <v>93</v>
      </c>
      <c r="K386" t="s">
        <v>88</v>
      </c>
      <c r="L386">
        <v>0</v>
      </c>
      <c r="M386" t="b">
        <v>1</v>
      </c>
      <c r="N386" t="s">
        <v>2806</v>
      </c>
      <c r="O386" t="s">
        <v>2507</v>
      </c>
      <c r="P386">
        <v>31</v>
      </c>
      <c r="Q386" t="s">
        <v>2879</v>
      </c>
      <c r="R386">
        <v>1203</v>
      </c>
    </row>
    <row r="387" spans="1:18" x14ac:dyDescent="0.3">
      <c r="A387" t="s">
        <v>1246</v>
      </c>
      <c r="B387" s="45">
        <v>45645</v>
      </c>
      <c r="C387" t="s">
        <v>84</v>
      </c>
      <c r="D387" t="s">
        <v>182</v>
      </c>
      <c r="E387" t="s">
        <v>121</v>
      </c>
      <c r="F387">
        <v>2</v>
      </c>
      <c r="G387">
        <v>1010</v>
      </c>
      <c r="H387">
        <v>16.100000000000001</v>
      </c>
      <c r="I387">
        <v>1694.78</v>
      </c>
      <c r="J387" t="s">
        <v>87</v>
      </c>
      <c r="K387" t="s">
        <v>88</v>
      </c>
      <c r="L387">
        <v>0</v>
      </c>
      <c r="M387" t="b">
        <v>1</v>
      </c>
      <c r="N387" t="s">
        <v>2839</v>
      </c>
      <c r="O387" t="s">
        <v>2515</v>
      </c>
      <c r="P387">
        <v>44</v>
      </c>
      <c r="Q387" t="s">
        <v>2871</v>
      </c>
      <c r="R387">
        <v>516</v>
      </c>
    </row>
    <row r="388" spans="1:18" x14ac:dyDescent="0.3">
      <c r="A388" t="s">
        <v>788</v>
      </c>
      <c r="B388" s="45">
        <v>45608</v>
      </c>
      <c r="C388" t="s">
        <v>318</v>
      </c>
      <c r="D388" t="s">
        <v>659</v>
      </c>
      <c r="E388" t="s">
        <v>121</v>
      </c>
      <c r="F388">
        <v>3</v>
      </c>
      <c r="G388">
        <v>3560</v>
      </c>
      <c r="H388">
        <v>0.4</v>
      </c>
      <c r="I388">
        <v>10637.28</v>
      </c>
      <c r="J388" t="s">
        <v>144</v>
      </c>
      <c r="K388" t="s">
        <v>94</v>
      </c>
      <c r="L388">
        <v>0</v>
      </c>
      <c r="M388" t="b">
        <v>1</v>
      </c>
      <c r="N388" t="s">
        <v>2795</v>
      </c>
      <c r="O388" t="s">
        <v>2515</v>
      </c>
      <c r="P388">
        <v>57</v>
      </c>
      <c r="Q388" t="s">
        <v>2871</v>
      </c>
      <c r="R388">
        <v>2629</v>
      </c>
    </row>
    <row r="389" spans="1:18" x14ac:dyDescent="0.3">
      <c r="A389" t="s">
        <v>1243</v>
      </c>
      <c r="B389" s="45">
        <v>45652</v>
      </c>
      <c r="C389" t="s">
        <v>163</v>
      </c>
      <c r="D389" t="s">
        <v>138</v>
      </c>
      <c r="E389" t="s">
        <v>303</v>
      </c>
      <c r="F389">
        <v>1</v>
      </c>
      <c r="G389">
        <v>2600</v>
      </c>
      <c r="H389">
        <v>2.2000000000000002</v>
      </c>
      <c r="I389">
        <v>2542.8000000000002</v>
      </c>
      <c r="J389" t="s">
        <v>87</v>
      </c>
      <c r="K389" t="s">
        <v>94</v>
      </c>
      <c r="L389">
        <v>0</v>
      </c>
      <c r="M389" t="b">
        <v>1</v>
      </c>
      <c r="N389" t="s">
        <v>2784</v>
      </c>
      <c r="O389" t="s">
        <v>2507</v>
      </c>
      <c r="P389">
        <v>49</v>
      </c>
      <c r="Q389" t="s">
        <v>2871</v>
      </c>
      <c r="R389">
        <v>1052</v>
      </c>
    </row>
    <row r="390" spans="1:18" x14ac:dyDescent="0.3">
      <c r="A390" t="s">
        <v>1232</v>
      </c>
      <c r="B390" s="45">
        <v>45634</v>
      </c>
      <c r="C390" t="s">
        <v>172</v>
      </c>
      <c r="D390" t="s">
        <v>295</v>
      </c>
      <c r="E390" t="s">
        <v>98</v>
      </c>
      <c r="F390">
        <v>2</v>
      </c>
      <c r="G390">
        <v>2030</v>
      </c>
      <c r="H390">
        <v>12.2</v>
      </c>
      <c r="I390">
        <v>3564.68</v>
      </c>
      <c r="J390" t="s">
        <v>87</v>
      </c>
      <c r="K390" t="s">
        <v>88</v>
      </c>
      <c r="L390">
        <v>0</v>
      </c>
      <c r="M390" t="b">
        <v>1</v>
      </c>
      <c r="N390" t="s">
        <v>2817</v>
      </c>
      <c r="O390" t="s">
        <v>2507</v>
      </c>
      <c r="P390">
        <v>50</v>
      </c>
      <c r="Q390" t="s">
        <v>2862</v>
      </c>
      <c r="R390">
        <v>1143</v>
      </c>
    </row>
    <row r="391" spans="1:18" x14ac:dyDescent="0.3">
      <c r="A391" t="s">
        <v>791</v>
      </c>
      <c r="B391" s="45">
        <v>45584</v>
      </c>
      <c r="C391" t="s">
        <v>676</v>
      </c>
      <c r="D391" t="s">
        <v>138</v>
      </c>
      <c r="E391" t="s">
        <v>98</v>
      </c>
      <c r="F391">
        <v>8</v>
      </c>
      <c r="G391">
        <v>2600</v>
      </c>
      <c r="H391">
        <v>26.7</v>
      </c>
      <c r="I391">
        <v>15246.4</v>
      </c>
      <c r="J391" t="s">
        <v>87</v>
      </c>
      <c r="K391" t="s">
        <v>88</v>
      </c>
      <c r="L391">
        <v>0</v>
      </c>
      <c r="M391" t="b">
        <v>1</v>
      </c>
      <c r="N391" t="s">
        <v>2784</v>
      </c>
      <c r="O391" t="s">
        <v>2515</v>
      </c>
      <c r="P391">
        <v>35</v>
      </c>
      <c r="Q391" t="s">
        <v>2862</v>
      </c>
      <c r="R391">
        <v>1052</v>
      </c>
    </row>
    <row r="392" spans="1:18" x14ac:dyDescent="0.3">
      <c r="A392" t="s">
        <v>1230</v>
      </c>
      <c r="B392" s="45">
        <v>45579</v>
      </c>
      <c r="C392" t="s">
        <v>1231</v>
      </c>
      <c r="D392" t="s">
        <v>237</v>
      </c>
      <c r="E392" t="s">
        <v>128</v>
      </c>
      <c r="F392">
        <v>9</v>
      </c>
      <c r="G392">
        <v>3640</v>
      </c>
      <c r="H392">
        <v>13.1</v>
      </c>
      <c r="I392">
        <v>28468.44</v>
      </c>
      <c r="J392" t="s">
        <v>93</v>
      </c>
      <c r="K392" t="s">
        <v>88</v>
      </c>
      <c r="L392">
        <v>0</v>
      </c>
      <c r="M392" t="b">
        <v>1</v>
      </c>
      <c r="N392" t="s">
        <v>2795</v>
      </c>
      <c r="O392" t="s">
        <v>2507</v>
      </c>
      <c r="P392">
        <v>42</v>
      </c>
      <c r="Q392" t="s">
        <v>2879</v>
      </c>
      <c r="R392">
        <v>2611</v>
      </c>
    </row>
    <row r="393" spans="1:18" x14ac:dyDescent="0.3">
      <c r="A393" t="s">
        <v>1229</v>
      </c>
      <c r="B393" s="45">
        <v>45611</v>
      </c>
      <c r="C393" t="s">
        <v>655</v>
      </c>
      <c r="D393" t="s">
        <v>237</v>
      </c>
      <c r="E393" t="s">
        <v>325</v>
      </c>
      <c r="F393">
        <v>4</v>
      </c>
      <c r="G393">
        <v>3640</v>
      </c>
      <c r="H393">
        <v>9.3000000000000007</v>
      </c>
      <c r="I393">
        <v>13205.92</v>
      </c>
      <c r="J393" t="s">
        <v>140</v>
      </c>
      <c r="K393" t="s">
        <v>133</v>
      </c>
      <c r="L393">
        <v>0</v>
      </c>
      <c r="M393" t="b">
        <v>1</v>
      </c>
      <c r="N393" t="s">
        <v>2795</v>
      </c>
      <c r="O393" t="s">
        <v>2507</v>
      </c>
      <c r="P393">
        <v>27</v>
      </c>
      <c r="Q393" t="s">
        <v>2862</v>
      </c>
      <c r="R393">
        <v>2611</v>
      </c>
    </row>
    <row r="394" spans="1:18" x14ac:dyDescent="0.3">
      <c r="A394" t="s">
        <v>1228</v>
      </c>
      <c r="B394" s="45">
        <v>45597</v>
      </c>
      <c r="C394" t="s">
        <v>397</v>
      </c>
      <c r="D394" t="s">
        <v>179</v>
      </c>
      <c r="E394" t="s">
        <v>297</v>
      </c>
      <c r="F394">
        <v>7</v>
      </c>
      <c r="G394">
        <v>3350</v>
      </c>
      <c r="H394">
        <v>23.7</v>
      </c>
      <c r="I394">
        <v>17892.349999999999</v>
      </c>
      <c r="J394" t="s">
        <v>87</v>
      </c>
      <c r="K394" t="s">
        <v>99</v>
      </c>
      <c r="L394">
        <v>0</v>
      </c>
      <c r="M394" t="b">
        <v>1</v>
      </c>
      <c r="N394" t="s">
        <v>2828</v>
      </c>
      <c r="O394" t="s">
        <v>2507</v>
      </c>
      <c r="P394">
        <v>30</v>
      </c>
      <c r="Q394" t="s">
        <v>2855</v>
      </c>
      <c r="R394">
        <v>1728</v>
      </c>
    </row>
    <row r="395" spans="1:18" x14ac:dyDescent="0.3">
      <c r="A395" t="s">
        <v>1220</v>
      </c>
      <c r="B395" s="45">
        <v>45600</v>
      </c>
      <c r="C395" t="s">
        <v>599</v>
      </c>
      <c r="D395" t="s">
        <v>110</v>
      </c>
      <c r="E395" t="s">
        <v>92</v>
      </c>
      <c r="F395">
        <v>3</v>
      </c>
      <c r="G395">
        <v>370</v>
      </c>
      <c r="H395">
        <v>7.7</v>
      </c>
      <c r="I395">
        <v>1024.53</v>
      </c>
      <c r="J395" t="s">
        <v>87</v>
      </c>
      <c r="K395" t="s">
        <v>117</v>
      </c>
      <c r="L395">
        <v>0</v>
      </c>
      <c r="M395" t="b">
        <v>1</v>
      </c>
      <c r="N395" t="s">
        <v>2817</v>
      </c>
      <c r="O395" t="s">
        <v>2509</v>
      </c>
      <c r="P395">
        <v>26</v>
      </c>
      <c r="Q395" t="s">
        <v>2855</v>
      </c>
      <c r="R395">
        <v>288</v>
      </c>
    </row>
    <row r="396" spans="1:18" x14ac:dyDescent="0.3">
      <c r="A396" t="s">
        <v>798</v>
      </c>
      <c r="B396" s="45">
        <v>45655</v>
      </c>
      <c r="C396" t="s">
        <v>799</v>
      </c>
      <c r="D396" t="s">
        <v>85</v>
      </c>
      <c r="E396" t="s">
        <v>201</v>
      </c>
      <c r="F396">
        <v>10</v>
      </c>
      <c r="G396">
        <v>3620</v>
      </c>
      <c r="H396">
        <v>22</v>
      </c>
      <c r="I396">
        <v>28236</v>
      </c>
      <c r="J396" t="s">
        <v>87</v>
      </c>
      <c r="K396" t="s">
        <v>88</v>
      </c>
      <c r="L396">
        <v>0</v>
      </c>
      <c r="M396" t="b">
        <v>1</v>
      </c>
      <c r="N396" t="s">
        <v>2795</v>
      </c>
      <c r="O396" t="e">
        <v>#N/A</v>
      </c>
      <c r="P396" t="e">
        <v>#N/A</v>
      </c>
      <c r="Q396" t="s">
        <v>2879</v>
      </c>
      <c r="R396">
        <v>2509</v>
      </c>
    </row>
    <row r="397" spans="1:18" x14ac:dyDescent="0.3">
      <c r="A397" t="s">
        <v>800</v>
      </c>
      <c r="B397" s="45">
        <v>45629</v>
      </c>
      <c r="C397" t="s">
        <v>233</v>
      </c>
      <c r="D397" t="s">
        <v>97</v>
      </c>
      <c r="E397" t="s">
        <v>201</v>
      </c>
      <c r="F397">
        <v>2</v>
      </c>
      <c r="G397">
        <v>470</v>
      </c>
      <c r="H397">
        <v>26.5</v>
      </c>
      <c r="I397">
        <v>690.9</v>
      </c>
      <c r="J397" t="s">
        <v>93</v>
      </c>
      <c r="K397" t="s">
        <v>88</v>
      </c>
      <c r="L397">
        <v>0</v>
      </c>
      <c r="M397" t="b">
        <v>0</v>
      </c>
      <c r="N397" t="s">
        <v>2839</v>
      </c>
      <c r="O397" t="s">
        <v>2515</v>
      </c>
      <c r="P397">
        <v>29</v>
      </c>
      <c r="Q397" t="s">
        <v>2879</v>
      </c>
      <c r="R397">
        <v>302</v>
      </c>
    </row>
    <row r="398" spans="1:18" x14ac:dyDescent="0.3">
      <c r="A398" t="s">
        <v>1215</v>
      </c>
      <c r="B398" s="45">
        <v>45568</v>
      </c>
      <c r="C398" t="s">
        <v>301</v>
      </c>
      <c r="D398" t="s">
        <v>203</v>
      </c>
      <c r="E398" t="s">
        <v>103</v>
      </c>
      <c r="F398">
        <v>9</v>
      </c>
      <c r="G398">
        <v>660</v>
      </c>
      <c r="H398">
        <v>19.8</v>
      </c>
      <c r="I398">
        <v>4763.88</v>
      </c>
      <c r="J398" t="s">
        <v>87</v>
      </c>
      <c r="K398" t="s">
        <v>94</v>
      </c>
      <c r="L398">
        <v>0</v>
      </c>
      <c r="M398" t="b">
        <v>1</v>
      </c>
      <c r="N398" t="s">
        <v>2817</v>
      </c>
      <c r="O398" t="s">
        <v>2507</v>
      </c>
      <c r="P398">
        <v>41</v>
      </c>
      <c r="Q398" t="s">
        <v>2855</v>
      </c>
      <c r="R398">
        <v>329</v>
      </c>
    </row>
    <row r="399" spans="1:18" x14ac:dyDescent="0.3">
      <c r="A399" t="s">
        <v>1213</v>
      </c>
      <c r="B399" s="45">
        <v>45587</v>
      </c>
      <c r="C399" t="s">
        <v>539</v>
      </c>
      <c r="D399" t="s">
        <v>191</v>
      </c>
      <c r="E399" t="s">
        <v>128</v>
      </c>
      <c r="F399">
        <v>5</v>
      </c>
      <c r="G399">
        <v>5100</v>
      </c>
      <c r="H399">
        <v>2.8</v>
      </c>
      <c r="I399">
        <v>24786</v>
      </c>
      <c r="J399" t="s">
        <v>87</v>
      </c>
      <c r="K399" t="s">
        <v>133</v>
      </c>
      <c r="L399">
        <v>0</v>
      </c>
      <c r="M399" t="b">
        <v>1</v>
      </c>
      <c r="N399" t="s">
        <v>2828</v>
      </c>
      <c r="O399" t="s">
        <v>2507</v>
      </c>
      <c r="P399">
        <v>38</v>
      </c>
      <c r="Q399" t="s">
        <v>2879</v>
      </c>
      <c r="R399">
        <v>2237</v>
      </c>
    </row>
    <row r="400" spans="1:18" x14ac:dyDescent="0.3">
      <c r="A400" t="s">
        <v>1211</v>
      </c>
      <c r="B400" s="45">
        <v>45589</v>
      </c>
      <c r="C400" t="s">
        <v>328</v>
      </c>
      <c r="D400" t="s">
        <v>338</v>
      </c>
      <c r="E400" t="s">
        <v>128</v>
      </c>
      <c r="F400">
        <v>5</v>
      </c>
      <c r="G400">
        <v>2210</v>
      </c>
      <c r="H400">
        <v>12.1</v>
      </c>
      <c r="I400">
        <v>9712.9500000000007</v>
      </c>
      <c r="J400" t="s">
        <v>87</v>
      </c>
      <c r="K400" t="s">
        <v>94</v>
      </c>
      <c r="L400">
        <v>0</v>
      </c>
      <c r="M400" t="b">
        <v>1</v>
      </c>
      <c r="N400" t="s">
        <v>2806</v>
      </c>
      <c r="O400" t="s">
        <v>2507</v>
      </c>
      <c r="P400">
        <v>28</v>
      </c>
      <c r="Q400" t="s">
        <v>2879</v>
      </c>
      <c r="R400">
        <v>1010</v>
      </c>
    </row>
    <row r="401" spans="1:18" x14ac:dyDescent="0.3">
      <c r="A401" t="s">
        <v>805</v>
      </c>
      <c r="B401" s="45">
        <v>45573</v>
      </c>
      <c r="C401" t="s">
        <v>512</v>
      </c>
      <c r="D401" t="s">
        <v>106</v>
      </c>
      <c r="E401" t="s">
        <v>116</v>
      </c>
      <c r="F401">
        <v>9</v>
      </c>
      <c r="G401">
        <v>3160</v>
      </c>
      <c r="H401">
        <v>10.199999999999999</v>
      </c>
      <c r="I401">
        <v>25539.119999999999</v>
      </c>
      <c r="J401" t="s">
        <v>87</v>
      </c>
      <c r="K401" t="s">
        <v>133</v>
      </c>
      <c r="L401">
        <v>0</v>
      </c>
      <c r="M401" t="b">
        <v>1</v>
      </c>
      <c r="N401" t="s">
        <v>2795</v>
      </c>
      <c r="O401" t="s">
        <v>2507</v>
      </c>
      <c r="P401">
        <v>61</v>
      </c>
      <c r="Q401" t="s">
        <v>2879</v>
      </c>
      <c r="R401">
        <v>1886</v>
      </c>
    </row>
    <row r="402" spans="1:18" x14ac:dyDescent="0.3">
      <c r="A402" t="s">
        <v>1210</v>
      </c>
      <c r="B402" s="45">
        <v>45644</v>
      </c>
      <c r="C402" t="s">
        <v>807</v>
      </c>
      <c r="D402" t="s">
        <v>179</v>
      </c>
      <c r="E402" t="s">
        <v>252</v>
      </c>
      <c r="F402">
        <v>7</v>
      </c>
      <c r="G402">
        <v>3350</v>
      </c>
      <c r="H402">
        <v>10.6</v>
      </c>
      <c r="I402">
        <v>20964.3</v>
      </c>
      <c r="J402" t="s">
        <v>93</v>
      </c>
      <c r="K402" t="s">
        <v>88</v>
      </c>
      <c r="L402">
        <v>0</v>
      </c>
      <c r="M402" t="b">
        <v>1</v>
      </c>
      <c r="N402" t="s">
        <v>2828</v>
      </c>
      <c r="O402" t="s">
        <v>2507</v>
      </c>
      <c r="P402">
        <v>36</v>
      </c>
      <c r="Q402" t="s">
        <v>2862</v>
      </c>
      <c r="R402">
        <v>1728</v>
      </c>
    </row>
    <row r="403" spans="1:18" x14ac:dyDescent="0.3">
      <c r="A403" t="s">
        <v>808</v>
      </c>
      <c r="B403" s="45">
        <v>45620</v>
      </c>
      <c r="C403" t="s">
        <v>744</v>
      </c>
      <c r="D403" t="s">
        <v>200</v>
      </c>
      <c r="E403" t="s">
        <v>325</v>
      </c>
      <c r="F403">
        <v>6</v>
      </c>
      <c r="G403">
        <v>2760</v>
      </c>
      <c r="H403">
        <v>21.3</v>
      </c>
      <c r="I403">
        <v>13032.72</v>
      </c>
      <c r="J403" t="s">
        <v>87</v>
      </c>
      <c r="K403" t="s">
        <v>133</v>
      </c>
      <c r="L403">
        <v>0</v>
      </c>
      <c r="M403" t="b">
        <v>1</v>
      </c>
      <c r="N403" t="s">
        <v>2806</v>
      </c>
      <c r="O403" t="s">
        <v>2507</v>
      </c>
      <c r="P403">
        <v>64</v>
      </c>
      <c r="Q403" t="s">
        <v>2862</v>
      </c>
      <c r="R403">
        <v>1435</v>
      </c>
    </row>
    <row r="404" spans="1:18" x14ac:dyDescent="0.3">
      <c r="A404" t="s">
        <v>1208</v>
      </c>
      <c r="B404" s="45">
        <v>45648</v>
      </c>
      <c r="C404" t="s">
        <v>84</v>
      </c>
      <c r="D404" t="s">
        <v>270</v>
      </c>
      <c r="E404" t="s">
        <v>121</v>
      </c>
      <c r="F404">
        <v>4</v>
      </c>
      <c r="G404">
        <v>4610</v>
      </c>
      <c r="H404">
        <v>24</v>
      </c>
      <c r="I404">
        <v>14014.4</v>
      </c>
      <c r="J404" t="s">
        <v>87</v>
      </c>
      <c r="K404" t="s">
        <v>88</v>
      </c>
      <c r="L404">
        <v>0</v>
      </c>
      <c r="M404" t="b">
        <v>1</v>
      </c>
      <c r="N404" t="s">
        <v>2817</v>
      </c>
      <c r="O404" t="s">
        <v>2515</v>
      </c>
      <c r="P404">
        <v>44</v>
      </c>
      <c r="Q404" t="s">
        <v>2871</v>
      </c>
      <c r="R404">
        <v>1850</v>
      </c>
    </row>
    <row r="405" spans="1:18" x14ac:dyDescent="0.3">
      <c r="A405" t="s">
        <v>811</v>
      </c>
      <c r="B405" s="45">
        <v>45622</v>
      </c>
      <c r="C405" t="s">
        <v>301</v>
      </c>
      <c r="D405" t="s">
        <v>184</v>
      </c>
      <c r="E405" t="s">
        <v>128</v>
      </c>
      <c r="F405">
        <v>5</v>
      </c>
      <c r="G405">
        <v>4880</v>
      </c>
      <c r="H405">
        <v>8.5</v>
      </c>
      <c r="I405">
        <v>22326</v>
      </c>
      <c r="J405" t="s">
        <v>87</v>
      </c>
      <c r="K405" t="s">
        <v>94</v>
      </c>
      <c r="L405">
        <v>0</v>
      </c>
      <c r="M405" t="b">
        <v>1</v>
      </c>
      <c r="N405" t="s">
        <v>2828</v>
      </c>
      <c r="O405" t="s">
        <v>2507</v>
      </c>
      <c r="P405">
        <v>41</v>
      </c>
      <c r="Q405" t="s">
        <v>2879</v>
      </c>
      <c r="R405">
        <v>2768</v>
      </c>
    </row>
    <row r="406" spans="1:18" x14ac:dyDescent="0.3">
      <c r="A406" t="s">
        <v>812</v>
      </c>
      <c r="B406" s="45">
        <v>45596</v>
      </c>
      <c r="C406" t="s">
        <v>231</v>
      </c>
      <c r="D406" t="s">
        <v>264</v>
      </c>
      <c r="E406" t="s">
        <v>285</v>
      </c>
      <c r="F406">
        <v>7</v>
      </c>
      <c r="G406">
        <v>4070</v>
      </c>
      <c r="H406">
        <v>28</v>
      </c>
      <c r="I406">
        <v>20512.8</v>
      </c>
      <c r="J406" t="s">
        <v>87</v>
      </c>
      <c r="K406" t="s">
        <v>117</v>
      </c>
      <c r="L406">
        <v>0</v>
      </c>
      <c r="M406" t="b">
        <v>1</v>
      </c>
      <c r="N406" t="s">
        <v>2806</v>
      </c>
      <c r="O406" t="s">
        <v>2515</v>
      </c>
      <c r="P406">
        <v>64</v>
      </c>
      <c r="Q406" t="s">
        <v>2871</v>
      </c>
      <c r="R406">
        <v>2027</v>
      </c>
    </row>
    <row r="407" spans="1:18" x14ac:dyDescent="0.3">
      <c r="A407" t="s">
        <v>1202</v>
      </c>
      <c r="B407" s="45">
        <v>45593</v>
      </c>
      <c r="C407" t="s">
        <v>512</v>
      </c>
      <c r="D407" t="s">
        <v>270</v>
      </c>
      <c r="E407" t="s">
        <v>116</v>
      </c>
      <c r="F407">
        <v>5</v>
      </c>
      <c r="G407">
        <v>4610</v>
      </c>
      <c r="H407">
        <v>3.6</v>
      </c>
      <c r="I407">
        <v>22220.2</v>
      </c>
      <c r="J407" t="s">
        <v>87</v>
      </c>
      <c r="K407" t="s">
        <v>133</v>
      </c>
      <c r="L407">
        <v>0</v>
      </c>
      <c r="M407" t="b">
        <v>1</v>
      </c>
      <c r="N407" t="s">
        <v>2817</v>
      </c>
      <c r="O407" t="s">
        <v>2507</v>
      </c>
      <c r="P407">
        <v>61</v>
      </c>
      <c r="Q407" t="s">
        <v>2879</v>
      </c>
      <c r="R407">
        <v>1850</v>
      </c>
    </row>
    <row r="408" spans="1:18" x14ac:dyDescent="0.3">
      <c r="A408" t="s">
        <v>1201</v>
      </c>
      <c r="B408" s="45">
        <v>45584</v>
      </c>
      <c r="C408" t="s">
        <v>662</v>
      </c>
      <c r="D408" t="s">
        <v>364</v>
      </c>
      <c r="E408" t="s">
        <v>188</v>
      </c>
      <c r="F408">
        <v>7</v>
      </c>
      <c r="G408">
        <v>5330</v>
      </c>
      <c r="H408">
        <v>19.7</v>
      </c>
      <c r="I408">
        <v>29959.93</v>
      </c>
      <c r="J408" t="s">
        <v>140</v>
      </c>
      <c r="K408" t="s">
        <v>94</v>
      </c>
      <c r="L408">
        <v>0</v>
      </c>
      <c r="M408" t="b">
        <v>1</v>
      </c>
      <c r="N408" t="s">
        <v>2784</v>
      </c>
      <c r="O408" t="s">
        <v>2509</v>
      </c>
      <c r="P408">
        <v>41</v>
      </c>
      <c r="Q408" t="s">
        <v>2862</v>
      </c>
      <c r="R408">
        <v>2405</v>
      </c>
    </row>
    <row r="409" spans="1:18" x14ac:dyDescent="0.3">
      <c r="A409" t="s">
        <v>1192</v>
      </c>
      <c r="B409" s="45">
        <v>45635</v>
      </c>
      <c r="C409" t="s">
        <v>1193</v>
      </c>
      <c r="D409" t="s">
        <v>279</v>
      </c>
      <c r="E409" t="s">
        <v>170</v>
      </c>
      <c r="F409">
        <v>3</v>
      </c>
      <c r="G409">
        <v>2660</v>
      </c>
      <c r="H409">
        <v>28.5</v>
      </c>
      <c r="I409">
        <v>5705.7</v>
      </c>
      <c r="J409" t="s">
        <v>93</v>
      </c>
      <c r="K409" t="s">
        <v>133</v>
      </c>
      <c r="L409">
        <v>0</v>
      </c>
      <c r="M409" t="b">
        <v>0</v>
      </c>
      <c r="N409" t="s">
        <v>2784</v>
      </c>
      <c r="O409" t="s">
        <v>2515</v>
      </c>
      <c r="P409">
        <v>25</v>
      </c>
      <c r="Q409" t="s">
        <v>2879</v>
      </c>
      <c r="R409">
        <v>1259</v>
      </c>
    </row>
    <row r="410" spans="1:18" x14ac:dyDescent="0.3">
      <c r="A410" t="s">
        <v>817</v>
      </c>
      <c r="B410" s="45">
        <v>45591</v>
      </c>
      <c r="C410" t="s">
        <v>291</v>
      </c>
      <c r="D410" t="s">
        <v>267</v>
      </c>
      <c r="E410" t="s">
        <v>86</v>
      </c>
      <c r="F410">
        <v>7</v>
      </c>
      <c r="G410">
        <v>1220</v>
      </c>
      <c r="H410">
        <v>23.5</v>
      </c>
      <c r="I410">
        <v>6533.1</v>
      </c>
      <c r="J410" t="s">
        <v>144</v>
      </c>
      <c r="K410" t="s">
        <v>99</v>
      </c>
      <c r="L410">
        <v>0</v>
      </c>
      <c r="M410" t="b">
        <v>1</v>
      </c>
      <c r="N410" t="s">
        <v>2784</v>
      </c>
      <c r="O410" t="s">
        <v>2507</v>
      </c>
      <c r="P410">
        <v>35</v>
      </c>
      <c r="Q410" t="s">
        <v>2855</v>
      </c>
      <c r="R410">
        <v>517</v>
      </c>
    </row>
    <row r="411" spans="1:18" x14ac:dyDescent="0.3">
      <c r="A411" t="s">
        <v>818</v>
      </c>
      <c r="B411" s="45">
        <v>45584</v>
      </c>
      <c r="C411" t="s">
        <v>434</v>
      </c>
      <c r="D411" t="s">
        <v>245</v>
      </c>
      <c r="E411" t="s">
        <v>201</v>
      </c>
      <c r="F411">
        <v>1</v>
      </c>
      <c r="G411">
        <v>2270</v>
      </c>
      <c r="H411">
        <v>5.8</v>
      </c>
      <c r="I411">
        <v>2138.34</v>
      </c>
      <c r="J411" t="s">
        <v>140</v>
      </c>
      <c r="K411" t="s">
        <v>99</v>
      </c>
      <c r="L411">
        <v>0</v>
      </c>
      <c r="M411" t="b">
        <v>1</v>
      </c>
      <c r="N411" t="s">
        <v>2806</v>
      </c>
      <c r="O411" t="s">
        <v>2509</v>
      </c>
      <c r="P411">
        <v>31</v>
      </c>
      <c r="Q411" t="s">
        <v>2879</v>
      </c>
      <c r="R411">
        <v>1412</v>
      </c>
    </row>
    <row r="412" spans="1:18" x14ac:dyDescent="0.3">
      <c r="A412" t="s">
        <v>819</v>
      </c>
      <c r="B412" s="45">
        <v>45581</v>
      </c>
      <c r="C412" t="s">
        <v>617</v>
      </c>
      <c r="D412" t="s">
        <v>203</v>
      </c>
      <c r="E412" t="s">
        <v>297</v>
      </c>
      <c r="F412">
        <v>2</v>
      </c>
      <c r="G412">
        <v>660</v>
      </c>
      <c r="H412">
        <v>2.2999999999999998</v>
      </c>
      <c r="I412">
        <v>1289.6400000000001</v>
      </c>
      <c r="J412" t="s">
        <v>87</v>
      </c>
      <c r="K412" t="s">
        <v>112</v>
      </c>
      <c r="L412">
        <v>0</v>
      </c>
      <c r="M412" t="b">
        <v>1</v>
      </c>
      <c r="N412" t="s">
        <v>2817</v>
      </c>
      <c r="O412" t="s">
        <v>2515</v>
      </c>
      <c r="P412">
        <v>65</v>
      </c>
      <c r="Q412" t="s">
        <v>2855</v>
      </c>
      <c r="R412">
        <v>329</v>
      </c>
    </row>
    <row r="413" spans="1:18" x14ac:dyDescent="0.3">
      <c r="A413" t="s">
        <v>1185</v>
      </c>
      <c r="B413" s="45">
        <v>45611</v>
      </c>
      <c r="C413" t="s">
        <v>223</v>
      </c>
      <c r="D413" t="s">
        <v>173</v>
      </c>
      <c r="E413" t="s">
        <v>107</v>
      </c>
      <c r="F413">
        <v>5</v>
      </c>
      <c r="G413">
        <v>2720</v>
      </c>
      <c r="H413">
        <v>17.3</v>
      </c>
      <c r="I413">
        <v>11247.2</v>
      </c>
      <c r="J413" t="s">
        <v>140</v>
      </c>
      <c r="K413" t="s">
        <v>99</v>
      </c>
      <c r="L413">
        <v>0</v>
      </c>
      <c r="M413" t="b">
        <v>1</v>
      </c>
      <c r="N413" t="s">
        <v>2795</v>
      </c>
      <c r="O413" t="s">
        <v>2507</v>
      </c>
      <c r="P413">
        <v>53</v>
      </c>
      <c r="Q413" t="s">
        <v>2855</v>
      </c>
      <c r="R413">
        <v>1962</v>
      </c>
    </row>
    <row r="414" spans="1:18" x14ac:dyDescent="0.3">
      <c r="A414" t="s">
        <v>1183</v>
      </c>
      <c r="B414" s="45">
        <v>45616</v>
      </c>
      <c r="C414" t="s">
        <v>841</v>
      </c>
      <c r="D414" t="s">
        <v>360</v>
      </c>
      <c r="E414" t="s">
        <v>132</v>
      </c>
      <c r="F414">
        <v>3</v>
      </c>
      <c r="G414">
        <v>5410</v>
      </c>
      <c r="H414">
        <v>15.5</v>
      </c>
      <c r="I414">
        <v>13714.35</v>
      </c>
      <c r="J414" t="s">
        <v>87</v>
      </c>
      <c r="K414" t="s">
        <v>117</v>
      </c>
      <c r="L414">
        <v>0</v>
      </c>
      <c r="M414" t="b">
        <v>1</v>
      </c>
      <c r="N414" t="s">
        <v>2839</v>
      </c>
      <c r="O414" t="s">
        <v>2509</v>
      </c>
      <c r="P414">
        <v>41</v>
      </c>
      <c r="Q414" t="s">
        <v>2862</v>
      </c>
      <c r="R414">
        <v>2265</v>
      </c>
    </row>
    <row r="415" spans="1:18" x14ac:dyDescent="0.3">
      <c r="A415" t="s">
        <v>1181</v>
      </c>
      <c r="B415" s="45">
        <v>45592</v>
      </c>
      <c r="C415" t="s">
        <v>369</v>
      </c>
      <c r="D415" t="s">
        <v>115</v>
      </c>
      <c r="E415" t="s">
        <v>139</v>
      </c>
      <c r="F415">
        <v>9</v>
      </c>
      <c r="G415">
        <v>960</v>
      </c>
      <c r="H415">
        <v>1.9</v>
      </c>
      <c r="I415">
        <v>8475.84</v>
      </c>
      <c r="J415" t="s">
        <v>87</v>
      </c>
      <c r="K415" t="s">
        <v>94</v>
      </c>
      <c r="L415">
        <v>0</v>
      </c>
      <c r="M415" t="b">
        <v>1</v>
      </c>
      <c r="N415" t="s">
        <v>2839</v>
      </c>
      <c r="O415" t="s">
        <v>2515</v>
      </c>
      <c r="P415">
        <v>62</v>
      </c>
      <c r="Q415" t="s">
        <v>2855</v>
      </c>
      <c r="R415">
        <v>705</v>
      </c>
    </row>
    <row r="416" spans="1:18" x14ac:dyDescent="0.3">
      <c r="A416" t="s">
        <v>1176</v>
      </c>
      <c r="B416" s="45">
        <v>45600</v>
      </c>
      <c r="C416" t="s">
        <v>524</v>
      </c>
      <c r="D416" t="s">
        <v>279</v>
      </c>
      <c r="E416" t="s">
        <v>103</v>
      </c>
      <c r="F416">
        <v>4</v>
      </c>
      <c r="G416">
        <v>2660</v>
      </c>
      <c r="H416">
        <v>19.100000000000001</v>
      </c>
      <c r="I416">
        <v>8607.76</v>
      </c>
      <c r="J416" t="s">
        <v>144</v>
      </c>
      <c r="K416" t="s">
        <v>112</v>
      </c>
      <c r="L416">
        <v>0</v>
      </c>
      <c r="M416" t="b">
        <v>0</v>
      </c>
      <c r="N416" t="s">
        <v>2784</v>
      </c>
      <c r="O416" t="s">
        <v>2509</v>
      </c>
      <c r="P416">
        <v>55</v>
      </c>
      <c r="Q416" t="s">
        <v>2855</v>
      </c>
      <c r="R416">
        <v>1259</v>
      </c>
    </row>
    <row r="417" spans="1:18" x14ac:dyDescent="0.3">
      <c r="A417" t="s">
        <v>1173</v>
      </c>
      <c r="B417" s="45">
        <v>45610</v>
      </c>
      <c r="C417" t="s">
        <v>883</v>
      </c>
      <c r="D417" t="s">
        <v>360</v>
      </c>
      <c r="E417" t="s">
        <v>86</v>
      </c>
      <c r="F417">
        <v>2</v>
      </c>
      <c r="G417">
        <v>5410</v>
      </c>
      <c r="H417">
        <v>0.9</v>
      </c>
      <c r="I417">
        <v>10722.62</v>
      </c>
      <c r="J417" t="s">
        <v>93</v>
      </c>
      <c r="K417" t="s">
        <v>133</v>
      </c>
      <c r="L417">
        <v>0</v>
      </c>
      <c r="M417" t="b">
        <v>1</v>
      </c>
      <c r="N417" t="s">
        <v>2839</v>
      </c>
      <c r="O417" t="s">
        <v>2515</v>
      </c>
      <c r="P417">
        <v>28</v>
      </c>
      <c r="Q417" t="s">
        <v>2855</v>
      </c>
      <c r="R417">
        <v>2265</v>
      </c>
    </row>
    <row r="418" spans="1:18" x14ac:dyDescent="0.3">
      <c r="A418" t="s">
        <v>826</v>
      </c>
      <c r="B418" s="45">
        <v>45644</v>
      </c>
      <c r="C418" t="s">
        <v>530</v>
      </c>
      <c r="D418" t="s">
        <v>461</v>
      </c>
      <c r="E418" t="s">
        <v>107</v>
      </c>
      <c r="F418">
        <v>5</v>
      </c>
      <c r="G418">
        <v>3780</v>
      </c>
      <c r="H418">
        <v>15.2</v>
      </c>
      <c r="I418">
        <v>16027.2</v>
      </c>
      <c r="J418" t="s">
        <v>87</v>
      </c>
      <c r="K418" t="s">
        <v>99</v>
      </c>
      <c r="L418">
        <v>0</v>
      </c>
      <c r="M418" t="b">
        <v>1</v>
      </c>
      <c r="N418" t="s">
        <v>2839</v>
      </c>
      <c r="O418" t="s">
        <v>2507</v>
      </c>
      <c r="P418">
        <v>45</v>
      </c>
      <c r="Q418" t="s">
        <v>2855</v>
      </c>
      <c r="R418">
        <v>1860</v>
      </c>
    </row>
    <row r="419" spans="1:18" x14ac:dyDescent="0.3">
      <c r="A419" t="s">
        <v>1170</v>
      </c>
      <c r="B419" s="45">
        <v>45630</v>
      </c>
      <c r="C419" t="s">
        <v>592</v>
      </c>
      <c r="D419" t="s">
        <v>102</v>
      </c>
      <c r="E419" t="s">
        <v>86</v>
      </c>
      <c r="F419">
        <v>8</v>
      </c>
      <c r="G419">
        <v>3660</v>
      </c>
      <c r="H419">
        <v>7.2</v>
      </c>
      <c r="I419">
        <v>27171.84</v>
      </c>
      <c r="J419" t="s">
        <v>87</v>
      </c>
      <c r="K419" t="s">
        <v>133</v>
      </c>
      <c r="L419">
        <v>0</v>
      </c>
      <c r="M419" t="b">
        <v>0</v>
      </c>
      <c r="N419" t="s">
        <v>2806</v>
      </c>
      <c r="O419" t="s">
        <v>2507</v>
      </c>
      <c r="P419">
        <v>22</v>
      </c>
      <c r="Q419" t="s">
        <v>2855</v>
      </c>
      <c r="R419">
        <v>2214</v>
      </c>
    </row>
    <row r="420" spans="1:18" x14ac:dyDescent="0.3">
      <c r="A420" t="s">
        <v>829</v>
      </c>
      <c r="B420" s="45">
        <v>45581</v>
      </c>
      <c r="C420" t="s">
        <v>585</v>
      </c>
      <c r="D420" t="s">
        <v>502</v>
      </c>
      <c r="E420" t="s">
        <v>128</v>
      </c>
      <c r="F420">
        <v>6</v>
      </c>
      <c r="G420">
        <v>1090</v>
      </c>
      <c r="H420">
        <v>28.7</v>
      </c>
      <c r="I420">
        <v>4663.0200000000004</v>
      </c>
      <c r="J420" t="s">
        <v>87</v>
      </c>
      <c r="K420" t="s">
        <v>94</v>
      </c>
      <c r="L420">
        <v>0</v>
      </c>
      <c r="M420" t="b">
        <v>1</v>
      </c>
      <c r="N420" t="s">
        <v>2817</v>
      </c>
      <c r="O420" t="s">
        <v>2507</v>
      </c>
      <c r="P420">
        <v>26</v>
      </c>
      <c r="Q420" t="s">
        <v>2879</v>
      </c>
      <c r="R420">
        <v>464</v>
      </c>
    </row>
    <row r="421" spans="1:18" x14ac:dyDescent="0.3">
      <c r="A421" t="s">
        <v>1168</v>
      </c>
      <c r="B421" s="45">
        <v>45588</v>
      </c>
      <c r="C421" t="s">
        <v>223</v>
      </c>
      <c r="D421" t="s">
        <v>200</v>
      </c>
      <c r="E421" t="s">
        <v>132</v>
      </c>
      <c r="F421">
        <v>7</v>
      </c>
      <c r="G421">
        <v>2760</v>
      </c>
      <c r="H421">
        <v>17.100000000000001</v>
      </c>
      <c r="I421">
        <v>16016.28</v>
      </c>
      <c r="J421" t="s">
        <v>87</v>
      </c>
      <c r="K421" t="s">
        <v>99</v>
      </c>
      <c r="L421">
        <v>0</v>
      </c>
      <c r="M421" t="b">
        <v>1</v>
      </c>
      <c r="N421" t="s">
        <v>2806</v>
      </c>
      <c r="O421" t="s">
        <v>2507</v>
      </c>
      <c r="P421">
        <v>53</v>
      </c>
      <c r="Q421" t="s">
        <v>2862</v>
      </c>
      <c r="R421">
        <v>1435</v>
      </c>
    </row>
    <row r="422" spans="1:18" x14ac:dyDescent="0.3">
      <c r="A422" t="s">
        <v>831</v>
      </c>
      <c r="B422" s="45">
        <v>45577</v>
      </c>
      <c r="C422" t="s">
        <v>373</v>
      </c>
      <c r="D422" t="s">
        <v>408</v>
      </c>
      <c r="E422" t="s">
        <v>132</v>
      </c>
      <c r="F422">
        <v>5</v>
      </c>
      <c r="G422">
        <v>3970</v>
      </c>
      <c r="H422">
        <v>26</v>
      </c>
      <c r="I422">
        <v>14689</v>
      </c>
      <c r="J422" t="s">
        <v>87</v>
      </c>
      <c r="K422" t="s">
        <v>88</v>
      </c>
      <c r="L422">
        <v>0</v>
      </c>
      <c r="M422" t="b">
        <v>1</v>
      </c>
      <c r="N422" t="s">
        <v>2784</v>
      </c>
      <c r="O422" t="s">
        <v>2507</v>
      </c>
      <c r="P422">
        <v>43</v>
      </c>
      <c r="Q422" t="s">
        <v>2862</v>
      </c>
      <c r="R422">
        <v>2865</v>
      </c>
    </row>
    <row r="423" spans="1:18" x14ac:dyDescent="0.3">
      <c r="A423" t="s">
        <v>1161</v>
      </c>
      <c r="B423" s="45">
        <v>45620</v>
      </c>
      <c r="C423" t="s">
        <v>705</v>
      </c>
      <c r="D423" t="s">
        <v>102</v>
      </c>
      <c r="E423" t="s">
        <v>285</v>
      </c>
      <c r="F423">
        <v>5</v>
      </c>
      <c r="G423">
        <v>3660</v>
      </c>
      <c r="H423">
        <v>11.7</v>
      </c>
      <c r="I423">
        <v>16158.9</v>
      </c>
      <c r="J423" t="s">
        <v>87</v>
      </c>
      <c r="K423" t="s">
        <v>99</v>
      </c>
      <c r="L423">
        <v>0</v>
      </c>
      <c r="M423" t="b">
        <v>0</v>
      </c>
      <c r="N423" t="s">
        <v>2806</v>
      </c>
      <c r="O423" t="s">
        <v>2507</v>
      </c>
      <c r="P423">
        <v>53</v>
      </c>
      <c r="Q423" t="s">
        <v>2871</v>
      </c>
      <c r="R423">
        <v>2214</v>
      </c>
    </row>
    <row r="424" spans="1:18" x14ac:dyDescent="0.3">
      <c r="A424" t="s">
        <v>1155</v>
      </c>
      <c r="B424" s="45">
        <v>45640</v>
      </c>
      <c r="C424" t="s">
        <v>231</v>
      </c>
      <c r="D424" t="s">
        <v>106</v>
      </c>
      <c r="E424" t="s">
        <v>103</v>
      </c>
      <c r="F424">
        <v>5</v>
      </c>
      <c r="G424">
        <v>3160</v>
      </c>
      <c r="H424">
        <v>3.6</v>
      </c>
      <c r="I424">
        <v>15231.2</v>
      </c>
      <c r="J424" t="s">
        <v>93</v>
      </c>
      <c r="K424" t="s">
        <v>117</v>
      </c>
      <c r="L424">
        <v>0</v>
      </c>
      <c r="M424" t="b">
        <v>1</v>
      </c>
      <c r="N424" t="s">
        <v>2795</v>
      </c>
      <c r="O424" t="s">
        <v>2515</v>
      </c>
      <c r="P424">
        <v>64</v>
      </c>
      <c r="Q424" t="s">
        <v>2855</v>
      </c>
      <c r="R424">
        <v>1886</v>
      </c>
    </row>
    <row r="425" spans="1:18" x14ac:dyDescent="0.3">
      <c r="A425" t="s">
        <v>834</v>
      </c>
      <c r="B425" s="45">
        <v>45615</v>
      </c>
      <c r="C425" t="s">
        <v>835</v>
      </c>
      <c r="D425" t="s">
        <v>182</v>
      </c>
      <c r="E425" t="s">
        <v>285</v>
      </c>
      <c r="F425">
        <v>9</v>
      </c>
      <c r="G425">
        <v>1010</v>
      </c>
      <c r="H425">
        <v>3.6</v>
      </c>
      <c r="I425">
        <v>8762.76</v>
      </c>
      <c r="J425" t="s">
        <v>87</v>
      </c>
      <c r="K425" t="s">
        <v>117</v>
      </c>
      <c r="L425">
        <v>0</v>
      </c>
      <c r="M425" t="b">
        <v>1</v>
      </c>
      <c r="N425" t="s">
        <v>2839</v>
      </c>
      <c r="O425" t="s">
        <v>2507</v>
      </c>
      <c r="P425">
        <v>52</v>
      </c>
      <c r="Q425" t="s">
        <v>2871</v>
      </c>
      <c r="R425">
        <v>516</v>
      </c>
    </row>
    <row r="426" spans="1:18" x14ac:dyDescent="0.3">
      <c r="A426" t="s">
        <v>836</v>
      </c>
      <c r="B426" s="45">
        <v>45631</v>
      </c>
      <c r="C426" t="s">
        <v>837</v>
      </c>
      <c r="D426" t="s">
        <v>102</v>
      </c>
      <c r="E426" t="s">
        <v>107</v>
      </c>
      <c r="F426">
        <v>6</v>
      </c>
      <c r="G426">
        <v>3660</v>
      </c>
      <c r="H426">
        <v>10.8</v>
      </c>
      <c r="I426">
        <v>19588.32</v>
      </c>
      <c r="J426" t="s">
        <v>87</v>
      </c>
      <c r="K426" t="s">
        <v>117</v>
      </c>
      <c r="L426">
        <v>0</v>
      </c>
      <c r="M426" t="b">
        <v>0</v>
      </c>
      <c r="N426" t="s">
        <v>2806</v>
      </c>
      <c r="O426" t="s">
        <v>2507</v>
      </c>
      <c r="P426">
        <v>37</v>
      </c>
      <c r="Q426" t="s">
        <v>2855</v>
      </c>
      <c r="R426">
        <v>2214</v>
      </c>
    </row>
    <row r="427" spans="1:18" x14ac:dyDescent="0.3">
      <c r="A427" t="s">
        <v>1151</v>
      </c>
      <c r="B427" s="45">
        <v>45607</v>
      </c>
      <c r="C427" t="s">
        <v>565</v>
      </c>
      <c r="D427" t="s">
        <v>120</v>
      </c>
      <c r="E427" t="s">
        <v>325</v>
      </c>
      <c r="F427">
        <v>10</v>
      </c>
      <c r="G427">
        <v>1430</v>
      </c>
      <c r="H427">
        <v>16.100000000000001</v>
      </c>
      <c r="I427">
        <v>11997.7</v>
      </c>
      <c r="J427" t="s">
        <v>140</v>
      </c>
      <c r="K427" t="s">
        <v>112</v>
      </c>
      <c r="L427">
        <v>0</v>
      </c>
      <c r="M427" t="b">
        <v>1</v>
      </c>
      <c r="N427" t="s">
        <v>2784</v>
      </c>
      <c r="O427" t="s">
        <v>2515</v>
      </c>
      <c r="P427">
        <v>61</v>
      </c>
      <c r="Q427" t="s">
        <v>2862</v>
      </c>
      <c r="R427">
        <v>861</v>
      </c>
    </row>
    <row r="428" spans="1:18" x14ac:dyDescent="0.3">
      <c r="A428" t="s">
        <v>1146</v>
      </c>
      <c r="B428" s="45">
        <v>45615</v>
      </c>
      <c r="C428" t="s">
        <v>378</v>
      </c>
      <c r="D428" t="s">
        <v>135</v>
      </c>
      <c r="E428" t="s">
        <v>111</v>
      </c>
      <c r="F428">
        <v>8</v>
      </c>
      <c r="G428">
        <v>2640</v>
      </c>
      <c r="H428">
        <v>24.4</v>
      </c>
      <c r="I428">
        <v>15966.72</v>
      </c>
      <c r="J428" t="s">
        <v>87</v>
      </c>
      <c r="K428" t="s">
        <v>94</v>
      </c>
      <c r="L428">
        <v>0</v>
      </c>
      <c r="M428" t="b">
        <v>1</v>
      </c>
      <c r="N428" t="s">
        <v>2784</v>
      </c>
      <c r="O428" t="s">
        <v>2515</v>
      </c>
      <c r="P428">
        <v>53</v>
      </c>
      <c r="Q428" t="s">
        <v>2879</v>
      </c>
      <c r="R428">
        <v>1149</v>
      </c>
    </row>
    <row r="429" spans="1:18" x14ac:dyDescent="0.3">
      <c r="A429" t="s">
        <v>1144</v>
      </c>
      <c r="B429" s="45">
        <v>45572</v>
      </c>
      <c r="C429" t="s">
        <v>717</v>
      </c>
      <c r="D429" t="s">
        <v>515</v>
      </c>
      <c r="E429" t="s">
        <v>343</v>
      </c>
      <c r="F429">
        <v>6</v>
      </c>
      <c r="G429">
        <v>6940</v>
      </c>
      <c r="H429">
        <v>25.7</v>
      </c>
      <c r="I429">
        <v>30938.52</v>
      </c>
      <c r="J429" t="s">
        <v>87</v>
      </c>
      <c r="K429" t="s">
        <v>94</v>
      </c>
      <c r="L429">
        <v>0</v>
      </c>
      <c r="M429" t="b">
        <v>1</v>
      </c>
      <c r="N429" t="s">
        <v>2839</v>
      </c>
      <c r="O429" t="s">
        <v>2507</v>
      </c>
      <c r="P429">
        <v>24</v>
      </c>
      <c r="Q429" t="s">
        <v>2879</v>
      </c>
      <c r="R429">
        <v>2827</v>
      </c>
    </row>
    <row r="430" spans="1:18" x14ac:dyDescent="0.3">
      <c r="A430" t="s">
        <v>1140</v>
      </c>
      <c r="B430" s="45">
        <v>45632</v>
      </c>
      <c r="C430" t="s">
        <v>725</v>
      </c>
      <c r="D430" t="s">
        <v>120</v>
      </c>
      <c r="E430" t="s">
        <v>86</v>
      </c>
      <c r="F430">
        <v>1</v>
      </c>
      <c r="G430">
        <v>1430</v>
      </c>
      <c r="H430">
        <v>5.9</v>
      </c>
      <c r="I430">
        <v>1345.63</v>
      </c>
      <c r="J430" t="s">
        <v>140</v>
      </c>
      <c r="K430" t="s">
        <v>99</v>
      </c>
      <c r="L430">
        <v>0</v>
      </c>
      <c r="M430" t="b">
        <v>1</v>
      </c>
      <c r="N430" t="s">
        <v>2784</v>
      </c>
      <c r="O430" t="s">
        <v>2515</v>
      </c>
      <c r="P430">
        <v>26</v>
      </c>
      <c r="Q430" t="s">
        <v>2855</v>
      </c>
      <c r="R430">
        <v>861</v>
      </c>
    </row>
    <row r="431" spans="1:18" x14ac:dyDescent="0.3">
      <c r="A431" t="s">
        <v>1135</v>
      </c>
      <c r="B431" s="45">
        <v>45601</v>
      </c>
      <c r="C431" t="s">
        <v>142</v>
      </c>
      <c r="D431" t="s">
        <v>91</v>
      </c>
      <c r="E431" t="s">
        <v>273</v>
      </c>
      <c r="F431">
        <v>3</v>
      </c>
      <c r="G431">
        <v>820</v>
      </c>
      <c r="H431">
        <v>19.399999999999999</v>
      </c>
      <c r="I431">
        <v>1982.76</v>
      </c>
      <c r="J431" t="s">
        <v>87</v>
      </c>
      <c r="K431" t="s">
        <v>88</v>
      </c>
      <c r="L431">
        <v>0</v>
      </c>
      <c r="M431" t="b">
        <v>1</v>
      </c>
      <c r="N431" t="s">
        <v>2795</v>
      </c>
      <c r="O431" t="s">
        <v>2515</v>
      </c>
      <c r="P431">
        <v>39</v>
      </c>
      <c r="Q431" t="s">
        <v>2862</v>
      </c>
      <c r="R431">
        <v>391</v>
      </c>
    </row>
    <row r="432" spans="1:18" x14ac:dyDescent="0.3">
      <c r="A432" t="s">
        <v>844</v>
      </c>
      <c r="B432" s="45">
        <v>45624</v>
      </c>
      <c r="C432" t="s">
        <v>567</v>
      </c>
      <c r="D432" t="s">
        <v>120</v>
      </c>
      <c r="E432" t="s">
        <v>98</v>
      </c>
      <c r="F432">
        <v>10</v>
      </c>
      <c r="G432">
        <v>1430</v>
      </c>
      <c r="H432">
        <v>25.2</v>
      </c>
      <c r="I432">
        <v>10696.4</v>
      </c>
      <c r="J432" t="s">
        <v>87</v>
      </c>
      <c r="K432" t="s">
        <v>117</v>
      </c>
      <c r="L432">
        <v>0</v>
      </c>
      <c r="M432" t="b">
        <v>1</v>
      </c>
      <c r="N432" t="s">
        <v>2784</v>
      </c>
      <c r="O432" t="s">
        <v>2509</v>
      </c>
      <c r="P432">
        <v>41</v>
      </c>
      <c r="Q432" t="s">
        <v>2862</v>
      </c>
      <c r="R432">
        <v>861</v>
      </c>
    </row>
    <row r="433" spans="1:18" x14ac:dyDescent="0.3">
      <c r="A433" t="s">
        <v>1130</v>
      </c>
      <c r="B433" s="45">
        <v>45635</v>
      </c>
      <c r="C433" t="s">
        <v>247</v>
      </c>
      <c r="D433" t="s">
        <v>200</v>
      </c>
      <c r="E433" t="s">
        <v>154</v>
      </c>
      <c r="F433">
        <v>7</v>
      </c>
      <c r="G433">
        <v>2760</v>
      </c>
      <c r="H433">
        <v>1.2</v>
      </c>
      <c r="I433">
        <v>19088.16</v>
      </c>
      <c r="J433" t="s">
        <v>140</v>
      </c>
      <c r="K433" t="s">
        <v>117</v>
      </c>
      <c r="L433">
        <v>0</v>
      </c>
      <c r="M433" t="b">
        <v>1</v>
      </c>
      <c r="N433" t="s">
        <v>2806</v>
      </c>
      <c r="O433" t="s">
        <v>2507</v>
      </c>
      <c r="P433">
        <v>34</v>
      </c>
      <c r="Q433" t="s">
        <v>2871</v>
      </c>
      <c r="R433">
        <v>1435</v>
      </c>
    </row>
    <row r="434" spans="1:18" x14ac:dyDescent="0.3">
      <c r="A434" t="s">
        <v>1127</v>
      </c>
      <c r="B434" s="45">
        <v>45622</v>
      </c>
      <c r="C434" t="s">
        <v>1006</v>
      </c>
      <c r="D434" t="s">
        <v>515</v>
      </c>
      <c r="E434" t="s">
        <v>170</v>
      </c>
      <c r="F434">
        <v>5</v>
      </c>
      <c r="G434">
        <v>6940</v>
      </c>
      <c r="H434">
        <v>2.9</v>
      </c>
      <c r="I434">
        <v>33693.699999999997</v>
      </c>
      <c r="J434" t="s">
        <v>87</v>
      </c>
      <c r="K434" t="s">
        <v>117</v>
      </c>
      <c r="L434">
        <v>0</v>
      </c>
      <c r="M434" t="b">
        <v>1</v>
      </c>
      <c r="N434" t="s">
        <v>2839</v>
      </c>
      <c r="O434" t="s">
        <v>2515</v>
      </c>
      <c r="P434">
        <v>44</v>
      </c>
      <c r="Q434" t="s">
        <v>2879</v>
      </c>
      <c r="R434">
        <v>2827</v>
      </c>
    </row>
    <row r="435" spans="1:18" x14ac:dyDescent="0.3">
      <c r="A435" t="s">
        <v>1123</v>
      </c>
      <c r="B435" s="45">
        <v>45622</v>
      </c>
      <c r="C435" t="s">
        <v>105</v>
      </c>
      <c r="D435" t="s">
        <v>138</v>
      </c>
      <c r="E435" t="s">
        <v>188</v>
      </c>
      <c r="F435">
        <v>7</v>
      </c>
      <c r="G435">
        <v>2600</v>
      </c>
      <c r="H435">
        <v>6.7</v>
      </c>
      <c r="I435">
        <v>16980.599999999999</v>
      </c>
      <c r="J435" t="s">
        <v>93</v>
      </c>
      <c r="K435" t="s">
        <v>94</v>
      </c>
      <c r="L435">
        <v>0</v>
      </c>
      <c r="M435" t="b">
        <v>1</v>
      </c>
      <c r="N435" t="s">
        <v>2784</v>
      </c>
      <c r="O435" t="s">
        <v>2507</v>
      </c>
      <c r="P435">
        <v>36</v>
      </c>
      <c r="Q435" t="s">
        <v>2862</v>
      </c>
      <c r="R435">
        <v>1052</v>
      </c>
    </row>
    <row r="436" spans="1:18" x14ac:dyDescent="0.3">
      <c r="A436" t="s">
        <v>1118</v>
      </c>
      <c r="B436" s="45">
        <v>45581</v>
      </c>
      <c r="C436" t="s">
        <v>886</v>
      </c>
      <c r="D436" t="s">
        <v>191</v>
      </c>
      <c r="E436" t="s">
        <v>98</v>
      </c>
      <c r="F436">
        <v>2</v>
      </c>
      <c r="G436">
        <v>5100</v>
      </c>
      <c r="H436">
        <v>8.6</v>
      </c>
      <c r="I436">
        <v>9322.7999999999993</v>
      </c>
      <c r="J436" t="s">
        <v>87</v>
      </c>
      <c r="K436" t="s">
        <v>94</v>
      </c>
      <c r="L436">
        <v>0</v>
      </c>
      <c r="M436" t="b">
        <v>1</v>
      </c>
      <c r="N436" t="s">
        <v>2828</v>
      </c>
      <c r="O436" t="s">
        <v>2509</v>
      </c>
      <c r="P436">
        <v>44</v>
      </c>
      <c r="Q436" t="s">
        <v>2862</v>
      </c>
      <c r="R436">
        <v>2237</v>
      </c>
    </row>
    <row r="437" spans="1:18" x14ac:dyDescent="0.3">
      <c r="A437" t="s">
        <v>1114</v>
      </c>
      <c r="B437" s="45">
        <v>45610</v>
      </c>
      <c r="C437" t="s">
        <v>537</v>
      </c>
      <c r="D437" t="s">
        <v>187</v>
      </c>
      <c r="E437" t="s">
        <v>128</v>
      </c>
      <c r="F437">
        <v>9</v>
      </c>
      <c r="G437">
        <v>3570</v>
      </c>
      <c r="H437">
        <v>29.9</v>
      </c>
      <c r="I437">
        <v>22523.13</v>
      </c>
      <c r="J437" t="s">
        <v>87</v>
      </c>
      <c r="K437" t="s">
        <v>133</v>
      </c>
      <c r="L437">
        <v>0</v>
      </c>
      <c r="M437" t="b">
        <v>1</v>
      </c>
      <c r="N437" t="s">
        <v>2784</v>
      </c>
      <c r="O437" t="s">
        <v>2515</v>
      </c>
      <c r="P437">
        <v>48</v>
      </c>
      <c r="Q437" t="s">
        <v>2879</v>
      </c>
      <c r="R437">
        <v>1665</v>
      </c>
    </row>
    <row r="438" spans="1:18" x14ac:dyDescent="0.3">
      <c r="A438" t="s">
        <v>1103</v>
      </c>
      <c r="B438" s="45">
        <v>45629</v>
      </c>
      <c r="C438" t="s">
        <v>1104</v>
      </c>
      <c r="D438" t="s">
        <v>351</v>
      </c>
      <c r="E438" t="s">
        <v>252</v>
      </c>
      <c r="F438">
        <v>3</v>
      </c>
      <c r="G438">
        <v>4060</v>
      </c>
      <c r="H438">
        <v>2.5</v>
      </c>
      <c r="I438">
        <v>11875.5</v>
      </c>
      <c r="J438" t="s">
        <v>144</v>
      </c>
      <c r="K438" t="s">
        <v>117</v>
      </c>
      <c r="L438">
        <v>0</v>
      </c>
      <c r="M438" t="b">
        <v>1</v>
      </c>
      <c r="N438" t="s">
        <v>2806</v>
      </c>
      <c r="O438" t="s">
        <v>2509</v>
      </c>
      <c r="P438">
        <v>31</v>
      </c>
      <c r="Q438" t="s">
        <v>2862</v>
      </c>
      <c r="R438">
        <v>2911</v>
      </c>
    </row>
    <row r="439" spans="1:18" x14ac:dyDescent="0.3">
      <c r="A439" t="s">
        <v>1102</v>
      </c>
      <c r="B439" s="45">
        <v>45614</v>
      </c>
      <c r="C439" t="s">
        <v>266</v>
      </c>
      <c r="D439" t="s">
        <v>161</v>
      </c>
      <c r="E439" t="s">
        <v>188</v>
      </c>
      <c r="F439">
        <v>10</v>
      </c>
      <c r="G439">
        <v>3450</v>
      </c>
      <c r="H439">
        <v>25.1</v>
      </c>
      <c r="I439">
        <v>25840.5</v>
      </c>
      <c r="J439" t="s">
        <v>87</v>
      </c>
      <c r="K439" t="s">
        <v>99</v>
      </c>
      <c r="L439">
        <v>0</v>
      </c>
      <c r="M439" t="b">
        <v>1</v>
      </c>
      <c r="N439" t="s">
        <v>2839</v>
      </c>
      <c r="O439" t="s">
        <v>2509</v>
      </c>
      <c r="P439">
        <v>55</v>
      </c>
      <c r="Q439" t="s">
        <v>2862</v>
      </c>
      <c r="R439">
        <v>2467</v>
      </c>
    </row>
    <row r="440" spans="1:18" x14ac:dyDescent="0.3">
      <c r="A440" t="s">
        <v>1101</v>
      </c>
      <c r="B440" s="45">
        <v>45574</v>
      </c>
      <c r="C440" t="s">
        <v>429</v>
      </c>
      <c r="D440" t="s">
        <v>279</v>
      </c>
      <c r="E440" t="s">
        <v>92</v>
      </c>
      <c r="F440">
        <v>10</v>
      </c>
      <c r="G440">
        <v>2660</v>
      </c>
      <c r="H440">
        <v>20.2</v>
      </c>
      <c r="I440">
        <v>21226.799999999999</v>
      </c>
      <c r="J440" t="s">
        <v>87</v>
      </c>
      <c r="K440" t="s">
        <v>117</v>
      </c>
      <c r="L440">
        <v>0</v>
      </c>
      <c r="M440" t="b">
        <v>0</v>
      </c>
      <c r="N440" t="s">
        <v>2784</v>
      </c>
      <c r="O440" t="s">
        <v>2507</v>
      </c>
      <c r="P440">
        <v>55</v>
      </c>
      <c r="Q440" t="s">
        <v>2855</v>
      </c>
      <c r="R440">
        <v>1259</v>
      </c>
    </row>
    <row r="441" spans="1:18" x14ac:dyDescent="0.3">
      <c r="A441" t="s">
        <v>1097</v>
      </c>
      <c r="B441" s="45">
        <v>45598</v>
      </c>
      <c r="C441" t="s">
        <v>807</v>
      </c>
      <c r="D441" t="s">
        <v>203</v>
      </c>
      <c r="E441" t="s">
        <v>107</v>
      </c>
      <c r="F441">
        <v>1</v>
      </c>
      <c r="G441">
        <v>660</v>
      </c>
      <c r="H441">
        <v>2.5</v>
      </c>
      <c r="I441">
        <v>643.5</v>
      </c>
      <c r="J441" t="s">
        <v>87</v>
      </c>
      <c r="K441" t="s">
        <v>88</v>
      </c>
      <c r="L441">
        <v>0</v>
      </c>
      <c r="M441" t="b">
        <v>1</v>
      </c>
      <c r="N441" t="s">
        <v>2817</v>
      </c>
      <c r="O441" t="s">
        <v>2507</v>
      </c>
      <c r="P441">
        <v>36</v>
      </c>
      <c r="Q441" t="s">
        <v>2855</v>
      </c>
      <c r="R441">
        <v>329</v>
      </c>
    </row>
    <row r="442" spans="1:18" x14ac:dyDescent="0.3">
      <c r="A442" t="s">
        <v>855</v>
      </c>
      <c r="B442" s="45">
        <v>45628</v>
      </c>
      <c r="C442" t="s">
        <v>856</v>
      </c>
      <c r="D442" t="s">
        <v>135</v>
      </c>
      <c r="E442" t="s">
        <v>238</v>
      </c>
      <c r="F442">
        <v>10</v>
      </c>
      <c r="G442">
        <v>2640</v>
      </c>
      <c r="H442">
        <v>12.7</v>
      </c>
      <c r="I442">
        <v>23047.200000000001</v>
      </c>
      <c r="J442" t="s">
        <v>87</v>
      </c>
      <c r="K442" t="s">
        <v>88</v>
      </c>
      <c r="L442">
        <v>0</v>
      </c>
      <c r="M442" t="b">
        <v>1</v>
      </c>
      <c r="N442" t="s">
        <v>2784</v>
      </c>
      <c r="O442" t="s">
        <v>2515</v>
      </c>
      <c r="P442">
        <v>59</v>
      </c>
      <c r="Q442" t="s">
        <v>2871</v>
      </c>
      <c r="R442">
        <v>1149</v>
      </c>
    </row>
    <row r="443" spans="1:18" x14ac:dyDescent="0.3">
      <c r="A443" t="s">
        <v>1091</v>
      </c>
      <c r="B443" s="45">
        <v>45634</v>
      </c>
      <c r="C443" t="s">
        <v>219</v>
      </c>
      <c r="D443" t="s">
        <v>182</v>
      </c>
      <c r="E443" t="s">
        <v>92</v>
      </c>
      <c r="F443">
        <v>10</v>
      </c>
      <c r="G443">
        <v>1010</v>
      </c>
      <c r="H443">
        <v>28.9</v>
      </c>
      <c r="I443">
        <v>7181.1</v>
      </c>
      <c r="J443" t="s">
        <v>87</v>
      </c>
      <c r="K443" t="s">
        <v>99</v>
      </c>
      <c r="L443">
        <v>0</v>
      </c>
      <c r="M443" t="b">
        <v>1</v>
      </c>
      <c r="N443" t="s">
        <v>2839</v>
      </c>
      <c r="O443" t="s">
        <v>2515</v>
      </c>
      <c r="P443">
        <v>50</v>
      </c>
      <c r="Q443" t="s">
        <v>2855</v>
      </c>
      <c r="R443">
        <v>516</v>
      </c>
    </row>
    <row r="444" spans="1:18" x14ac:dyDescent="0.3">
      <c r="A444" t="s">
        <v>1090</v>
      </c>
      <c r="B444" s="45">
        <v>45588</v>
      </c>
      <c r="C444" t="s">
        <v>557</v>
      </c>
      <c r="D444" t="s">
        <v>200</v>
      </c>
      <c r="E444" t="s">
        <v>297</v>
      </c>
      <c r="F444">
        <v>3</v>
      </c>
      <c r="G444">
        <v>2760</v>
      </c>
      <c r="H444">
        <v>1.9</v>
      </c>
      <c r="I444">
        <v>8122.68</v>
      </c>
      <c r="J444" t="s">
        <v>140</v>
      </c>
      <c r="K444" t="s">
        <v>112</v>
      </c>
      <c r="L444">
        <v>0</v>
      </c>
      <c r="M444" t="b">
        <v>1</v>
      </c>
      <c r="N444" t="s">
        <v>2806</v>
      </c>
      <c r="O444" t="s">
        <v>2507</v>
      </c>
      <c r="P444">
        <v>65</v>
      </c>
      <c r="Q444" t="s">
        <v>2855</v>
      </c>
      <c r="R444">
        <v>1435</v>
      </c>
    </row>
    <row r="445" spans="1:18" x14ac:dyDescent="0.3">
      <c r="A445" t="s">
        <v>859</v>
      </c>
      <c r="B445" s="45">
        <v>45629</v>
      </c>
      <c r="C445" t="s">
        <v>487</v>
      </c>
      <c r="D445" t="s">
        <v>143</v>
      </c>
      <c r="E445" t="s">
        <v>92</v>
      </c>
      <c r="F445">
        <v>8</v>
      </c>
      <c r="G445">
        <v>3250</v>
      </c>
      <c r="H445">
        <v>5.4</v>
      </c>
      <c r="I445">
        <v>24596</v>
      </c>
      <c r="J445" t="s">
        <v>87</v>
      </c>
      <c r="K445" t="s">
        <v>88</v>
      </c>
      <c r="L445">
        <v>0</v>
      </c>
      <c r="M445" t="b">
        <v>1</v>
      </c>
      <c r="N445" t="s">
        <v>2817</v>
      </c>
      <c r="O445" t="s">
        <v>2509</v>
      </c>
      <c r="P445">
        <v>29</v>
      </c>
      <c r="Q445" t="s">
        <v>2855</v>
      </c>
      <c r="R445">
        <v>1556</v>
      </c>
    </row>
    <row r="446" spans="1:18" x14ac:dyDescent="0.3">
      <c r="A446" t="s">
        <v>1089</v>
      </c>
      <c r="B446" s="45">
        <v>45633</v>
      </c>
      <c r="C446" t="s">
        <v>1000</v>
      </c>
      <c r="D446" t="s">
        <v>292</v>
      </c>
      <c r="E446" t="s">
        <v>132</v>
      </c>
      <c r="F446">
        <v>10</v>
      </c>
      <c r="G446">
        <v>620</v>
      </c>
      <c r="H446">
        <v>15.8</v>
      </c>
      <c r="I446">
        <v>5220.3999999999996</v>
      </c>
      <c r="J446" t="s">
        <v>144</v>
      </c>
      <c r="K446" t="s">
        <v>117</v>
      </c>
      <c r="L446">
        <v>0</v>
      </c>
      <c r="M446" t="b">
        <v>1</v>
      </c>
      <c r="N446" t="s">
        <v>2795</v>
      </c>
      <c r="O446" t="s">
        <v>2507</v>
      </c>
      <c r="P446">
        <v>27</v>
      </c>
      <c r="Q446" t="s">
        <v>2862</v>
      </c>
      <c r="R446">
        <v>396</v>
      </c>
    </row>
    <row r="447" spans="1:18" x14ac:dyDescent="0.3">
      <c r="A447" t="s">
        <v>861</v>
      </c>
      <c r="B447" s="45">
        <v>45597</v>
      </c>
      <c r="C447" t="s">
        <v>376</v>
      </c>
      <c r="D447" t="s">
        <v>276</v>
      </c>
      <c r="E447" t="s">
        <v>303</v>
      </c>
      <c r="F447">
        <v>9</v>
      </c>
      <c r="G447">
        <v>3020</v>
      </c>
      <c r="H447">
        <v>15</v>
      </c>
      <c r="I447">
        <v>23103</v>
      </c>
      <c r="J447" t="s">
        <v>87</v>
      </c>
      <c r="K447" t="s">
        <v>117</v>
      </c>
      <c r="L447">
        <v>0</v>
      </c>
      <c r="M447" t="b">
        <v>1</v>
      </c>
      <c r="N447" t="s">
        <v>2828</v>
      </c>
      <c r="O447" t="s">
        <v>2515</v>
      </c>
      <c r="P447">
        <v>44</v>
      </c>
      <c r="Q447" t="s">
        <v>2871</v>
      </c>
      <c r="R447">
        <v>1626</v>
      </c>
    </row>
    <row r="448" spans="1:18" x14ac:dyDescent="0.3">
      <c r="A448" t="s">
        <v>1088</v>
      </c>
      <c r="B448" s="45">
        <v>45567</v>
      </c>
      <c r="C448" t="s">
        <v>399</v>
      </c>
      <c r="D448" t="s">
        <v>659</v>
      </c>
      <c r="E448" t="s">
        <v>201</v>
      </c>
      <c r="F448">
        <v>5</v>
      </c>
      <c r="G448">
        <v>3560</v>
      </c>
      <c r="H448">
        <v>15</v>
      </c>
      <c r="I448">
        <v>15130</v>
      </c>
      <c r="J448" t="s">
        <v>87</v>
      </c>
      <c r="K448" t="s">
        <v>99</v>
      </c>
      <c r="L448">
        <v>0</v>
      </c>
      <c r="M448" t="b">
        <v>1</v>
      </c>
      <c r="N448" t="s">
        <v>2795</v>
      </c>
      <c r="O448" t="s">
        <v>2515</v>
      </c>
      <c r="P448">
        <v>53</v>
      </c>
      <c r="Q448" t="s">
        <v>2879</v>
      </c>
      <c r="R448">
        <v>2629</v>
      </c>
    </row>
    <row r="449" spans="1:18" x14ac:dyDescent="0.3">
      <c r="A449" t="s">
        <v>1084</v>
      </c>
      <c r="B449" s="45">
        <v>45609</v>
      </c>
      <c r="C449" t="s">
        <v>291</v>
      </c>
      <c r="D449" t="s">
        <v>248</v>
      </c>
      <c r="E449" t="s">
        <v>86</v>
      </c>
      <c r="F449">
        <v>6</v>
      </c>
      <c r="G449">
        <v>3870</v>
      </c>
      <c r="H449">
        <v>12.2</v>
      </c>
      <c r="I449">
        <v>20387.16</v>
      </c>
      <c r="J449" t="s">
        <v>87</v>
      </c>
      <c r="K449" t="s">
        <v>99</v>
      </c>
      <c r="L449">
        <v>0</v>
      </c>
      <c r="M449" t="b">
        <v>1</v>
      </c>
      <c r="N449" t="s">
        <v>2784</v>
      </c>
      <c r="O449" t="s">
        <v>2507</v>
      </c>
      <c r="P449">
        <v>35</v>
      </c>
      <c r="Q449" t="s">
        <v>2855</v>
      </c>
      <c r="R449">
        <v>1559</v>
      </c>
    </row>
    <row r="450" spans="1:18" x14ac:dyDescent="0.3">
      <c r="A450" t="s">
        <v>1083</v>
      </c>
      <c r="B450" s="45">
        <v>45587</v>
      </c>
      <c r="C450" t="s">
        <v>340</v>
      </c>
      <c r="D450" t="s">
        <v>182</v>
      </c>
      <c r="E450" t="s">
        <v>103</v>
      </c>
      <c r="F450">
        <v>1</v>
      </c>
      <c r="G450">
        <v>1010</v>
      </c>
      <c r="H450">
        <v>1.7</v>
      </c>
      <c r="I450">
        <v>992.83</v>
      </c>
      <c r="J450" t="s">
        <v>87</v>
      </c>
      <c r="K450" t="s">
        <v>88</v>
      </c>
      <c r="L450">
        <v>0</v>
      </c>
      <c r="M450" t="b">
        <v>1</v>
      </c>
      <c r="N450" t="s">
        <v>2839</v>
      </c>
      <c r="O450" t="s">
        <v>2507</v>
      </c>
      <c r="P450">
        <v>25</v>
      </c>
      <c r="Q450" t="s">
        <v>2855</v>
      </c>
      <c r="R450">
        <v>516</v>
      </c>
    </row>
    <row r="451" spans="1:18" x14ac:dyDescent="0.3">
      <c r="A451" t="s">
        <v>1082</v>
      </c>
      <c r="B451" s="45">
        <v>45586</v>
      </c>
      <c r="C451" t="s">
        <v>199</v>
      </c>
      <c r="D451" t="s">
        <v>515</v>
      </c>
      <c r="E451" t="s">
        <v>204</v>
      </c>
      <c r="F451">
        <v>4</v>
      </c>
      <c r="G451">
        <v>6940</v>
      </c>
      <c r="H451">
        <v>15.1</v>
      </c>
      <c r="I451">
        <v>23568.240000000002</v>
      </c>
      <c r="J451" t="s">
        <v>87</v>
      </c>
      <c r="K451" t="s">
        <v>133</v>
      </c>
      <c r="L451">
        <v>0</v>
      </c>
      <c r="M451" t="b">
        <v>1</v>
      </c>
      <c r="N451" t="s">
        <v>2839</v>
      </c>
      <c r="O451" t="s">
        <v>2507</v>
      </c>
      <c r="P451">
        <v>53</v>
      </c>
      <c r="Q451" t="s">
        <v>2862</v>
      </c>
      <c r="R451">
        <v>2827</v>
      </c>
    </row>
    <row r="452" spans="1:18" x14ac:dyDescent="0.3">
      <c r="A452" t="s">
        <v>867</v>
      </c>
      <c r="B452" s="45">
        <v>45649</v>
      </c>
      <c r="C452" t="s">
        <v>868</v>
      </c>
      <c r="D452" t="s">
        <v>360</v>
      </c>
      <c r="E452" t="s">
        <v>188</v>
      </c>
      <c r="F452">
        <v>10</v>
      </c>
      <c r="G452">
        <v>5410</v>
      </c>
      <c r="H452">
        <v>26.1</v>
      </c>
      <c r="I452">
        <v>39979.9</v>
      </c>
      <c r="J452" t="s">
        <v>87</v>
      </c>
      <c r="K452" t="s">
        <v>99</v>
      </c>
      <c r="L452">
        <v>0</v>
      </c>
      <c r="M452" t="b">
        <v>1</v>
      </c>
      <c r="N452" t="s">
        <v>2839</v>
      </c>
      <c r="O452" t="s">
        <v>2515</v>
      </c>
      <c r="P452">
        <v>38</v>
      </c>
      <c r="Q452" t="s">
        <v>2862</v>
      </c>
      <c r="R452">
        <v>2265</v>
      </c>
    </row>
    <row r="453" spans="1:18" x14ac:dyDescent="0.3">
      <c r="A453" t="s">
        <v>869</v>
      </c>
      <c r="B453" s="45">
        <v>45586</v>
      </c>
      <c r="C453" t="s">
        <v>870</v>
      </c>
      <c r="D453" t="s">
        <v>203</v>
      </c>
      <c r="E453" t="s">
        <v>154</v>
      </c>
      <c r="F453">
        <v>2</v>
      </c>
      <c r="G453">
        <v>660</v>
      </c>
      <c r="H453">
        <v>5</v>
      </c>
      <c r="I453">
        <v>1254</v>
      </c>
      <c r="J453" t="s">
        <v>87</v>
      </c>
      <c r="K453" t="s">
        <v>117</v>
      </c>
      <c r="L453">
        <v>0</v>
      </c>
      <c r="M453" t="b">
        <v>1</v>
      </c>
      <c r="N453" t="s">
        <v>2817</v>
      </c>
      <c r="O453" t="s">
        <v>2507</v>
      </c>
      <c r="P453">
        <v>47</v>
      </c>
      <c r="Q453" t="s">
        <v>2871</v>
      </c>
      <c r="R453">
        <v>329</v>
      </c>
    </row>
    <row r="454" spans="1:18" x14ac:dyDescent="0.3">
      <c r="A454" t="s">
        <v>871</v>
      </c>
      <c r="B454" s="45">
        <v>45647</v>
      </c>
      <c r="C454" t="s">
        <v>872</v>
      </c>
      <c r="D454" t="s">
        <v>182</v>
      </c>
      <c r="E454" t="s">
        <v>86</v>
      </c>
      <c r="F454">
        <v>10</v>
      </c>
      <c r="G454">
        <v>1010</v>
      </c>
      <c r="H454">
        <v>10</v>
      </c>
      <c r="I454">
        <v>9090</v>
      </c>
      <c r="J454" t="s">
        <v>87</v>
      </c>
      <c r="K454" t="s">
        <v>112</v>
      </c>
      <c r="L454">
        <v>0</v>
      </c>
      <c r="M454" t="b">
        <v>1</v>
      </c>
      <c r="N454" t="s">
        <v>2839</v>
      </c>
      <c r="O454" t="s">
        <v>2509</v>
      </c>
      <c r="P454">
        <v>62</v>
      </c>
      <c r="Q454" t="s">
        <v>2855</v>
      </c>
      <c r="R454">
        <v>516</v>
      </c>
    </row>
    <row r="455" spans="1:18" x14ac:dyDescent="0.3">
      <c r="A455" t="s">
        <v>1079</v>
      </c>
      <c r="B455" s="45">
        <v>45592</v>
      </c>
      <c r="C455" t="s">
        <v>1072</v>
      </c>
      <c r="D455" t="s">
        <v>131</v>
      </c>
      <c r="E455" t="s">
        <v>297</v>
      </c>
      <c r="F455">
        <v>4</v>
      </c>
      <c r="G455">
        <v>2270</v>
      </c>
      <c r="H455">
        <v>27.5</v>
      </c>
      <c r="I455">
        <v>6583</v>
      </c>
      <c r="J455" t="s">
        <v>93</v>
      </c>
      <c r="K455" t="s">
        <v>112</v>
      </c>
      <c r="L455">
        <v>0</v>
      </c>
      <c r="M455" t="b">
        <v>1</v>
      </c>
      <c r="N455" t="s">
        <v>2806</v>
      </c>
      <c r="O455" t="s">
        <v>2515</v>
      </c>
      <c r="P455">
        <v>53</v>
      </c>
      <c r="Q455" t="s">
        <v>2855</v>
      </c>
      <c r="R455">
        <v>1203</v>
      </c>
    </row>
    <row r="456" spans="1:18" x14ac:dyDescent="0.3">
      <c r="A456" t="s">
        <v>1078</v>
      </c>
      <c r="B456" s="45">
        <v>45574</v>
      </c>
      <c r="C456" t="s">
        <v>816</v>
      </c>
      <c r="D456" t="s">
        <v>151</v>
      </c>
      <c r="E456" t="s">
        <v>215</v>
      </c>
      <c r="F456">
        <v>5</v>
      </c>
      <c r="G456">
        <v>2400</v>
      </c>
      <c r="H456">
        <v>16.100000000000001</v>
      </c>
      <c r="I456">
        <v>10068</v>
      </c>
      <c r="J456" t="s">
        <v>87</v>
      </c>
      <c r="K456" t="s">
        <v>88</v>
      </c>
      <c r="L456">
        <v>0</v>
      </c>
      <c r="M456" t="b">
        <v>1</v>
      </c>
      <c r="N456" t="s">
        <v>2839</v>
      </c>
      <c r="O456" t="s">
        <v>2507</v>
      </c>
      <c r="P456">
        <v>36</v>
      </c>
      <c r="Q456" t="s">
        <v>2855</v>
      </c>
      <c r="R456">
        <v>974</v>
      </c>
    </row>
    <row r="457" spans="1:18" x14ac:dyDescent="0.3">
      <c r="A457" t="s">
        <v>1077</v>
      </c>
      <c r="B457" s="45">
        <v>45627</v>
      </c>
      <c r="C457" t="s">
        <v>729</v>
      </c>
      <c r="D457" t="s">
        <v>187</v>
      </c>
      <c r="E457" t="s">
        <v>107</v>
      </c>
      <c r="F457">
        <v>2</v>
      </c>
      <c r="G457">
        <v>3570</v>
      </c>
      <c r="H457">
        <v>6.1</v>
      </c>
      <c r="I457">
        <v>6704.46</v>
      </c>
      <c r="J457" t="s">
        <v>140</v>
      </c>
      <c r="K457" t="s">
        <v>112</v>
      </c>
      <c r="L457">
        <v>0</v>
      </c>
      <c r="M457" t="b">
        <v>1</v>
      </c>
      <c r="N457" t="s">
        <v>2784</v>
      </c>
      <c r="O457" t="s">
        <v>2507</v>
      </c>
      <c r="P457">
        <v>56</v>
      </c>
      <c r="Q457" t="s">
        <v>2855</v>
      </c>
      <c r="R457">
        <v>1665</v>
      </c>
    </row>
    <row r="458" spans="1:18" x14ac:dyDescent="0.3">
      <c r="A458" t="s">
        <v>1070</v>
      </c>
      <c r="B458" s="45">
        <v>45610</v>
      </c>
      <c r="C458" t="s">
        <v>626</v>
      </c>
      <c r="D458" t="s">
        <v>386</v>
      </c>
      <c r="E458" t="s">
        <v>92</v>
      </c>
      <c r="F458">
        <v>3</v>
      </c>
      <c r="G458">
        <v>2290</v>
      </c>
      <c r="H458">
        <v>20.8</v>
      </c>
      <c r="I458">
        <v>5441.04</v>
      </c>
      <c r="J458" t="s">
        <v>87</v>
      </c>
      <c r="K458" t="s">
        <v>99</v>
      </c>
      <c r="L458">
        <v>1</v>
      </c>
      <c r="M458" t="b">
        <v>1</v>
      </c>
      <c r="N458" t="s">
        <v>2828</v>
      </c>
      <c r="O458" t="s">
        <v>2507</v>
      </c>
      <c r="P458">
        <v>40</v>
      </c>
      <c r="Q458" t="s">
        <v>2855</v>
      </c>
      <c r="R458">
        <v>1219</v>
      </c>
    </row>
    <row r="459" spans="1:18" x14ac:dyDescent="0.3">
      <c r="A459" t="s">
        <v>1063</v>
      </c>
      <c r="B459" s="45">
        <v>45570</v>
      </c>
      <c r="C459" t="s">
        <v>250</v>
      </c>
      <c r="D459" t="s">
        <v>191</v>
      </c>
      <c r="E459" t="s">
        <v>252</v>
      </c>
      <c r="F459">
        <v>6</v>
      </c>
      <c r="G459">
        <v>5100</v>
      </c>
      <c r="H459">
        <v>13.2</v>
      </c>
      <c r="I459">
        <v>26560.799999999999</v>
      </c>
      <c r="J459" t="s">
        <v>87</v>
      </c>
      <c r="K459" t="s">
        <v>117</v>
      </c>
      <c r="L459">
        <v>0</v>
      </c>
      <c r="M459" t="b">
        <v>1</v>
      </c>
      <c r="N459" t="s">
        <v>2828</v>
      </c>
      <c r="O459" t="s">
        <v>2515</v>
      </c>
      <c r="P459">
        <v>34</v>
      </c>
      <c r="Q459" t="s">
        <v>2862</v>
      </c>
      <c r="R459">
        <v>2237</v>
      </c>
    </row>
    <row r="460" spans="1:18" x14ac:dyDescent="0.3">
      <c r="A460" t="s">
        <v>1061</v>
      </c>
      <c r="B460" s="45">
        <v>45593</v>
      </c>
      <c r="C460" t="s">
        <v>1062</v>
      </c>
      <c r="D460" t="s">
        <v>179</v>
      </c>
      <c r="E460" t="s">
        <v>238</v>
      </c>
      <c r="F460">
        <v>6</v>
      </c>
      <c r="G460">
        <v>3350</v>
      </c>
      <c r="H460">
        <v>11.8</v>
      </c>
      <c r="I460">
        <v>17728.2</v>
      </c>
      <c r="J460" t="s">
        <v>93</v>
      </c>
      <c r="K460" t="s">
        <v>112</v>
      </c>
      <c r="L460">
        <v>0</v>
      </c>
      <c r="M460" t="b">
        <v>1</v>
      </c>
      <c r="N460" t="s">
        <v>2828</v>
      </c>
      <c r="O460" t="s">
        <v>2515</v>
      </c>
      <c r="P460">
        <v>54</v>
      </c>
      <c r="Q460" t="s">
        <v>2871</v>
      </c>
      <c r="R460">
        <v>1728</v>
      </c>
    </row>
    <row r="461" spans="1:18" x14ac:dyDescent="0.3">
      <c r="A461" t="s">
        <v>1058</v>
      </c>
      <c r="B461" s="45">
        <v>45588</v>
      </c>
      <c r="C461" t="s">
        <v>299</v>
      </c>
      <c r="D461" t="s">
        <v>157</v>
      </c>
      <c r="E461" t="s">
        <v>103</v>
      </c>
      <c r="F461">
        <v>10</v>
      </c>
      <c r="G461">
        <v>3450</v>
      </c>
      <c r="H461">
        <v>19.100000000000001</v>
      </c>
      <c r="I461">
        <v>27910.5</v>
      </c>
      <c r="J461" t="s">
        <v>87</v>
      </c>
      <c r="K461" t="s">
        <v>133</v>
      </c>
      <c r="L461">
        <v>0</v>
      </c>
      <c r="M461" t="b">
        <v>1</v>
      </c>
      <c r="N461" t="s">
        <v>2828</v>
      </c>
      <c r="O461" t="s">
        <v>2507</v>
      </c>
      <c r="P461">
        <v>29</v>
      </c>
      <c r="Q461" t="s">
        <v>2855</v>
      </c>
      <c r="R461">
        <v>2420</v>
      </c>
    </row>
    <row r="462" spans="1:18" x14ac:dyDescent="0.3">
      <c r="A462" t="s">
        <v>1052</v>
      </c>
      <c r="B462" s="45">
        <v>45649</v>
      </c>
      <c r="C462" t="s">
        <v>250</v>
      </c>
      <c r="D462" t="s">
        <v>443</v>
      </c>
      <c r="E462" t="s">
        <v>103</v>
      </c>
      <c r="F462">
        <v>5</v>
      </c>
      <c r="G462">
        <v>5080</v>
      </c>
      <c r="H462">
        <v>23.8</v>
      </c>
      <c r="I462">
        <v>19354.8</v>
      </c>
      <c r="J462" t="s">
        <v>87</v>
      </c>
      <c r="K462" t="s">
        <v>117</v>
      </c>
      <c r="L462">
        <v>0</v>
      </c>
      <c r="M462" t="b">
        <v>1</v>
      </c>
      <c r="N462" t="s">
        <v>2817</v>
      </c>
      <c r="O462" t="s">
        <v>2515</v>
      </c>
      <c r="P462">
        <v>34</v>
      </c>
      <c r="Q462" t="s">
        <v>2855</v>
      </c>
      <c r="R462">
        <v>2459</v>
      </c>
    </row>
    <row r="463" spans="1:18" x14ac:dyDescent="0.3">
      <c r="A463" t="s">
        <v>1045</v>
      </c>
      <c r="B463" s="45">
        <v>45572</v>
      </c>
      <c r="C463" t="s">
        <v>403</v>
      </c>
      <c r="D463" t="s">
        <v>515</v>
      </c>
      <c r="E463" t="s">
        <v>128</v>
      </c>
      <c r="F463">
        <v>9</v>
      </c>
      <c r="G463">
        <v>6940</v>
      </c>
      <c r="H463">
        <v>8</v>
      </c>
      <c r="I463">
        <v>57463.199999999997</v>
      </c>
      <c r="J463" t="s">
        <v>87</v>
      </c>
      <c r="K463" t="s">
        <v>117</v>
      </c>
      <c r="L463">
        <v>0</v>
      </c>
      <c r="M463" t="b">
        <v>1</v>
      </c>
      <c r="N463" t="s">
        <v>2839</v>
      </c>
      <c r="O463" t="s">
        <v>2507</v>
      </c>
      <c r="P463">
        <v>59</v>
      </c>
      <c r="Q463" t="s">
        <v>2879</v>
      </c>
      <c r="R463">
        <v>2827</v>
      </c>
    </row>
    <row r="464" spans="1:18" x14ac:dyDescent="0.3">
      <c r="A464" t="s">
        <v>1042</v>
      </c>
      <c r="B464" s="45">
        <v>45607</v>
      </c>
      <c r="C464" t="s">
        <v>194</v>
      </c>
      <c r="D464" t="s">
        <v>461</v>
      </c>
      <c r="E464" t="s">
        <v>252</v>
      </c>
      <c r="F464">
        <v>6</v>
      </c>
      <c r="G464">
        <v>3780</v>
      </c>
      <c r="H464">
        <v>12.7</v>
      </c>
      <c r="I464">
        <v>19799.64</v>
      </c>
      <c r="J464" t="s">
        <v>87</v>
      </c>
      <c r="K464" t="s">
        <v>88</v>
      </c>
      <c r="L464">
        <v>0</v>
      </c>
      <c r="M464" t="b">
        <v>1</v>
      </c>
      <c r="N464" t="s">
        <v>2839</v>
      </c>
      <c r="O464" t="s">
        <v>2515</v>
      </c>
      <c r="P464">
        <v>44</v>
      </c>
      <c r="Q464" t="s">
        <v>2862</v>
      </c>
      <c r="R464">
        <v>1860</v>
      </c>
    </row>
    <row r="465" spans="1:18" x14ac:dyDescent="0.3">
      <c r="A465" t="s">
        <v>1039</v>
      </c>
      <c r="B465" s="45">
        <v>45609</v>
      </c>
      <c r="C465" t="s">
        <v>310</v>
      </c>
      <c r="D465" t="s">
        <v>226</v>
      </c>
      <c r="E465" t="s">
        <v>297</v>
      </c>
      <c r="F465">
        <v>4</v>
      </c>
      <c r="G465">
        <v>3730</v>
      </c>
      <c r="H465">
        <v>3.4</v>
      </c>
      <c r="I465">
        <v>14412.72</v>
      </c>
      <c r="J465" t="s">
        <v>140</v>
      </c>
      <c r="K465" t="s">
        <v>117</v>
      </c>
      <c r="L465">
        <v>0</v>
      </c>
      <c r="M465" t="b">
        <v>1</v>
      </c>
      <c r="N465" t="s">
        <v>2817</v>
      </c>
      <c r="O465" t="s">
        <v>2507</v>
      </c>
      <c r="P465">
        <v>42</v>
      </c>
      <c r="Q465" t="s">
        <v>2855</v>
      </c>
      <c r="R465">
        <v>2135</v>
      </c>
    </row>
    <row r="466" spans="1:18" x14ac:dyDescent="0.3">
      <c r="A466" t="s">
        <v>1031</v>
      </c>
      <c r="B466" s="45">
        <v>45589</v>
      </c>
      <c r="C466" t="s">
        <v>557</v>
      </c>
      <c r="D466" t="s">
        <v>351</v>
      </c>
      <c r="E466" t="s">
        <v>86</v>
      </c>
      <c r="F466">
        <v>10</v>
      </c>
      <c r="G466">
        <v>4060</v>
      </c>
      <c r="H466">
        <v>3.6</v>
      </c>
      <c r="I466">
        <v>39138.400000000001</v>
      </c>
      <c r="J466" t="s">
        <v>93</v>
      </c>
      <c r="K466" t="s">
        <v>112</v>
      </c>
      <c r="L466">
        <v>0</v>
      </c>
      <c r="M466" t="b">
        <v>1</v>
      </c>
      <c r="N466" t="s">
        <v>2806</v>
      </c>
      <c r="O466" t="s">
        <v>2507</v>
      </c>
      <c r="P466">
        <v>65</v>
      </c>
      <c r="Q466" t="s">
        <v>2855</v>
      </c>
      <c r="R466">
        <v>2911</v>
      </c>
    </row>
    <row r="467" spans="1:18" x14ac:dyDescent="0.3">
      <c r="A467" t="s">
        <v>889</v>
      </c>
      <c r="B467" s="45">
        <v>45626</v>
      </c>
      <c r="C467" t="s">
        <v>669</v>
      </c>
      <c r="D467" t="s">
        <v>279</v>
      </c>
      <c r="E467" t="s">
        <v>238</v>
      </c>
      <c r="F467">
        <v>7</v>
      </c>
      <c r="G467">
        <v>2660</v>
      </c>
      <c r="H467">
        <v>27.4</v>
      </c>
      <c r="I467">
        <v>13518.12</v>
      </c>
      <c r="J467" t="s">
        <v>140</v>
      </c>
      <c r="K467" t="s">
        <v>133</v>
      </c>
      <c r="L467">
        <v>0</v>
      </c>
      <c r="M467" t="b">
        <v>0</v>
      </c>
      <c r="N467" t="s">
        <v>2784</v>
      </c>
      <c r="O467" t="s">
        <v>2507</v>
      </c>
      <c r="P467">
        <v>31</v>
      </c>
      <c r="Q467" t="s">
        <v>2871</v>
      </c>
      <c r="R467">
        <v>1259</v>
      </c>
    </row>
    <row r="468" spans="1:18" x14ac:dyDescent="0.3">
      <c r="A468" t="s">
        <v>1028</v>
      </c>
      <c r="B468" s="45">
        <v>45589</v>
      </c>
      <c r="C468" t="s">
        <v>101</v>
      </c>
      <c r="D468" t="s">
        <v>195</v>
      </c>
      <c r="E468" t="s">
        <v>285</v>
      </c>
      <c r="F468">
        <v>1</v>
      </c>
      <c r="G468">
        <v>2860</v>
      </c>
      <c r="H468">
        <v>10.4</v>
      </c>
      <c r="I468">
        <v>2562.56</v>
      </c>
      <c r="J468" t="s">
        <v>140</v>
      </c>
      <c r="K468" t="s">
        <v>99</v>
      </c>
      <c r="L468">
        <v>0</v>
      </c>
      <c r="M468" t="b">
        <v>1</v>
      </c>
      <c r="N468" t="s">
        <v>2839</v>
      </c>
      <c r="O468" t="s">
        <v>2509</v>
      </c>
      <c r="P468">
        <v>46</v>
      </c>
      <c r="Q468" t="s">
        <v>2871</v>
      </c>
      <c r="R468">
        <v>2028</v>
      </c>
    </row>
    <row r="469" spans="1:18" x14ac:dyDescent="0.3">
      <c r="A469" t="s">
        <v>1022</v>
      </c>
      <c r="B469" s="45">
        <v>45633</v>
      </c>
      <c r="C469" t="s">
        <v>983</v>
      </c>
      <c r="D469" t="s">
        <v>97</v>
      </c>
      <c r="E469" t="s">
        <v>303</v>
      </c>
      <c r="F469">
        <v>10</v>
      </c>
      <c r="G469">
        <v>470</v>
      </c>
      <c r="H469">
        <v>2.1</v>
      </c>
      <c r="I469">
        <v>4601.3</v>
      </c>
      <c r="J469" t="s">
        <v>87</v>
      </c>
      <c r="K469" t="s">
        <v>117</v>
      </c>
      <c r="L469">
        <v>0</v>
      </c>
      <c r="M469" t="b">
        <v>0</v>
      </c>
      <c r="N469" t="s">
        <v>2839</v>
      </c>
      <c r="O469" t="s">
        <v>2515</v>
      </c>
      <c r="P469">
        <v>36</v>
      </c>
      <c r="Q469" t="s">
        <v>2871</v>
      </c>
      <c r="R469">
        <v>302</v>
      </c>
    </row>
    <row r="470" spans="1:18" x14ac:dyDescent="0.3">
      <c r="A470" t="s">
        <v>1019</v>
      </c>
      <c r="B470" s="45">
        <v>45632</v>
      </c>
      <c r="C470" t="s">
        <v>602</v>
      </c>
      <c r="D470" t="s">
        <v>245</v>
      </c>
      <c r="E470" t="s">
        <v>297</v>
      </c>
      <c r="F470">
        <v>7</v>
      </c>
      <c r="G470">
        <v>2270</v>
      </c>
      <c r="H470">
        <v>27.9</v>
      </c>
      <c r="I470">
        <v>11456.69</v>
      </c>
      <c r="J470" t="s">
        <v>87</v>
      </c>
      <c r="K470" t="s">
        <v>94</v>
      </c>
      <c r="L470">
        <v>0</v>
      </c>
      <c r="M470" t="b">
        <v>1</v>
      </c>
      <c r="N470" t="s">
        <v>2806</v>
      </c>
      <c r="O470" t="s">
        <v>2507</v>
      </c>
      <c r="P470">
        <v>61</v>
      </c>
      <c r="Q470" t="s">
        <v>2855</v>
      </c>
      <c r="R470">
        <v>1412</v>
      </c>
    </row>
    <row r="471" spans="1:18" x14ac:dyDescent="0.3">
      <c r="A471" t="s">
        <v>1017</v>
      </c>
      <c r="B471" s="45">
        <v>45654</v>
      </c>
      <c r="C471" t="s">
        <v>291</v>
      </c>
      <c r="D471" t="s">
        <v>279</v>
      </c>
      <c r="E471" t="s">
        <v>132</v>
      </c>
      <c r="F471">
        <v>1</v>
      </c>
      <c r="G471">
        <v>2660</v>
      </c>
      <c r="H471">
        <v>11.6</v>
      </c>
      <c r="I471">
        <v>2351.44</v>
      </c>
      <c r="J471" t="s">
        <v>87</v>
      </c>
      <c r="K471" t="s">
        <v>99</v>
      </c>
      <c r="L471">
        <v>0</v>
      </c>
      <c r="M471" t="b">
        <v>0</v>
      </c>
      <c r="N471" t="s">
        <v>2784</v>
      </c>
      <c r="O471" t="s">
        <v>2507</v>
      </c>
      <c r="P471">
        <v>35</v>
      </c>
      <c r="Q471" t="s">
        <v>2862</v>
      </c>
      <c r="R471">
        <v>1259</v>
      </c>
    </row>
    <row r="472" spans="1:18" x14ac:dyDescent="0.3">
      <c r="A472" t="s">
        <v>1011</v>
      </c>
      <c r="B472" s="45">
        <v>45649</v>
      </c>
      <c r="C472" t="s">
        <v>105</v>
      </c>
      <c r="D472" t="s">
        <v>200</v>
      </c>
      <c r="E472" t="s">
        <v>238</v>
      </c>
      <c r="F472">
        <v>4</v>
      </c>
      <c r="G472">
        <v>2760</v>
      </c>
      <c r="H472">
        <v>19.8</v>
      </c>
      <c r="I472">
        <v>8854.08</v>
      </c>
      <c r="J472" t="s">
        <v>87</v>
      </c>
      <c r="K472" t="s">
        <v>94</v>
      </c>
      <c r="L472">
        <v>0</v>
      </c>
      <c r="M472" t="b">
        <v>1</v>
      </c>
      <c r="N472" t="s">
        <v>2806</v>
      </c>
      <c r="O472" t="s">
        <v>2507</v>
      </c>
      <c r="P472">
        <v>36</v>
      </c>
      <c r="Q472" t="s">
        <v>2871</v>
      </c>
      <c r="R472">
        <v>1435</v>
      </c>
    </row>
    <row r="473" spans="1:18" x14ac:dyDescent="0.3">
      <c r="A473" t="s">
        <v>1009</v>
      </c>
      <c r="B473" s="45">
        <v>45604</v>
      </c>
      <c r="C473" t="s">
        <v>785</v>
      </c>
      <c r="D473" t="s">
        <v>245</v>
      </c>
      <c r="E473" t="s">
        <v>297</v>
      </c>
      <c r="F473">
        <v>3</v>
      </c>
      <c r="G473">
        <v>2270</v>
      </c>
      <c r="H473">
        <v>6.5</v>
      </c>
      <c r="I473">
        <v>6367.35</v>
      </c>
      <c r="J473" t="s">
        <v>87</v>
      </c>
      <c r="K473" t="s">
        <v>88</v>
      </c>
      <c r="L473">
        <v>0</v>
      </c>
      <c r="M473" t="b">
        <v>1</v>
      </c>
      <c r="N473" t="s">
        <v>2806</v>
      </c>
      <c r="O473" t="s">
        <v>2507</v>
      </c>
      <c r="P473">
        <v>31</v>
      </c>
      <c r="Q473" t="s">
        <v>2855</v>
      </c>
      <c r="R473">
        <v>1412</v>
      </c>
    </row>
    <row r="474" spans="1:18" x14ac:dyDescent="0.3">
      <c r="A474" t="s">
        <v>1005</v>
      </c>
      <c r="B474" s="45">
        <v>45571</v>
      </c>
      <c r="C474" t="s">
        <v>1006</v>
      </c>
      <c r="D474" t="s">
        <v>110</v>
      </c>
      <c r="E474" t="s">
        <v>273</v>
      </c>
      <c r="F474">
        <v>1</v>
      </c>
      <c r="G474">
        <v>370</v>
      </c>
      <c r="H474">
        <v>10.3</v>
      </c>
      <c r="I474">
        <v>331.89</v>
      </c>
      <c r="J474" t="s">
        <v>144</v>
      </c>
      <c r="K474" t="s">
        <v>117</v>
      </c>
      <c r="L474">
        <v>0</v>
      </c>
      <c r="M474" t="b">
        <v>1</v>
      </c>
      <c r="N474" t="s">
        <v>2817</v>
      </c>
      <c r="O474" t="s">
        <v>2515</v>
      </c>
      <c r="P474">
        <v>44</v>
      </c>
      <c r="Q474" t="s">
        <v>2862</v>
      </c>
      <c r="R474">
        <v>288</v>
      </c>
    </row>
    <row r="475" spans="1:18" x14ac:dyDescent="0.3">
      <c r="A475" t="s">
        <v>997</v>
      </c>
      <c r="B475" s="45">
        <v>45572</v>
      </c>
      <c r="C475" t="s">
        <v>197</v>
      </c>
      <c r="D475" t="s">
        <v>135</v>
      </c>
      <c r="E475" t="s">
        <v>204</v>
      </c>
      <c r="F475">
        <v>6</v>
      </c>
      <c r="G475">
        <v>2640</v>
      </c>
      <c r="H475">
        <v>26.3</v>
      </c>
      <c r="I475">
        <v>11674.08</v>
      </c>
      <c r="J475" t="s">
        <v>87</v>
      </c>
      <c r="K475" t="s">
        <v>88</v>
      </c>
      <c r="L475">
        <v>0</v>
      </c>
      <c r="M475" t="b">
        <v>1</v>
      </c>
      <c r="N475" t="s">
        <v>2784</v>
      </c>
      <c r="O475" t="s">
        <v>2509</v>
      </c>
      <c r="P475">
        <v>47</v>
      </c>
      <c r="Q475" t="s">
        <v>2862</v>
      </c>
      <c r="R475">
        <v>1149</v>
      </c>
    </row>
    <row r="476" spans="1:18" x14ac:dyDescent="0.3">
      <c r="A476" t="s">
        <v>996</v>
      </c>
      <c r="B476" s="45">
        <v>45568</v>
      </c>
      <c r="C476" t="s">
        <v>266</v>
      </c>
      <c r="D476" t="s">
        <v>102</v>
      </c>
      <c r="E476" t="s">
        <v>128</v>
      </c>
      <c r="F476">
        <v>3</v>
      </c>
      <c r="G476">
        <v>3660</v>
      </c>
      <c r="H476">
        <v>3.2</v>
      </c>
      <c r="I476">
        <v>10628.64</v>
      </c>
      <c r="J476" t="s">
        <v>93</v>
      </c>
      <c r="K476" t="s">
        <v>99</v>
      </c>
      <c r="L476">
        <v>0</v>
      </c>
      <c r="M476" t="b">
        <v>0</v>
      </c>
      <c r="N476" t="s">
        <v>2806</v>
      </c>
      <c r="O476" t="s">
        <v>2509</v>
      </c>
      <c r="P476">
        <v>55</v>
      </c>
      <c r="Q476" t="s">
        <v>2879</v>
      </c>
      <c r="R476">
        <v>2214</v>
      </c>
    </row>
    <row r="477" spans="1:18" x14ac:dyDescent="0.3">
      <c r="A477" t="s">
        <v>992</v>
      </c>
      <c r="B477" s="45">
        <v>45638</v>
      </c>
      <c r="C477" t="s">
        <v>910</v>
      </c>
      <c r="D477" t="s">
        <v>151</v>
      </c>
      <c r="E477" t="s">
        <v>154</v>
      </c>
      <c r="F477">
        <v>6</v>
      </c>
      <c r="G477">
        <v>2400</v>
      </c>
      <c r="H477">
        <v>19.2</v>
      </c>
      <c r="I477">
        <v>11635.2</v>
      </c>
      <c r="J477" t="s">
        <v>140</v>
      </c>
      <c r="K477" t="s">
        <v>99</v>
      </c>
      <c r="L477">
        <v>0</v>
      </c>
      <c r="M477" t="b">
        <v>1</v>
      </c>
      <c r="N477" t="s">
        <v>2839</v>
      </c>
      <c r="O477" t="s">
        <v>2507</v>
      </c>
      <c r="P477">
        <v>55</v>
      </c>
      <c r="Q477" t="s">
        <v>2871</v>
      </c>
      <c r="R477">
        <v>974</v>
      </c>
    </row>
    <row r="478" spans="1:18" x14ac:dyDescent="0.3">
      <c r="A478" t="s">
        <v>903</v>
      </c>
      <c r="B478" s="45">
        <v>45631</v>
      </c>
      <c r="C478" t="s">
        <v>390</v>
      </c>
      <c r="D478" t="s">
        <v>182</v>
      </c>
      <c r="E478" t="s">
        <v>154</v>
      </c>
      <c r="F478">
        <v>2</v>
      </c>
      <c r="G478">
        <v>1010</v>
      </c>
      <c r="H478">
        <v>5.2</v>
      </c>
      <c r="I478">
        <v>1914.96</v>
      </c>
      <c r="J478" t="s">
        <v>140</v>
      </c>
      <c r="K478" t="s">
        <v>88</v>
      </c>
      <c r="L478">
        <v>0</v>
      </c>
      <c r="M478" t="b">
        <v>1</v>
      </c>
      <c r="N478" t="s">
        <v>2839</v>
      </c>
      <c r="O478" t="s">
        <v>2515</v>
      </c>
      <c r="P478">
        <v>54</v>
      </c>
      <c r="Q478" t="s">
        <v>2871</v>
      </c>
      <c r="R478">
        <v>516</v>
      </c>
    </row>
    <row r="479" spans="1:18" x14ac:dyDescent="0.3">
      <c r="A479" t="s">
        <v>904</v>
      </c>
      <c r="B479" s="45">
        <v>45588</v>
      </c>
      <c r="C479" t="s">
        <v>905</v>
      </c>
      <c r="D479" t="s">
        <v>282</v>
      </c>
      <c r="E479" t="s">
        <v>215</v>
      </c>
      <c r="F479">
        <v>9</v>
      </c>
      <c r="G479">
        <v>300</v>
      </c>
      <c r="H479">
        <v>7.9</v>
      </c>
      <c r="I479">
        <v>2486.6999999999998</v>
      </c>
      <c r="J479" t="s">
        <v>87</v>
      </c>
      <c r="K479" t="s">
        <v>112</v>
      </c>
      <c r="L479">
        <v>0</v>
      </c>
      <c r="M479" t="b">
        <v>1</v>
      </c>
      <c r="N479" t="s">
        <v>2784</v>
      </c>
      <c r="O479" t="s">
        <v>2515</v>
      </c>
      <c r="P479">
        <v>43</v>
      </c>
      <c r="Q479" t="s">
        <v>2855</v>
      </c>
      <c r="R479">
        <v>128</v>
      </c>
    </row>
    <row r="480" spans="1:18" x14ac:dyDescent="0.3">
      <c r="A480" t="s">
        <v>991</v>
      </c>
      <c r="B480" s="45">
        <v>45610</v>
      </c>
      <c r="C480" t="s">
        <v>190</v>
      </c>
      <c r="D480" t="s">
        <v>195</v>
      </c>
      <c r="E480" t="s">
        <v>303</v>
      </c>
      <c r="F480">
        <v>5</v>
      </c>
      <c r="G480">
        <v>2860</v>
      </c>
      <c r="H480">
        <v>26.8</v>
      </c>
      <c r="I480">
        <v>10467.6</v>
      </c>
      <c r="J480" t="s">
        <v>87</v>
      </c>
      <c r="K480" t="s">
        <v>133</v>
      </c>
      <c r="L480">
        <v>0</v>
      </c>
      <c r="M480" t="b">
        <v>1</v>
      </c>
      <c r="N480" t="s">
        <v>2839</v>
      </c>
      <c r="O480" t="s">
        <v>2509</v>
      </c>
      <c r="P480">
        <v>56</v>
      </c>
      <c r="Q480" t="s">
        <v>2871</v>
      </c>
      <c r="R480">
        <v>2028</v>
      </c>
    </row>
    <row r="481" spans="1:18" x14ac:dyDescent="0.3">
      <c r="A481" t="s">
        <v>987</v>
      </c>
      <c r="B481" s="45">
        <v>45592</v>
      </c>
      <c r="C481" t="s">
        <v>878</v>
      </c>
      <c r="D481" t="s">
        <v>292</v>
      </c>
      <c r="E481" t="s">
        <v>121</v>
      </c>
      <c r="F481">
        <v>2</v>
      </c>
      <c r="G481">
        <v>620</v>
      </c>
      <c r="H481">
        <v>8</v>
      </c>
      <c r="I481">
        <v>1140.8</v>
      </c>
      <c r="J481" t="s">
        <v>87</v>
      </c>
      <c r="K481" t="s">
        <v>112</v>
      </c>
      <c r="L481">
        <v>0</v>
      </c>
      <c r="M481" t="b">
        <v>1</v>
      </c>
      <c r="N481" t="s">
        <v>2795</v>
      </c>
      <c r="O481" t="s">
        <v>2509</v>
      </c>
      <c r="P481">
        <v>62</v>
      </c>
      <c r="Q481" t="s">
        <v>2871</v>
      </c>
      <c r="R481">
        <v>396</v>
      </c>
    </row>
    <row r="482" spans="1:18" x14ac:dyDescent="0.3">
      <c r="A482" t="s">
        <v>982</v>
      </c>
      <c r="B482" s="45">
        <v>45605</v>
      </c>
      <c r="C482" t="s">
        <v>983</v>
      </c>
      <c r="D482" t="s">
        <v>120</v>
      </c>
      <c r="E482" t="s">
        <v>107</v>
      </c>
      <c r="F482">
        <v>1</v>
      </c>
      <c r="G482">
        <v>1430</v>
      </c>
      <c r="H482">
        <v>19.600000000000001</v>
      </c>
      <c r="I482">
        <v>1149.72</v>
      </c>
      <c r="J482" t="s">
        <v>87</v>
      </c>
      <c r="K482" t="s">
        <v>117</v>
      </c>
      <c r="L482">
        <v>0</v>
      </c>
      <c r="M482" t="b">
        <v>1</v>
      </c>
      <c r="N482" t="s">
        <v>2784</v>
      </c>
      <c r="O482" t="s">
        <v>2515</v>
      </c>
      <c r="P482">
        <v>36</v>
      </c>
      <c r="Q482" t="s">
        <v>2855</v>
      </c>
      <c r="R482">
        <v>861</v>
      </c>
    </row>
    <row r="483" spans="1:18" x14ac:dyDescent="0.3">
      <c r="A483" t="s">
        <v>964</v>
      </c>
      <c r="B483" s="45">
        <v>45634</v>
      </c>
      <c r="C483" t="s">
        <v>643</v>
      </c>
      <c r="D483" t="s">
        <v>360</v>
      </c>
      <c r="E483" t="s">
        <v>343</v>
      </c>
      <c r="F483">
        <v>4</v>
      </c>
      <c r="G483">
        <v>5410</v>
      </c>
      <c r="H483">
        <v>11.3</v>
      </c>
      <c r="I483">
        <v>19194.68</v>
      </c>
      <c r="J483" t="s">
        <v>144</v>
      </c>
      <c r="K483" t="s">
        <v>112</v>
      </c>
      <c r="L483">
        <v>0</v>
      </c>
      <c r="M483" t="b">
        <v>1</v>
      </c>
      <c r="N483" t="s">
        <v>2839</v>
      </c>
      <c r="O483" t="s">
        <v>2515</v>
      </c>
      <c r="P483">
        <v>27</v>
      </c>
      <c r="Q483" t="s">
        <v>2879</v>
      </c>
      <c r="R483">
        <v>2265</v>
      </c>
    </row>
    <row r="484" spans="1:18" x14ac:dyDescent="0.3">
      <c r="A484" t="s">
        <v>960</v>
      </c>
      <c r="B484" s="45">
        <v>45566</v>
      </c>
      <c r="C484" t="s">
        <v>289</v>
      </c>
      <c r="D484" t="s">
        <v>443</v>
      </c>
      <c r="E484" t="s">
        <v>103</v>
      </c>
      <c r="F484">
        <v>4</v>
      </c>
      <c r="G484">
        <v>5080</v>
      </c>
      <c r="H484">
        <v>28.6</v>
      </c>
      <c r="I484">
        <v>14508.48</v>
      </c>
      <c r="J484" t="s">
        <v>87</v>
      </c>
      <c r="K484" t="s">
        <v>94</v>
      </c>
      <c r="L484">
        <v>0</v>
      </c>
      <c r="M484" t="b">
        <v>1</v>
      </c>
      <c r="N484" t="s">
        <v>2817</v>
      </c>
      <c r="O484" t="s">
        <v>2507</v>
      </c>
      <c r="P484">
        <v>38</v>
      </c>
      <c r="Q484" t="s">
        <v>2855</v>
      </c>
      <c r="R484">
        <v>2459</v>
      </c>
    </row>
    <row r="485" spans="1:18" x14ac:dyDescent="0.3">
      <c r="A485" t="s">
        <v>957</v>
      </c>
      <c r="B485" s="45">
        <v>45638</v>
      </c>
      <c r="C485" t="s">
        <v>186</v>
      </c>
      <c r="D485" t="s">
        <v>364</v>
      </c>
      <c r="E485" t="s">
        <v>238</v>
      </c>
      <c r="F485">
        <v>2</v>
      </c>
      <c r="G485">
        <v>5330</v>
      </c>
      <c r="H485">
        <v>26.5</v>
      </c>
      <c r="I485">
        <v>7835.1</v>
      </c>
      <c r="J485" t="s">
        <v>87</v>
      </c>
      <c r="K485" t="s">
        <v>94</v>
      </c>
      <c r="L485">
        <v>0</v>
      </c>
      <c r="M485" t="b">
        <v>1</v>
      </c>
      <c r="N485" t="s">
        <v>2784</v>
      </c>
      <c r="O485" t="s">
        <v>2515</v>
      </c>
      <c r="P485">
        <v>52</v>
      </c>
      <c r="Q485" t="s">
        <v>2871</v>
      </c>
      <c r="R485">
        <v>2405</v>
      </c>
    </row>
    <row r="486" spans="1:18" x14ac:dyDescent="0.3">
      <c r="A486" t="s">
        <v>951</v>
      </c>
      <c r="B486" s="45">
        <v>45656</v>
      </c>
      <c r="C486" t="s">
        <v>952</v>
      </c>
      <c r="D486" t="s">
        <v>85</v>
      </c>
      <c r="E486" t="s">
        <v>325</v>
      </c>
      <c r="F486">
        <v>5</v>
      </c>
      <c r="G486">
        <v>3620</v>
      </c>
      <c r="H486">
        <v>18.2</v>
      </c>
      <c r="I486">
        <v>14805.8</v>
      </c>
      <c r="J486" t="s">
        <v>87</v>
      </c>
      <c r="K486" t="s">
        <v>133</v>
      </c>
      <c r="L486">
        <v>0</v>
      </c>
      <c r="M486" t="b">
        <v>1</v>
      </c>
      <c r="N486" t="s">
        <v>2795</v>
      </c>
      <c r="O486" t="s">
        <v>2507</v>
      </c>
      <c r="P486">
        <v>35</v>
      </c>
      <c r="Q486" t="s">
        <v>2862</v>
      </c>
      <c r="R486">
        <v>2509</v>
      </c>
    </row>
    <row r="487" spans="1:18" x14ac:dyDescent="0.3">
      <c r="A487" t="s">
        <v>949</v>
      </c>
      <c r="B487" s="45">
        <v>45613</v>
      </c>
      <c r="C487" t="s">
        <v>823</v>
      </c>
      <c r="D487" t="s">
        <v>173</v>
      </c>
      <c r="E487" t="s">
        <v>215</v>
      </c>
      <c r="F487">
        <v>5</v>
      </c>
      <c r="G487">
        <v>2720</v>
      </c>
      <c r="H487">
        <v>10.3</v>
      </c>
      <c r="I487">
        <v>12199.2</v>
      </c>
      <c r="J487" t="s">
        <v>140</v>
      </c>
      <c r="K487" t="s">
        <v>94</v>
      </c>
      <c r="L487">
        <v>0</v>
      </c>
      <c r="M487" t="b">
        <v>1</v>
      </c>
      <c r="N487" t="s">
        <v>2795</v>
      </c>
      <c r="O487" t="s">
        <v>2507</v>
      </c>
      <c r="P487">
        <v>32</v>
      </c>
      <c r="Q487" t="s">
        <v>2855</v>
      </c>
      <c r="R487">
        <v>1962</v>
      </c>
    </row>
    <row r="488" spans="1:18" x14ac:dyDescent="0.3">
      <c r="A488" t="s">
        <v>947</v>
      </c>
      <c r="B488" s="45">
        <v>45612</v>
      </c>
      <c r="C488" t="s">
        <v>948</v>
      </c>
      <c r="D488" t="s">
        <v>264</v>
      </c>
      <c r="E488" t="s">
        <v>325</v>
      </c>
      <c r="F488">
        <v>9</v>
      </c>
      <c r="G488">
        <v>4070</v>
      </c>
      <c r="H488">
        <v>15.6</v>
      </c>
      <c r="I488">
        <v>30915.72</v>
      </c>
      <c r="J488" t="s">
        <v>87</v>
      </c>
      <c r="K488" t="s">
        <v>88</v>
      </c>
      <c r="L488">
        <v>0</v>
      </c>
      <c r="M488" t="b">
        <v>1</v>
      </c>
      <c r="N488" t="s">
        <v>2806</v>
      </c>
      <c r="O488" t="s">
        <v>2507</v>
      </c>
      <c r="P488">
        <v>65</v>
      </c>
      <c r="Q488" t="s">
        <v>2862</v>
      </c>
      <c r="R488">
        <v>2027</v>
      </c>
    </row>
    <row r="489" spans="1:18" x14ac:dyDescent="0.3">
      <c r="A489" t="s">
        <v>946</v>
      </c>
      <c r="B489" s="45">
        <v>45629</v>
      </c>
      <c r="C489" t="s">
        <v>101</v>
      </c>
      <c r="D489" t="s">
        <v>364</v>
      </c>
      <c r="E489" t="s">
        <v>154</v>
      </c>
      <c r="F489">
        <v>10</v>
      </c>
      <c r="G489">
        <v>5330</v>
      </c>
      <c r="H489">
        <v>0.7</v>
      </c>
      <c r="I489">
        <v>52926.9</v>
      </c>
      <c r="J489" t="s">
        <v>87</v>
      </c>
      <c r="K489" t="s">
        <v>99</v>
      </c>
      <c r="L489">
        <v>0</v>
      </c>
      <c r="M489" t="b">
        <v>1</v>
      </c>
      <c r="N489" t="s">
        <v>2784</v>
      </c>
      <c r="O489" t="s">
        <v>2509</v>
      </c>
      <c r="P489">
        <v>46</v>
      </c>
      <c r="Q489" t="s">
        <v>2871</v>
      </c>
      <c r="R489">
        <v>2405</v>
      </c>
    </row>
    <row r="490" spans="1:18" x14ac:dyDescent="0.3">
      <c r="A490" t="s">
        <v>941</v>
      </c>
      <c r="B490" s="45">
        <v>45569</v>
      </c>
      <c r="C490" t="s">
        <v>105</v>
      </c>
      <c r="D490" t="s">
        <v>176</v>
      </c>
      <c r="E490" t="s">
        <v>154</v>
      </c>
      <c r="F490">
        <v>10</v>
      </c>
      <c r="G490">
        <v>1650</v>
      </c>
      <c r="H490">
        <v>22.9</v>
      </c>
      <c r="I490">
        <v>12721.5</v>
      </c>
      <c r="J490" t="s">
        <v>144</v>
      </c>
      <c r="K490" t="s">
        <v>94</v>
      </c>
      <c r="L490">
        <v>0</v>
      </c>
      <c r="M490" t="b">
        <v>1</v>
      </c>
      <c r="N490" t="s">
        <v>2828</v>
      </c>
      <c r="O490" t="s">
        <v>2507</v>
      </c>
      <c r="P490">
        <v>36</v>
      </c>
      <c r="Q490" t="s">
        <v>2871</v>
      </c>
      <c r="R490">
        <v>1222</v>
      </c>
    </row>
    <row r="491" spans="1:18" x14ac:dyDescent="0.3">
      <c r="A491" t="s">
        <v>939</v>
      </c>
      <c r="B491" s="45">
        <v>45637</v>
      </c>
      <c r="C491" t="s">
        <v>357</v>
      </c>
      <c r="D491" t="s">
        <v>282</v>
      </c>
      <c r="E491" t="s">
        <v>128</v>
      </c>
      <c r="F491">
        <v>4</v>
      </c>
      <c r="G491">
        <v>300</v>
      </c>
      <c r="H491">
        <v>16.7</v>
      </c>
      <c r="I491">
        <v>999.6</v>
      </c>
      <c r="J491" t="s">
        <v>87</v>
      </c>
      <c r="K491" t="s">
        <v>99</v>
      </c>
      <c r="L491">
        <v>0</v>
      </c>
      <c r="M491" t="b">
        <v>1</v>
      </c>
      <c r="N491" t="s">
        <v>2784</v>
      </c>
      <c r="O491" t="s">
        <v>2515</v>
      </c>
      <c r="P491">
        <v>38</v>
      </c>
      <c r="Q491" t="s">
        <v>2879</v>
      </c>
      <c r="R491">
        <v>128</v>
      </c>
    </row>
    <row r="492" spans="1:18" x14ac:dyDescent="0.3">
      <c r="A492" t="s">
        <v>920</v>
      </c>
      <c r="B492" s="45">
        <v>45639</v>
      </c>
      <c r="C492" t="s">
        <v>921</v>
      </c>
      <c r="D492" t="s">
        <v>408</v>
      </c>
      <c r="E492" t="s">
        <v>285</v>
      </c>
      <c r="F492">
        <v>8</v>
      </c>
      <c r="G492">
        <v>3970</v>
      </c>
      <c r="H492">
        <v>23.7</v>
      </c>
      <c r="I492">
        <v>24232.880000000001</v>
      </c>
      <c r="J492" t="s">
        <v>87</v>
      </c>
      <c r="K492" t="s">
        <v>117</v>
      </c>
      <c r="L492">
        <v>0</v>
      </c>
      <c r="M492" t="b">
        <v>1</v>
      </c>
      <c r="N492" t="s">
        <v>2784</v>
      </c>
      <c r="O492" t="s">
        <v>2507</v>
      </c>
      <c r="P492">
        <v>28</v>
      </c>
      <c r="Q492" t="s">
        <v>2871</v>
      </c>
      <c r="R492">
        <v>2865</v>
      </c>
    </row>
    <row r="493" spans="1:18" x14ac:dyDescent="0.3">
      <c r="A493" t="s">
        <v>938</v>
      </c>
      <c r="B493" s="45">
        <v>45586</v>
      </c>
      <c r="C493" t="s">
        <v>613</v>
      </c>
      <c r="D493" t="s">
        <v>191</v>
      </c>
      <c r="E493" t="s">
        <v>121</v>
      </c>
      <c r="F493">
        <v>9</v>
      </c>
      <c r="G493">
        <v>5100</v>
      </c>
      <c r="H493">
        <v>11.1</v>
      </c>
      <c r="I493">
        <v>40805.1</v>
      </c>
      <c r="J493" t="s">
        <v>140</v>
      </c>
      <c r="K493" t="s">
        <v>112</v>
      </c>
      <c r="L493">
        <v>0</v>
      </c>
      <c r="M493" t="b">
        <v>1</v>
      </c>
      <c r="N493" t="s">
        <v>2828</v>
      </c>
      <c r="O493" t="s">
        <v>2507</v>
      </c>
      <c r="P493">
        <v>44</v>
      </c>
      <c r="Q493" t="s">
        <v>2871</v>
      </c>
      <c r="R493">
        <v>2237</v>
      </c>
    </row>
    <row r="494" spans="1:18" x14ac:dyDescent="0.3">
      <c r="A494" t="s">
        <v>936</v>
      </c>
      <c r="B494" s="45">
        <v>45638</v>
      </c>
      <c r="C494" t="s">
        <v>359</v>
      </c>
      <c r="D494" t="s">
        <v>151</v>
      </c>
      <c r="E494" t="s">
        <v>111</v>
      </c>
      <c r="F494">
        <v>4</v>
      </c>
      <c r="G494">
        <v>2400</v>
      </c>
      <c r="H494">
        <v>19.100000000000001</v>
      </c>
      <c r="I494">
        <v>7766.4</v>
      </c>
      <c r="J494" t="s">
        <v>87</v>
      </c>
      <c r="K494" t="s">
        <v>99</v>
      </c>
      <c r="L494">
        <v>0</v>
      </c>
      <c r="M494" t="b">
        <v>1</v>
      </c>
      <c r="N494" t="s">
        <v>2839</v>
      </c>
      <c r="O494" t="s">
        <v>2515</v>
      </c>
      <c r="P494">
        <v>28</v>
      </c>
      <c r="Q494" t="s">
        <v>2879</v>
      </c>
      <c r="R494">
        <v>974</v>
      </c>
    </row>
    <row r="495" spans="1:18" x14ac:dyDescent="0.3">
      <c r="A495" t="s">
        <v>932</v>
      </c>
      <c r="B495" s="45">
        <v>45577</v>
      </c>
      <c r="C495" t="s">
        <v>272</v>
      </c>
      <c r="D495" t="s">
        <v>461</v>
      </c>
      <c r="E495" t="s">
        <v>325</v>
      </c>
      <c r="F495">
        <v>10</v>
      </c>
      <c r="G495">
        <v>3780</v>
      </c>
      <c r="H495">
        <v>24.1</v>
      </c>
      <c r="I495">
        <v>28690.2</v>
      </c>
      <c r="J495" t="s">
        <v>144</v>
      </c>
      <c r="K495" t="s">
        <v>94</v>
      </c>
      <c r="L495">
        <v>0</v>
      </c>
      <c r="M495" t="b">
        <v>1</v>
      </c>
      <c r="N495" t="s">
        <v>2839</v>
      </c>
      <c r="O495" t="s">
        <v>2515</v>
      </c>
      <c r="P495">
        <v>55</v>
      </c>
      <c r="Q495" t="s">
        <v>2862</v>
      </c>
      <c r="R495">
        <v>1860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683D9-E2C7-4081-8F45-5FA4C45C2DAB}">
  <dimension ref="A3:AF17"/>
  <sheetViews>
    <sheetView topLeftCell="X1" workbookViewId="0">
      <selection activeCell="A5" sqref="A5"/>
    </sheetView>
  </sheetViews>
  <sheetFormatPr defaultRowHeight="14.4" x14ac:dyDescent="0.3"/>
  <cols>
    <col min="1" max="1" width="19" bestFit="1" customWidth="1"/>
    <col min="2" max="2" width="15.5546875" bestFit="1" customWidth="1"/>
    <col min="3" max="6" width="10" bestFit="1" customWidth="1"/>
    <col min="7" max="7" width="11" bestFit="1" customWidth="1"/>
    <col min="8" max="15" width="10" bestFit="1" customWidth="1"/>
    <col min="16" max="16" width="11" bestFit="1" customWidth="1"/>
    <col min="17" max="18" width="10" bestFit="1" customWidth="1"/>
    <col min="19" max="19" width="11" bestFit="1" customWidth="1"/>
    <col min="20" max="22" width="10" bestFit="1" customWidth="1"/>
    <col min="23" max="23" width="11" bestFit="1" customWidth="1"/>
    <col min="24" max="31" width="10" bestFit="1" customWidth="1"/>
    <col min="32" max="32" width="11" bestFit="1" customWidth="1"/>
  </cols>
  <sheetData>
    <row r="3" spans="1:32" x14ac:dyDescent="0.3">
      <c r="A3" s="42" t="s">
        <v>3031</v>
      </c>
      <c r="B3" s="42" t="s">
        <v>3030</v>
      </c>
    </row>
    <row r="4" spans="1:32" x14ac:dyDescent="0.3">
      <c r="A4" s="42" t="s">
        <v>3028</v>
      </c>
      <c r="B4" t="s">
        <v>215</v>
      </c>
      <c r="C4" t="s">
        <v>297</v>
      </c>
      <c r="D4" t="s">
        <v>148</v>
      </c>
      <c r="E4" t="s">
        <v>139</v>
      </c>
      <c r="F4" t="s">
        <v>92</v>
      </c>
      <c r="G4" t="s">
        <v>103</v>
      </c>
      <c r="H4" t="s">
        <v>86</v>
      </c>
      <c r="I4" t="s">
        <v>107</v>
      </c>
      <c r="J4" t="s">
        <v>204</v>
      </c>
      <c r="K4" t="s">
        <v>132</v>
      </c>
      <c r="L4" t="s">
        <v>273</v>
      </c>
      <c r="M4" t="s">
        <v>325</v>
      </c>
      <c r="N4" t="s">
        <v>252</v>
      </c>
      <c r="O4" t="s">
        <v>98</v>
      </c>
      <c r="P4" t="s">
        <v>188</v>
      </c>
      <c r="Q4" t="s">
        <v>346</v>
      </c>
      <c r="R4" t="s">
        <v>238</v>
      </c>
      <c r="S4" t="s">
        <v>303</v>
      </c>
      <c r="T4" t="s">
        <v>121</v>
      </c>
      <c r="U4" t="s">
        <v>192</v>
      </c>
      <c r="V4" t="s">
        <v>158</v>
      </c>
      <c r="W4" t="s">
        <v>285</v>
      </c>
      <c r="X4" t="s">
        <v>154</v>
      </c>
      <c r="Y4" t="s">
        <v>116</v>
      </c>
      <c r="Z4" t="s">
        <v>111</v>
      </c>
      <c r="AA4" t="s">
        <v>201</v>
      </c>
      <c r="AB4" t="s">
        <v>343</v>
      </c>
      <c r="AC4" t="s">
        <v>128</v>
      </c>
      <c r="AD4" t="s">
        <v>229</v>
      </c>
      <c r="AE4" t="s">
        <v>170</v>
      </c>
      <c r="AF4" t="s">
        <v>3029</v>
      </c>
    </row>
    <row r="5" spans="1:32" x14ac:dyDescent="0.3">
      <c r="A5" s="43" t="s">
        <v>3032</v>
      </c>
      <c r="B5" s="44">
        <v>43650.559999999998</v>
      </c>
      <c r="C5" s="44">
        <v>51707.32</v>
      </c>
      <c r="D5" s="44">
        <v>54307</v>
      </c>
      <c r="E5" s="44">
        <v>57892.110000000008</v>
      </c>
      <c r="F5" s="44">
        <v>70665.509999999995</v>
      </c>
      <c r="G5" s="44">
        <v>84968.56</v>
      </c>
      <c r="H5" s="44">
        <v>92029.91</v>
      </c>
      <c r="I5" s="44">
        <v>61557.020000000004</v>
      </c>
      <c r="J5" s="44">
        <v>125547.54</v>
      </c>
      <c r="K5" s="44">
        <v>43078.21</v>
      </c>
      <c r="L5" s="44">
        <v>88791.72</v>
      </c>
      <c r="M5" s="44">
        <v>70680.03</v>
      </c>
      <c r="N5" s="44">
        <v>51609.120000000003</v>
      </c>
      <c r="O5" s="44">
        <v>87497.74</v>
      </c>
      <c r="P5" s="44">
        <v>118901.05999999998</v>
      </c>
      <c r="Q5" s="44">
        <v>62195.839999999997</v>
      </c>
      <c r="R5" s="44">
        <v>73856.39</v>
      </c>
      <c r="S5" s="44">
        <v>101638.5</v>
      </c>
      <c r="T5" s="44">
        <v>30895.18</v>
      </c>
      <c r="U5" s="44">
        <v>41744.44000000001</v>
      </c>
      <c r="V5" s="44">
        <v>2689.92</v>
      </c>
      <c r="W5" s="44">
        <v>158207.84</v>
      </c>
      <c r="X5" s="44">
        <v>54606.060000000005</v>
      </c>
      <c r="Y5" s="44">
        <v>24937.08</v>
      </c>
      <c r="Z5" s="44">
        <v>56041.840000000004</v>
      </c>
      <c r="AA5" s="44">
        <v>12767.82</v>
      </c>
      <c r="AB5" s="44">
        <v>77569.16</v>
      </c>
      <c r="AC5" s="44">
        <v>36574.000000000007</v>
      </c>
      <c r="AD5" s="44">
        <v>45369.15</v>
      </c>
      <c r="AE5" s="44">
        <v>59170.81</v>
      </c>
      <c r="AF5" s="44">
        <v>1941147.44</v>
      </c>
    </row>
    <row r="6" spans="1:32" x14ac:dyDescent="0.3">
      <c r="A6" s="43" t="s">
        <v>3033</v>
      </c>
      <c r="B6" s="44">
        <v>127005.17000000001</v>
      </c>
      <c r="C6" s="44">
        <v>125187.78</v>
      </c>
      <c r="D6" s="44">
        <v>32452</v>
      </c>
      <c r="E6" s="44">
        <v>58818.559999999998</v>
      </c>
      <c r="F6" s="44">
        <v>57914.81</v>
      </c>
      <c r="G6" s="44">
        <v>34581.99</v>
      </c>
      <c r="H6" s="44">
        <v>130276.04</v>
      </c>
      <c r="I6" s="44">
        <v>23463.300000000003</v>
      </c>
      <c r="J6" s="44">
        <v>25935.550000000003</v>
      </c>
      <c r="K6" s="44">
        <v>74555.64</v>
      </c>
      <c r="L6" s="44">
        <v>112894.06000000001</v>
      </c>
      <c r="M6" s="44">
        <v>110195.45999999999</v>
      </c>
      <c r="N6" s="44">
        <v>139218.07999999999</v>
      </c>
      <c r="O6" s="44">
        <v>79488</v>
      </c>
      <c r="P6" s="44">
        <v>89654.68</v>
      </c>
      <c r="Q6" s="44">
        <v>90583.239999999991</v>
      </c>
      <c r="R6" s="44">
        <v>27297.839999999997</v>
      </c>
      <c r="S6" s="44">
        <v>121362.43999999999</v>
      </c>
      <c r="T6" s="44">
        <v>97513.340000000011</v>
      </c>
      <c r="U6" s="44">
        <v>13855.82</v>
      </c>
      <c r="V6" s="44">
        <v>104662.05</v>
      </c>
      <c r="W6" s="44">
        <v>46819.11</v>
      </c>
      <c r="X6" s="44">
        <v>120382.87</v>
      </c>
      <c r="Y6" s="44">
        <v>97833.739999999991</v>
      </c>
      <c r="Z6" s="44">
        <v>43978.47</v>
      </c>
      <c r="AA6" s="44">
        <v>18592.259999999998</v>
      </c>
      <c r="AB6" s="44">
        <v>80384.530000000013</v>
      </c>
      <c r="AC6" s="44">
        <v>63178.48</v>
      </c>
      <c r="AD6" s="44">
        <v>142134.07</v>
      </c>
      <c r="AE6" s="44">
        <v>17274.29</v>
      </c>
      <c r="AF6" s="44">
        <v>2307493.6700000004</v>
      </c>
    </row>
    <row r="7" spans="1:32" x14ac:dyDescent="0.3">
      <c r="A7" s="43" t="s">
        <v>3034</v>
      </c>
      <c r="B7" s="44">
        <v>58208.49</v>
      </c>
      <c r="C7" s="44">
        <v>53533</v>
      </c>
      <c r="D7" s="44">
        <v>107489.23000000001</v>
      </c>
      <c r="E7" s="44">
        <v>14394.38</v>
      </c>
      <c r="F7" s="44">
        <v>85853.430000000008</v>
      </c>
      <c r="G7" s="44">
        <v>145435.13</v>
      </c>
      <c r="H7" s="44">
        <v>105489.82999999999</v>
      </c>
      <c r="I7" s="44">
        <v>164615.04999999999</v>
      </c>
      <c r="J7" s="44">
        <v>19130.39</v>
      </c>
      <c r="K7" s="44"/>
      <c r="L7" s="44">
        <v>77891.760000000009</v>
      </c>
      <c r="M7" s="44">
        <v>20450.240000000002</v>
      </c>
      <c r="N7" s="44">
        <v>80024.44</v>
      </c>
      <c r="O7" s="44">
        <v>85611.839999999997</v>
      </c>
      <c r="P7" s="44">
        <v>67837.490000000005</v>
      </c>
      <c r="Q7" s="44">
        <v>153834.45000000001</v>
      </c>
      <c r="R7" s="44">
        <v>120293.66</v>
      </c>
      <c r="S7" s="44">
        <v>51595.619999999995</v>
      </c>
      <c r="T7" s="44">
        <v>68954.539999999994</v>
      </c>
      <c r="U7" s="44">
        <v>215416.30000000002</v>
      </c>
      <c r="V7" s="44">
        <v>100685.62</v>
      </c>
      <c r="W7" s="44">
        <v>51327.360000000001</v>
      </c>
      <c r="X7" s="44">
        <v>82920.600000000006</v>
      </c>
      <c r="Y7" s="44">
        <v>63984.05</v>
      </c>
      <c r="Z7" s="44">
        <v>130752.95000000001</v>
      </c>
      <c r="AA7" s="44">
        <v>66759.360000000001</v>
      </c>
      <c r="AB7" s="44">
        <v>36563.800000000003</v>
      </c>
      <c r="AC7" s="44">
        <v>65497.58</v>
      </c>
      <c r="AD7" s="44">
        <v>63730.97</v>
      </c>
      <c r="AE7" s="44">
        <v>122041.05999999998</v>
      </c>
      <c r="AF7" s="44">
        <v>2480322.6200000006</v>
      </c>
    </row>
    <row r="8" spans="1:32" x14ac:dyDescent="0.3">
      <c r="A8" s="43" t="s">
        <v>3035</v>
      </c>
      <c r="B8" s="44">
        <v>33643.480000000003</v>
      </c>
      <c r="C8" s="44">
        <v>46286.92</v>
      </c>
      <c r="D8" s="44">
        <v>96349.859999999986</v>
      </c>
      <c r="E8" s="44">
        <v>23036.539999999997</v>
      </c>
      <c r="F8" s="44">
        <v>46025.56</v>
      </c>
      <c r="G8" s="44">
        <v>170939.91000000003</v>
      </c>
      <c r="H8" s="44">
        <v>48536.18</v>
      </c>
      <c r="I8" s="44">
        <v>12044.560000000001</v>
      </c>
      <c r="J8" s="44">
        <v>74565.159999999989</v>
      </c>
      <c r="K8" s="44">
        <v>41398.06</v>
      </c>
      <c r="L8" s="44">
        <v>30549.1</v>
      </c>
      <c r="M8" s="44">
        <v>24950.800000000003</v>
      </c>
      <c r="N8" s="44">
        <v>41420.609999999993</v>
      </c>
      <c r="O8" s="44">
        <v>101517.16999999998</v>
      </c>
      <c r="P8" s="44">
        <v>107626.6</v>
      </c>
      <c r="Q8" s="44">
        <v>75094.84</v>
      </c>
      <c r="R8" s="44">
        <v>32212.65</v>
      </c>
      <c r="S8" s="44">
        <v>210613.93000000002</v>
      </c>
      <c r="T8" s="44">
        <v>112510.04000000001</v>
      </c>
      <c r="U8" s="44">
        <v>49921.2</v>
      </c>
      <c r="V8" s="44">
        <v>71054.8</v>
      </c>
      <c r="W8" s="44">
        <v>93303.01999999999</v>
      </c>
      <c r="X8" s="44">
        <v>216421.52000000002</v>
      </c>
      <c r="Y8" s="44">
        <v>56736.5</v>
      </c>
      <c r="Z8" s="44">
        <v>49945.919999999991</v>
      </c>
      <c r="AA8" s="44">
        <v>131132.87999999998</v>
      </c>
      <c r="AB8" s="44">
        <v>78106.28</v>
      </c>
      <c r="AC8" s="44">
        <v>45577.729999999996</v>
      </c>
      <c r="AD8" s="44">
        <v>124581.45</v>
      </c>
      <c r="AE8" s="44">
        <v>36350.86</v>
      </c>
      <c r="AF8" s="44">
        <v>2282454.13</v>
      </c>
    </row>
    <row r="9" spans="1:32" x14ac:dyDescent="0.3">
      <c r="A9" s="43" t="s">
        <v>3036</v>
      </c>
      <c r="B9" s="44">
        <v>44809.659999999996</v>
      </c>
      <c r="C9" s="44">
        <v>89794.86</v>
      </c>
      <c r="D9" s="44">
        <v>139257.72</v>
      </c>
      <c r="E9" s="44">
        <v>140739.80000000002</v>
      </c>
      <c r="F9" s="44">
        <v>67702.820000000007</v>
      </c>
      <c r="G9" s="44">
        <v>78322.48000000001</v>
      </c>
      <c r="H9" s="44">
        <v>41157.840000000004</v>
      </c>
      <c r="I9" s="44">
        <v>67200.569999999992</v>
      </c>
      <c r="J9" s="44">
        <v>100231.54</v>
      </c>
      <c r="K9" s="44">
        <v>83732.94</v>
      </c>
      <c r="L9" s="44">
        <v>10392.16</v>
      </c>
      <c r="M9" s="44">
        <v>37183.630000000005</v>
      </c>
      <c r="N9" s="44">
        <v>80787.31</v>
      </c>
      <c r="O9" s="44">
        <v>154170.19999999998</v>
      </c>
      <c r="P9" s="44">
        <v>146185.96000000002</v>
      </c>
      <c r="Q9" s="44">
        <v>67937.959999999992</v>
      </c>
      <c r="R9" s="44">
        <v>113791.15</v>
      </c>
      <c r="S9" s="44">
        <v>173129.47</v>
      </c>
      <c r="T9" s="44">
        <v>58746.86</v>
      </c>
      <c r="U9" s="44">
        <v>182980.02999999997</v>
      </c>
      <c r="V9" s="44">
        <v>56143.78</v>
      </c>
      <c r="W9" s="44">
        <v>8802.7900000000009</v>
      </c>
      <c r="X9" s="44">
        <v>40444.230000000003</v>
      </c>
      <c r="Y9" s="44">
        <v>125217.67</v>
      </c>
      <c r="Z9" s="44">
        <v>59507.42</v>
      </c>
      <c r="AA9" s="44">
        <v>30080.400000000001</v>
      </c>
      <c r="AB9" s="44">
        <v>85103.459999999992</v>
      </c>
      <c r="AC9" s="44">
        <v>68897.649999999994</v>
      </c>
      <c r="AD9" s="44">
        <v>180359.49</v>
      </c>
      <c r="AE9" s="44">
        <v>47579.17</v>
      </c>
      <c r="AF9" s="44">
        <v>2580391.0199999996</v>
      </c>
    </row>
    <row r="10" spans="1:32" x14ac:dyDescent="0.3">
      <c r="A10" s="43" t="s">
        <v>3037</v>
      </c>
      <c r="B10" s="44">
        <v>82789.949999999983</v>
      </c>
      <c r="C10" s="44">
        <v>82753.37000000001</v>
      </c>
      <c r="D10" s="44">
        <v>37966.089999999997</v>
      </c>
      <c r="E10" s="44">
        <v>42388.119999999995</v>
      </c>
      <c r="F10" s="44">
        <v>113205.31999999999</v>
      </c>
      <c r="G10" s="44">
        <v>191251.6</v>
      </c>
      <c r="H10" s="44">
        <v>58895.109999999993</v>
      </c>
      <c r="I10" s="44">
        <v>82481.440000000002</v>
      </c>
      <c r="J10" s="44">
        <v>69794.649999999994</v>
      </c>
      <c r="K10" s="44">
        <v>29458.160000000003</v>
      </c>
      <c r="L10" s="44">
        <v>45625.440000000002</v>
      </c>
      <c r="M10" s="44">
        <v>59218.28</v>
      </c>
      <c r="N10" s="44">
        <v>33836.58</v>
      </c>
      <c r="O10" s="44">
        <v>15951.6</v>
      </c>
      <c r="P10" s="44">
        <v>12840.400000000001</v>
      </c>
      <c r="Q10" s="44">
        <v>55791.51</v>
      </c>
      <c r="R10" s="44">
        <v>73782.34</v>
      </c>
      <c r="S10" s="44">
        <v>117809.47</v>
      </c>
      <c r="T10" s="44">
        <v>107491.77999999998</v>
      </c>
      <c r="U10" s="44">
        <v>90724.13</v>
      </c>
      <c r="V10" s="44">
        <v>65924.819999999992</v>
      </c>
      <c r="W10" s="44">
        <v>61415.64</v>
      </c>
      <c r="X10" s="44">
        <v>102315.15</v>
      </c>
      <c r="Y10" s="44">
        <v>53450.710000000006</v>
      </c>
      <c r="Z10" s="44">
        <v>66753.66</v>
      </c>
      <c r="AA10" s="44">
        <v>19115.52</v>
      </c>
      <c r="AB10" s="44">
        <v>49268.729999999996</v>
      </c>
      <c r="AC10" s="44">
        <v>47140.72</v>
      </c>
      <c r="AD10" s="44">
        <v>29011.879999999997</v>
      </c>
      <c r="AE10" s="44">
        <v>67486.899999999994</v>
      </c>
      <c r="AF10" s="44">
        <v>1965939.0699999994</v>
      </c>
    </row>
    <row r="11" spans="1:32" x14ac:dyDescent="0.3">
      <c r="A11" s="43" t="s">
        <v>3038</v>
      </c>
      <c r="B11" s="44">
        <v>28761.200000000001</v>
      </c>
      <c r="C11" s="44">
        <v>62949.74</v>
      </c>
      <c r="D11" s="44">
        <v>185921.75</v>
      </c>
      <c r="E11" s="44">
        <v>7823.4800000000005</v>
      </c>
      <c r="F11" s="44">
        <v>20649.349999999999</v>
      </c>
      <c r="G11" s="44">
        <v>38479.32</v>
      </c>
      <c r="H11" s="44">
        <v>11528.24</v>
      </c>
      <c r="I11" s="44">
        <v>75853.47</v>
      </c>
      <c r="J11" s="44">
        <v>99012.62</v>
      </c>
      <c r="K11" s="44">
        <v>96008.48</v>
      </c>
      <c r="L11" s="44">
        <v>31373.22</v>
      </c>
      <c r="M11" s="44">
        <v>75017.78</v>
      </c>
      <c r="N11" s="44">
        <v>32733.739999999998</v>
      </c>
      <c r="O11" s="44">
        <v>74760.149999999994</v>
      </c>
      <c r="P11" s="44">
        <v>51083.420000000006</v>
      </c>
      <c r="Q11" s="44">
        <v>70547.11</v>
      </c>
      <c r="R11" s="44">
        <v>4516.7</v>
      </c>
      <c r="S11" s="44">
        <v>41039.879999999997</v>
      </c>
      <c r="T11" s="44">
        <v>72372.48000000001</v>
      </c>
      <c r="U11" s="44">
        <v>28955.710000000003</v>
      </c>
      <c r="V11" s="44">
        <v>72167.3</v>
      </c>
      <c r="W11" s="44">
        <v>210918.24</v>
      </c>
      <c r="X11" s="44">
        <v>89062.989999999991</v>
      </c>
      <c r="Y11" s="44">
        <v>58773.84</v>
      </c>
      <c r="Z11" s="44">
        <v>140235.22</v>
      </c>
      <c r="AA11" s="44">
        <v>13927.630000000001</v>
      </c>
      <c r="AB11" s="44">
        <v>32250.519999999997</v>
      </c>
      <c r="AC11" s="44">
        <v>88182.8</v>
      </c>
      <c r="AD11" s="44">
        <v>60836.130000000005</v>
      </c>
      <c r="AE11" s="44">
        <v>89271.18</v>
      </c>
      <c r="AF11" s="44">
        <v>1965013.6899999997</v>
      </c>
    </row>
    <row r="12" spans="1:32" x14ac:dyDescent="0.3">
      <c r="A12" s="43" t="s">
        <v>3039</v>
      </c>
      <c r="B12" s="44">
        <v>92676.920000000013</v>
      </c>
      <c r="C12" s="44">
        <v>134500.5</v>
      </c>
      <c r="D12" s="44">
        <v>114656.26999999999</v>
      </c>
      <c r="E12" s="44">
        <v>55975.340000000004</v>
      </c>
      <c r="F12" s="44">
        <v>15060.279999999999</v>
      </c>
      <c r="G12" s="44">
        <v>61857.899999999994</v>
      </c>
      <c r="H12" s="44">
        <v>70196.800000000003</v>
      </c>
      <c r="I12" s="44">
        <v>61043.439999999995</v>
      </c>
      <c r="J12" s="44">
        <v>116575.84999999999</v>
      </c>
      <c r="K12" s="44">
        <v>111335.79000000001</v>
      </c>
      <c r="L12" s="44">
        <v>129473.95999999999</v>
      </c>
      <c r="M12" s="44">
        <v>115185.59</v>
      </c>
      <c r="N12" s="44">
        <v>70557.86</v>
      </c>
      <c r="O12" s="44">
        <v>113977.93999999999</v>
      </c>
      <c r="P12" s="44">
        <v>114985.86000000002</v>
      </c>
      <c r="Q12" s="44">
        <v>119357.27</v>
      </c>
      <c r="R12" s="44">
        <v>88015.95</v>
      </c>
      <c r="S12" s="44">
        <v>26814.3</v>
      </c>
      <c r="T12" s="44">
        <v>20666.8</v>
      </c>
      <c r="U12" s="44">
        <v>107718.33</v>
      </c>
      <c r="V12" s="44">
        <v>44212.2</v>
      </c>
      <c r="W12" s="44">
        <v>81133.64</v>
      </c>
      <c r="X12" s="44">
        <v>50585.599999999999</v>
      </c>
      <c r="Y12" s="44">
        <v>66015.240000000005</v>
      </c>
      <c r="Z12" s="44">
        <v>61143.740000000005</v>
      </c>
      <c r="AA12" s="44">
        <v>89359.819999999992</v>
      </c>
      <c r="AB12" s="44">
        <v>18606.830000000002</v>
      </c>
      <c r="AC12" s="44">
        <v>168231.25</v>
      </c>
      <c r="AD12" s="44">
        <v>134005.79</v>
      </c>
      <c r="AE12" s="44">
        <v>74000.900000000009</v>
      </c>
      <c r="AF12" s="44">
        <v>2527927.9600000004</v>
      </c>
    </row>
    <row r="13" spans="1:32" x14ac:dyDescent="0.3">
      <c r="A13" s="43" t="s">
        <v>3040</v>
      </c>
      <c r="B13" s="44">
        <v>88884.34</v>
      </c>
      <c r="C13" s="44">
        <v>91647.290000000008</v>
      </c>
      <c r="D13" s="44">
        <v>69896.72</v>
      </c>
      <c r="E13" s="44">
        <v>46944.28</v>
      </c>
      <c r="F13" s="44">
        <v>81963.69</v>
      </c>
      <c r="G13" s="44">
        <v>76627.83</v>
      </c>
      <c r="H13" s="44">
        <v>52194.149999999994</v>
      </c>
      <c r="I13" s="44">
        <v>49404.639999999999</v>
      </c>
      <c r="J13" s="44">
        <v>98466.52</v>
      </c>
      <c r="K13" s="44">
        <v>146100.57</v>
      </c>
      <c r="L13" s="44">
        <v>88472.060000000012</v>
      </c>
      <c r="M13" s="44">
        <v>104717.03</v>
      </c>
      <c r="N13" s="44">
        <v>63389.33</v>
      </c>
      <c r="O13" s="44">
        <v>45673.51</v>
      </c>
      <c r="P13" s="44">
        <v>92815.3</v>
      </c>
      <c r="Q13" s="44">
        <v>34105.56</v>
      </c>
      <c r="R13" s="44">
        <v>75893.02</v>
      </c>
      <c r="S13" s="44">
        <v>29070.76</v>
      </c>
      <c r="T13" s="44">
        <v>34590.78</v>
      </c>
      <c r="U13" s="44">
        <v>57555.72</v>
      </c>
      <c r="V13" s="44">
        <v>108409.59</v>
      </c>
      <c r="W13" s="44">
        <v>87991.220000000016</v>
      </c>
      <c r="X13" s="44">
        <v>50462.58</v>
      </c>
      <c r="Y13" s="44">
        <v>16909.739999999998</v>
      </c>
      <c r="Z13" s="44">
        <v>121716.57999999999</v>
      </c>
      <c r="AA13" s="44">
        <v>26249.420000000002</v>
      </c>
      <c r="AB13" s="44">
        <v>133645.79999999999</v>
      </c>
      <c r="AC13" s="44">
        <v>44209.14</v>
      </c>
      <c r="AD13" s="44">
        <v>18360.240000000002</v>
      </c>
      <c r="AE13" s="44">
        <v>26448.21</v>
      </c>
      <c r="AF13" s="44">
        <v>2062815.6200000003</v>
      </c>
    </row>
    <row r="14" spans="1:32" x14ac:dyDescent="0.3">
      <c r="A14" s="43" t="s">
        <v>3041</v>
      </c>
      <c r="B14" s="44">
        <v>37753.900000000009</v>
      </c>
      <c r="C14" s="44">
        <v>35751.81</v>
      </c>
      <c r="D14" s="44">
        <v>29309.979999999996</v>
      </c>
      <c r="E14" s="44">
        <v>43456.180000000008</v>
      </c>
      <c r="F14" s="44">
        <v>99252.76999999999</v>
      </c>
      <c r="G14" s="44">
        <v>52942.27</v>
      </c>
      <c r="H14" s="44">
        <v>57313.75</v>
      </c>
      <c r="I14" s="44">
        <v>26620.46</v>
      </c>
      <c r="J14" s="44">
        <v>107648.92</v>
      </c>
      <c r="K14" s="44">
        <v>64630.99</v>
      </c>
      <c r="L14" s="44">
        <v>55503.48</v>
      </c>
      <c r="M14" s="44">
        <v>89150.849999999991</v>
      </c>
      <c r="N14" s="44">
        <v>46714.579999999994</v>
      </c>
      <c r="O14" s="44">
        <v>80097.179999999993</v>
      </c>
      <c r="P14" s="44">
        <v>119179.18</v>
      </c>
      <c r="Q14" s="44">
        <v>55604.090000000004</v>
      </c>
      <c r="R14" s="44">
        <v>75670.28</v>
      </c>
      <c r="S14" s="44">
        <v>109087.31</v>
      </c>
      <c r="T14" s="44">
        <v>152548.56</v>
      </c>
      <c r="U14" s="44">
        <v>23378.260000000002</v>
      </c>
      <c r="V14" s="44">
        <v>42203.749999999993</v>
      </c>
      <c r="W14" s="44">
        <v>73388.56</v>
      </c>
      <c r="X14" s="44">
        <v>13975.5</v>
      </c>
      <c r="Y14" s="44">
        <v>82877.570000000007</v>
      </c>
      <c r="Z14" s="44">
        <v>8289.0300000000007</v>
      </c>
      <c r="AA14" s="44">
        <v>79217.400000000009</v>
      </c>
      <c r="AB14" s="44">
        <v>110709.74999999999</v>
      </c>
      <c r="AC14" s="44">
        <v>137494.43</v>
      </c>
      <c r="AD14" s="44">
        <v>27441.88</v>
      </c>
      <c r="AE14" s="44">
        <v>40669.760000000002</v>
      </c>
      <c r="AF14" s="44">
        <v>1977882.4299999997</v>
      </c>
    </row>
    <row r="15" spans="1:32" x14ac:dyDescent="0.3">
      <c r="A15" s="43" t="s">
        <v>3042</v>
      </c>
      <c r="B15" s="44">
        <v>72215.41</v>
      </c>
      <c r="C15" s="44">
        <v>158277.82</v>
      </c>
      <c r="D15" s="44">
        <v>106760.75</v>
      </c>
      <c r="E15" s="44">
        <v>38491.18</v>
      </c>
      <c r="F15" s="44">
        <v>55570.99</v>
      </c>
      <c r="G15" s="44">
        <v>81500.239999999991</v>
      </c>
      <c r="H15" s="44">
        <v>130208.90000000001</v>
      </c>
      <c r="I15" s="44">
        <v>64537.259999999995</v>
      </c>
      <c r="J15" s="44">
        <v>30954.959999999999</v>
      </c>
      <c r="K15" s="44">
        <v>119201.56999999999</v>
      </c>
      <c r="L15" s="44">
        <v>64240.800000000003</v>
      </c>
      <c r="M15" s="44">
        <v>69152.06</v>
      </c>
      <c r="N15" s="44">
        <v>108112.06999999999</v>
      </c>
      <c r="O15" s="44">
        <v>50971.92</v>
      </c>
      <c r="P15" s="44">
        <v>97394.65</v>
      </c>
      <c r="Q15" s="44">
        <v>26689.96</v>
      </c>
      <c r="R15" s="44">
        <v>23417.13</v>
      </c>
      <c r="S15" s="44">
        <v>84868.64</v>
      </c>
      <c r="T15" s="44">
        <v>96634.5</v>
      </c>
      <c r="U15" s="44">
        <v>68985.010000000009</v>
      </c>
      <c r="V15" s="44">
        <v>53126.100000000006</v>
      </c>
      <c r="W15" s="44">
        <v>76504.66</v>
      </c>
      <c r="X15" s="44">
        <v>59984.34</v>
      </c>
      <c r="Y15" s="44">
        <v>68084.649999999994</v>
      </c>
      <c r="Z15" s="44">
        <v>103237.54000000001</v>
      </c>
      <c r="AA15" s="44">
        <v>28769.67</v>
      </c>
      <c r="AB15" s="44">
        <v>110369.59</v>
      </c>
      <c r="AC15" s="44">
        <v>64459.770000000004</v>
      </c>
      <c r="AD15" s="44">
        <v>65290.45</v>
      </c>
      <c r="AE15" s="44">
        <v>119624.48999999999</v>
      </c>
      <c r="AF15" s="44">
        <v>2297637.08</v>
      </c>
    </row>
    <row r="16" spans="1:32" x14ac:dyDescent="0.3">
      <c r="A16" s="43" t="s">
        <v>3043</v>
      </c>
      <c r="B16" s="44">
        <v>79450.51999999999</v>
      </c>
      <c r="C16" s="44">
        <v>47673.25</v>
      </c>
      <c r="D16" s="44">
        <v>12325.539999999999</v>
      </c>
      <c r="E16" s="44">
        <v>59066.319999999992</v>
      </c>
      <c r="F16" s="44">
        <v>68580.799999999988</v>
      </c>
      <c r="G16" s="44">
        <v>121741.5</v>
      </c>
      <c r="H16" s="44">
        <v>57922.929999999993</v>
      </c>
      <c r="I16" s="44">
        <v>172732.12000000002</v>
      </c>
      <c r="J16" s="44">
        <v>46691.02</v>
      </c>
      <c r="K16" s="44">
        <v>70844.790000000008</v>
      </c>
      <c r="L16" s="44"/>
      <c r="M16" s="44">
        <v>125492.57</v>
      </c>
      <c r="N16" s="44">
        <v>63120.660000000011</v>
      </c>
      <c r="O16" s="44">
        <v>105996.29000000001</v>
      </c>
      <c r="P16" s="44">
        <v>73235.58</v>
      </c>
      <c r="Q16" s="44">
        <v>2821.88</v>
      </c>
      <c r="R16" s="44">
        <v>71637.3</v>
      </c>
      <c r="S16" s="44">
        <v>45259.32</v>
      </c>
      <c r="T16" s="44">
        <v>118258.66</v>
      </c>
      <c r="U16" s="44">
        <v>24872.76</v>
      </c>
      <c r="V16" s="44">
        <v>40227.240000000005</v>
      </c>
      <c r="W16" s="44">
        <v>119758.46</v>
      </c>
      <c r="X16" s="44">
        <v>102626.04</v>
      </c>
      <c r="Y16" s="44">
        <v>104737.79</v>
      </c>
      <c r="Z16" s="44">
        <v>59696.52</v>
      </c>
      <c r="AA16" s="44">
        <v>60332.900000000009</v>
      </c>
      <c r="AB16" s="44">
        <v>104514.17000000001</v>
      </c>
      <c r="AC16" s="44">
        <v>51024.5</v>
      </c>
      <c r="AD16" s="44">
        <v>125575.3</v>
      </c>
      <c r="AE16" s="44">
        <v>47706.74</v>
      </c>
      <c r="AF16" s="44">
        <v>2183923.4700000002</v>
      </c>
    </row>
    <row r="17" spans="1:32" x14ac:dyDescent="0.3">
      <c r="A17" s="43" t="s">
        <v>3029</v>
      </c>
      <c r="B17" s="44">
        <v>789849.59999999998</v>
      </c>
      <c r="C17" s="44">
        <v>980063.66000000015</v>
      </c>
      <c r="D17" s="44">
        <v>986692.90999999992</v>
      </c>
      <c r="E17" s="44">
        <v>589026.28999999992</v>
      </c>
      <c r="F17" s="44">
        <v>782445.33000000007</v>
      </c>
      <c r="G17" s="44">
        <v>1138648.73</v>
      </c>
      <c r="H17" s="44">
        <v>855749.68000000017</v>
      </c>
      <c r="I17" s="44">
        <v>861553.33</v>
      </c>
      <c r="J17" s="44">
        <v>914554.72</v>
      </c>
      <c r="K17" s="44">
        <v>880345.20000000007</v>
      </c>
      <c r="L17" s="44">
        <v>735207.76</v>
      </c>
      <c r="M17" s="44">
        <v>901394.32000000007</v>
      </c>
      <c r="N17" s="44">
        <v>811524.37999999989</v>
      </c>
      <c r="O17" s="44">
        <v>995713.53999999992</v>
      </c>
      <c r="P17" s="44">
        <v>1091740.1800000002</v>
      </c>
      <c r="Q17" s="44">
        <v>814563.71</v>
      </c>
      <c r="R17" s="44">
        <v>780384.41000000015</v>
      </c>
      <c r="S17" s="44">
        <v>1112289.6399999999</v>
      </c>
      <c r="T17" s="44">
        <v>971183.52000000014</v>
      </c>
      <c r="U17" s="44">
        <v>906107.71</v>
      </c>
      <c r="V17" s="44">
        <v>761507.17</v>
      </c>
      <c r="W17" s="44">
        <v>1069570.54</v>
      </c>
      <c r="X17" s="44">
        <v>983787.48</v>
      </c>
      <c r="Y17" s="44">
        <v>819558.58</v>
      </c>
      <c r="Z17" s="44">
        <v>901298.89</v>
      </c>
      <c r="AA17" s="44">
        <v>576305.07999999996</v>
      </c>
      <c r="AB17" s="44">
        <v>917092.62</v>
      </c>
      <c r="AC17" s="44">
        <v>880468.05</v>
      </c>
      <c r="AD17" s="44">
        <v>1016696.8</v>
      </c>
      <c r="AE17" s="44">
        <v>747624.37</v>
      </c>
      <c r="AF17" s="44">
        <v>26572948.199999996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  <pageSetUpPr fitToPage="1"/>
  </sheetPr>
  <dimension ref="A1:R2001"/>
  <sheetViews>
    <sheetView workbookViewId="0">
      <pane ySplit="1" topLeftCell="A2" activePane="bottomLeft" state="frozen"/>
      <selection pane="bottomLeft" activeCell="J1" sqref="J1"/>
    </sheetView>
  </sheetViews>
  <sheetFormatPr defaultRowHeight="14.4" x14ac:dyDescent="0.3"/>
  <cols>
    <col min="1" max="1" width="11" customWidth="1"/>
    <col min="2" max="2" width="12" customWidth="1"/>
    <col min="3" max="3" width="13" customWidth="1"/>
    <col min="4" max="4" width="12" customWidth="1"/>
    <col min="5" max="5" width="14" customWidth="1"/>
    <col min="6" max="6" width="10" customWidth="1"/>
    <col min="7" max="7" width="12" customWidth="1"/>
    <col min="8" max="9" width="14" customWidth="1"/>
    <col min="10" max="10" width="16" customWidth="1"/>
    <col min="11" max="11" width="11" customWidth="1"/>
  </cols>
  <sheetData>
    <row r="1" spans="1:18" x14ac:dyDescent="0.3">
      <c r="A1" s="5" t="s">
        <v>72</v>
      </c>
      <c r="B1" s="5" t="s">
        <v>73</v>
      </c>
      <c r="C1" s="5" t="s">
        <v>74</v>
      </c>
      <c r="D1" s="5" t="s">
        <v>75</v>
      </c>
      <c r="E1" s="5" t="s">
        <v>76</v>
      </c>
      <c r="F1" s="5" t="s">
        <v>77</v>
      </c>
      <c r="G1" s="5" t="s">
        <v>78</v>
      </c>
      <c r="H1" s="5" t="s">
        <v>79</v>
      </c>
      <c r="I1" s="5" t="s">
        <v>80</v>
      </c>
      <c r="J1" s="5" t="s">
        <v>81</v>
      </c>
      <c r="K1" s="5" t="s">
        <v>82</v>
      </c>
      <c r="L1" s="41" t="s">
        <v>3026</v>
      </c>
      <c r="M1" s="41" t="s">
        <v>2782</v>
      </c>
      <c r="N1" s="41" t="s">
        <v>2780</v>
      </c>
      <c r="O1" s="41" t="s">
        <v>2504</v>
      </c>
      <c r="P1" s="41" t="s">
        <v>2502</v>
      </c>
      <c r="Q1" s="41" t="s">
        <v>2851</v>
      </c>
      <c r="R1" s="41" t="s">
        <v>2781</v>
      </c>
    </row>
    <row r="2" spans="1:18" x14ac:dyDescent="0.3">
      <c r="A2" s="13" t="s">
        <v>83</v>
      </c>
      <c r="B2" s="14">
        <v>45549</v>
      </c>
      <c r="C2" s="13" t="s">
        <v>84</v>
      </c>
      <c r="D2" s="13" t="s">
        <v>85</v>
      </c>
      <c r="E2" s="13" t="s">
        <v>86</v>
      </c>
      <c r="F2" s="15">
        <v>8</v>
      </c>
      <c r="G2" s="15">
        <v>3620</v>
      </c>
      <c r="H2" s="15">
        <v>15.4</v>
      </c>
      <c r="I2" s="15">
        <v>24500.16</v>
      </c>
      <c r="J2" s="13" t="s">
        <v>87</v>
      </c>
      <c r="K2" s="13" t="s">
        <v>88</v>
      </c>
      <c r="L2">
        <f>IF(COUNTIF(A$2:A2, A2)=1, IF(COUNTIF(A$2:A$2001, A2)&gt;1, 1, 0), 0)</f>
        <v>0</v>
      </c>
      <c r="M2" t="b">
        <f>VLOOKUP(D2, Products!A$2:F$61, 6, FALSE)</f>
        <v>1</v>
      </c>
      <c r="N2" t="str">
        <f>VLOOKUP(D2, Products!A$2:C$61, 3, FALSE)</f>
        <v>Apparel</v>
      </c>
      <c r="O2" t="str">
        <f>VLOOKUP(C2, Customers!A$2:E$301, 5, FALSE)</f>
        <v>SMB</v>
      </c>
      <c r="P2">
        <f>VLOOKUP(C2, Customers!A$2:C$301, 3, FALSE)</f>
        <v>44</v>
      </c>
      <c r="Q2" t="str">
        <f>VLOOKUP(E2, Sales_Reps!A$2:C$31, 3, FALSE)</f>
        <v>North</v>
      </c>
      <c r="R2">
        <f>VLOOKUP(D2, Products!A$2:D$61, 4, FALSE)</f>
        <v>2509</v>
      </c>
    </row>
    <row r="3" spans="1:18" x14ac:dyDescent="0.3">
      <c r="A3" s="13" t="s">
        <v>89</v>
      </c>
      <c r="B3" s="14">
        <v>45340</v>
      </c>
      <c r="C3" s="13" t="s">
        <v>90</v>
      </c>
      <c r="D3" s="13" t="s">
        <v>91</v>
      </c>
      <c r="E3" s="13" t="s">
        <v>92</v>
      </c>
      <c r="F3" s="15">
        <v>2</v>
      </c>
      <c r="G3" s="15">
        <v>820</v>
      </c>
      <c r="H3" s="15">
        <v>10.8</v>
      </c>
      <c r="I3" s="15">
        <v>1462.88</v>
      </c>
      <c r="J3" s="13" t="s">
        <v>93</v>
      </c>
      <c r="K3" s="13" t="s">
        <v>94</v>
      </c>
      <c r="L3">
        <f>IF(COUNTIF(A$2:A3, A3)=1, IF(COUNTIF(A$2:A$2001, A3)&gt;1, 1, 0), 0)</f>
        <v>0</v>
      </c>
      <c r="M3" t="b">
        <f>VLOOKUP(D3, Products!A$2:F$61, 6, FALSE)</f>
        <v>1</v>
      </c>
      <c r="N3" t="str">
        <f>VLOOKUP(D3, Products!A$2:C$61, 3, FALSE)</f>
        <v>Apparel</v>
      </c>
      <c r="O3" t="str">
        <f>VLOOKUP(C3, Customers!A$2:E$301, 5, FALSE)</f>
        <v>Retail</v>
      </c>
      <c r="P3">
        <f>VLOOKUP(C3, Customers!A$2:C$301, 3, FALSE)</f>
        <v>39</v>
      </c>
      <c r="Q3" t="str">
        <f>VLOOKUP(E3, Sales_Reps!A$2:C$31, 3, FALSE)</f>
        <v>North</v>
      </c>
      <c r="R3">
        <f>VLOOKUP(D3, Products!A$2:D$61, 4, FALSE)</f>
        <v>391</v>
      </c>
    </row>
    <row r="4" spans="1:18" x14ac:dyDescent="0.3">
      <c r="A4" s="13" t="s">
        <v>95</v>
      </c>
      <c r="B4" s="14">
        <v>45371</v>
      </c>
      <c r="C4" s="13" t="s">
        <v>96</v>
      </c>
      <c r="D4" s="13" t="s">
        <v>97</v>
      </c>
      <c r="E4" s="13" t="s">
        <v>98</v>
      </c>
      <c r="F4" s="15">
        <v>8</v>
      </c>
      <c r="G4" s="15">
        <v>470</v>
      </c>
      <c r="H4" s="15">
        <v>3.3</v>
      </c>
      <c r="I4" s="15">
        <v>3635.92</v>
      </c>
      <c r="J4" s="13" t="s">
        <v>93</v>
      </c>
      <c r="K4" s="13" t="s">
        <v>99</v>
      </c>
      <c r="L4">
        <f>IF(COUNTIF(A$2:A4, A4)=1, IF(COUNTIF(A$2:A$2001, A4)&gt;1, 1, 0), 0)</f>
        <v>0</v>
      </c>
      <c r="M4" t="b">
        <f>VLOOKUP(D4, Products!A$2:F$61, 6, FALSE)</f>
        <v>0</v>
      </c>
      <c r="N4" t="str">
        <f>VLOOKUP(D4, Products!A$2:C$61, 3, FALSE)</f>
        <v>Sports</v>
      </c>
      <c r="O4" t="str">
        <f>VLOOKUP(C4, Customers!A$2:E$301, 5, FALSE)</f>
        <v>Retail</v>
      </c>
      <c r="P4">
        <f>VLOOKUP(C4, Customers!A$2:C$301, 3, FALSE)</f>
        <v>52</v>
      </c>
      <c r="Q4" t="str">
        <f>VLOOKUP(E4, Sales_Reps!A$2:C$31, 3, FALSE)</f>
        <v>South</v>
      </c>
      <c r="R4">
        <f>VLOOKUP(D4, Products!A$2:D$61, 4, FALSE)</f>
        <v>302</v>
      </c>
    </row>
    <row r="5" spans="1:18" x14ac:dyDescent="0.3">
      <c r="A5" s="13" t="s">
        <v>100</v>
      </c>
      <c r="B5" s="14">
        <v>45413</v>
      </c>
      <c r="C5" s="13" t="s">
        <v>101</v>
      </c>
      <c r="D5" s="13" t="s">
        <v>102</v>
      </c>
      <c r="E5" s="13" t="s">
        <v>103</v>
      </c>
      <c r="F5" s="15">
        <v>1</v>
      </c>
      <c r="G5" s="15">
        <v>3660</v>
      </c>
      <c r="H5" s="15">
        <v>15.7</v>
      </c>
      <c r="I5" s="15">
        <v>3085.38</v>
      </c>
      <c r="J5" s="13" t="s">
        <v>87</v>
      </c>
      <c r="K5" s="13" t="s">
        <v>99</v>
      </c>
      <c r="L5">
        <f>IF(COUNTIF(A$2:A5, A5)=1, IF(COUNTIF(A$2:A$2001, A5)&gt;1, 1, 0), 0)</f>
        <v>0</v>
      </c>
      <c r="M5" t="b">
        <f>VLOOKUP(D5, Products!A$2:F$61, 6, FALSE)</f>
        <v>0</v>
      </c>
      <c r="N5" t="str">
        <f>VLOOKUP(D5, Products!A$2:C$61, 3, FALSE)</f>
        <v>Grocery</v>
      </c>
      <c r="O5" t="str">
        <f>VLOOKUP(C5, Customers!A$2:E$301, 5, FALSE)</f>
        <v>Corporate</v>
      </c>
      <c r="P5">
        <f>VLOOKUP(C5, Customers!A$2:C$301, 3, FALSE)</f>
        <v>46</v>
      </c>
      <c r="Q5" t="str">
        <f>VLOOKUP(E5, Sales_Reps!A$2:C$31, 3, FALSE)</f>
        <v>North</v>
      </c>
      <c r="R5">
        <f>VLOOKUP(D5, Products!A$2:D$61, 4, FALSE)</f>
        <v>2214</v>
      </c>
    </row>
    <row r="6" spans="1:18" x14ac:dyDescent="0.3">
      <c r="A6" s="13" t="s">
        <v>104</v>
      </c>
      <c r="B6" s="14">
        <v>45611</v>
      </c>
      <c r="C6" s="13" t="s">
        <v>105</v>
      </c>
      <c r="D6" s="13" t="s">
        <v>106</v>
      </c>
      <c r="E6" s="13" t="s">
        <v>107</v>
      </c>
      <c r="F6" s="15">
        <v>1</v>
      </c>
      <c r="G6" s="15">
        <v>3160</v>
      </c>
      <c r="H6" s="15">
        <v>26</v>
      </c>
      <c r="I6" s="15">
        <v>2338.4</v>
      </c>
      <c r="J6" s="13" t="s">
        <v>87</v>
      </c>
      <c r="K6" s="13" t="s">
        <v>94</v>
      </c>
      <c r="L6">
        <f>IF(COUNTIF(A$2:A6, A6)=1, IF(COUNTIF(A$2:A$2001, A6)&gt;1, 1, 0), 0)</f>
        <v>0</v>
      </c>
      <c r="M6" t="b">
        <f>VLOOKUP(D6, Products!A$2:F$61, 6, FALSE)</f>
        <v>1</v>
      </c>
      <c r="N6" t="str">
        <f>VLOOKUP(D6, Products!A$2:C$61, 3, FALSE)</f>
        <v>Apparel</v>
      </c>
      <c r="O6" t="str">
        <f>VLOOKUP(C6, Customers!A$2:E$301, 5, FALSE)</f>
        <v>Retail</v>
      </c>
      <c r="P6">
        <f>VLOOKUP(C6, Customers!A$2:C$301, 3, FALSE)</f>
        <v>36</v>
      </c>
      <c r="Q6" t="str">
        <f>VLOOKUP(E6, Sales_Reps!A$2:C$31, 3, FALSE)</f>
        <v>North</v>
      </c>
      <c r="R6">
        <f>VLOOKUP(D6, Products!A$2:D$61, 4, FALSE)</f>
        <v>1886</v>
      </c>
    </row>
    <row r="7" spans="1:18" x14ac:dyDescent="0.3">
      <c r="A7" s="13" t="s">
        <v>108</v>
      </c>
      <c r="B7" s="14">
        <v>45406</v>
      </c>
      <c r="C7" s="13" t="s">
        <v>109</v>
      </c>
      <c r="D7" s="13" t="s">
        <v>110</v>
      </c>
      <c r="E7" s="13" t="s">
        <v>111</v>
      </c>
      <c r="F7" s="15">
        <v>4</v>
      </c>
      <c r="G7" s="15">
        <v>370</v>
      </c>
      <c r="H7" s="15">
        <v>29</v>
      </c>
      <c r="I7" s="15">
        <v>1050.8</v>
      </c>
      <c r="J7" s="13" t="s">
        <v>87</v>
      </c>
      <c r="K7" s="13" t="s">
        <v>112</v>
      </c>
      <c r="L7">
        <f>IF(COUNTIF(A$2:A7, A7)=1, IF(COUNTIF(A$2:A$2001, A7)&gt;1, 1, 0), 0)</f>
        <v>0</v>
      </c>
      <c r="M7" t="b">
        <f>VLOOKUP(D7, Products!A$2:F$61, 6, FALSE)</f>
        <v>1</v>
      </c>
      <c r="N7" t="str">
        <f>VLOOKUP(D7, Products!A$2:C$61, 3, FALSE)</f>
        <v>Home</v>
      </c>
      <c r="O7" t="str">
        <f>VLOOKUP(C7, Customers!A$2:E$301, 5, FALSE)</f>
        <v>Retail</v>
      </c>
      <c r="P7">
        <f>VLOOKUP(C7, Customers!A$2:C$301, 3, FALSE)</f>
        <v>36</v>
      </c>
      <c r="Q7" t="str">
        <f>VLOOKUP(E7, Sales_Reps!A$2:C$31, 3, FALSE)</f>
        <v>West</v>
      </c>
      <c r="R7">
        <f>VLOOKUP(D7, Products!A$2:D$61, 4, FALSE)</f>
        <v>288</v>
      </c>
    </row>
    <row r="8" spans="1:18" x14ac:dyDescent="0.3">
      <c r="A8" s="13" t="s">
        <v>113</v>
      </c>
      <c r="B8" s="14">
        <v>45455</v>
      </c>
      <c r="C8" s="13" t="s">
        <v>114</v>
      </c>
      <c r="D8" s="13" t="s">
        <v>115</v>
      </c>
      <c r="E8" s="13" t="s">
        <v>116</v>
      </c>
      <c r="F8" s="15">
        <v>3</v>
      </c>
      <c r="G8" s="15">
        <v>960</v>
      </c>
      <c r="H8" s="15">
        <v>5.8</v>
      </c>
      <c r="I8" s="15">
        <v>2712.96</v>
      </c>
      <c r="J8" s="13" t="s">
        <v>87</v>
      </c>
      <c r="K8" s="13" t="s">
        <v>117</v>
      </c>
      <c r="L8">
        <f>IF(COUNTIF(A$2:A8, A8)=1, IF(COUNTIF(A$2:A$2001, A8)&gt;1, 1, 0), 0)</f>
        <v>0</v>
      </c>
      <c r="M8" t="b">
        <f>VLOOKUP(D8, Products!A$2:F$61, 6, FALSE)</f>
        <v>1</v>
      </c>
      <c r="N8" t="str">
        <f>VLOOKUP(D8, Products!A$2:C$61, 3, FALSE)</f>
        <v>Sports</v>
      </c>
      <c r="O8" t="str">
        <f>VLOOKUP(C8, Customers!A$2:E$301, 5, FALSE)</f>
        <v>Retail</v>
      </c>
      <c r="P8">
        <f>VLOOKUP(C8, Customers!A$2:C$301, 3, FALSE)</f>
        <v>27</v>
      </c>
      <c r="Q8" t="str">
        <f>VLOOKUP(E8, Sales_Reps!A$2:C$31, 3, FALSE)</f>
        <v>West</v>
      </c>
      <c r="R8">
        <f>VLOOKUP(D8, Products!A$2:D$61, 4, FALSE)</f>
        <v>705</v>
      </c>
    </row>
    <row r="9" spans="1:18" x14ac:dyDescent="0.3">
      <c r="A9" s="13" t="s">
        <v>118</v>
      </c>
      <c r="B9" s="14">
        <v>45617</v>
      </c>
      <c r="C9" s="13" t="s">
        <v>119</v>
      </c>
      <c r="D9" s="13" t="s">
        <v>120</v>
      </c>
      <c r="E9" s="13" t="s">
        <v>121</v>
      </c>
      <c r="F9" s="15">
        <v>8</v>
      </c>
      <c r="G9" s="15">
        <v>1430</v>
      </c>
      <c r="H9" s="15">
        <v>2.4</v>
      </c>
      <c r="I9" s="15">
        <v>11165.44</v>
      </c>
      <c r="J9" s="13" t="s">
        <v>87</v>
      </c>
      <c r="K9" s="13" t="s">
        <v>117</v>
      </c>
      <c r="L9">
        <f>IF(COUNTIF(A$2:A9, A9)=1, IF(COUNTIF(A$2:A$2001, A9)&gt;1, 1, 0), 0)</f>
        <v>0</v>
      </c>
      <c r="M9" t="b">
        <f>VLOOKUP(D9, Products!A$2:F$61, 6, FALSE)</f>
        <v>1</v>
      </c>
      <c r="N9" t="str">
        <f>VLOOKUP(D9, Products!A$2:C$61, 3, FALSE)</f>
        <v>Electronics</v>
      </c>
      <c r="O9" t="str">
        <f>VLOOKUP(C9, Customers!A$2:E$301, 5, FALSE)</f>
        <v>Corporate</v>
      </c>
      <c r="P9">
        <f>VLOOKUP(C9, Customers!A$2:C$301, 3, FALSE)</f>
        <v>57</v>
      </c>
      <c r="Q9" t="str">
        <f>VLOOKUP(E9, Sales_Reps!A$2:C$31, 3, FALSE)</f>
        <v>East</v>
      </c>
      <c r="R9">
        <f>VLOOKUP(D9, Products!A$2:D$61, 4, FALSE)</f>
        <v>861</v>
      </c>
    </row>
    <row r="10" spans="1:18" x14ac:dyDescent="0.3">
      <c r="A10" s="13" t="s">
        <v>122</v>
      </c>
      <c r="B10" s="14">
        <v>45549</v>
      </c>
      <c r="C10" s="13" t="s">
        <v>123</v>
      </c>
      <c r="D10" s="13" t="s">
        <v>124</v>
      </c>
      <c r="E10" s="13" t="s">
        <v>107</v>
      </c>
      <c r="F10" s="15">
        <v>3</v>
      </c>
      <c r="G10" s="15">
        <v>5490</v>
      </c>
      <c r="H10" s="15">
        <v>14.2</v>
      </c>
      <c r="I10" s="15">
        <v>14131.26</v>
      </c>
      <c r="J10" s="13" t="s">
        <v>87</v>
      </c>
      <c r="K10" s="13" t="s">
        <v>117</v>
      </c>
      <c r="L10">
        <f>IF(COUNTIF(A$2:A10, A10)=1, IF(COUNTIF(A$2:A$2001, A10)&gt;1, 1, 0), 0)</f>
        <v>0</v>
      </c>
      <c r="M10" t="b">
        <f>VLOOKUP(D10, Products!A$2:F$61, 6, FALSE)</f>
        <v>1</v>
      </c>
      <c r="N10" t="str">
        <f>VLOOKUP(D10, Products!A$2:C$61, 3, FALSE)</f>
        <v>Home</v>
      </c>
      <c r="O10" t="str">
        <f>VLOOKUP(C10, Customers!A$2:E$301, 5, FALSE)</f>
        <v>Retail</v>
      </c>
      <c r="P10">
        <f>VLOOKUP(C10, Customers!A$2:C$301, 3, FALSE)</f>
        <v>42</v>
      </c>
      <c r="Q10" t="str">
        <f>VLOOKUP(E10, Sales_Reps!A$2:C$31, 3, FALSE)</f>
        <v>North</v>
      </c>
      <c r="R10">
        <f>VLOOKUP(D10, Products!A$2:D$61, 4, FALSE)</f>
        <v>2549</v>
      </c>
    </row>
    <row r="11" spans="1:18" x14ac:dyDescent="0.3">
      <c r="A11" s="13" t="s">
        <v>125</v>
      </c>
      <c r="B11" s="14">
        <v>45396</v>
      </c>
      <c r="C11" s="13" t="s">
        <v>126</v>
      </c>
      <c r="D11" s="13" t="s">
        <v>127</v>
      </c>
      <c r="E11" s="13" t="s">
        <v>128</v>
      </c>
      <c r="F11" s="15">
        <v>3</v>
      </c>
      <c r="G11" s="15">
        <v>970</v>
      </c>
      <c r="H11" s="15">
        <v>1.2</v>
      </c>
      <c r="I11" s="15">
        <v>2875.08</v>
      </c>
      <c r="J11" s="13" t="s">
        <v>87</v>
      </c>
      <c r="K11" s="13" t="s">
        <v>88</v>
      </c>
      <c r="L11">
        <f>IF(COUNTIF(A$2:A11, A11)=1, IF(COUNTIF(A$2:A$2001, A11)&gt;1, 1, 0), 0)</f>
        <v>0</v>
      </c>
      <c r="M11" t="b">
        <f>VLOOKUP(D11, Products!A$2:F$61, 6, FALSE)</f>
        <v>1</v>
      </c>
      <c r="N11" t="str">
        <f>VLOOKUP(D11, Products!A$2:C$61, 3, FALSE)</f>
        <v>Grocery</v>
      </c>
      <c r="O11" t="str">
        <f>VLOOKUP(C11, Customers!A$2:E$301, 5, FALSE)</f>
        <v>Retail</v>
      </c>
      <c r="P11">
        <f>VLOOKUP(C11, Customers!A$2:C$301, 3, FALSE)</f>
        <v>56</v>
      </c>
      <c r="Q11" t="str">
        <f>VLOOKUP(E11, Sales_Reps!A$2:C$31, 3, FALSE)</f>
        <v>West</v>
      </c>
      <c r="R11">
        <f>VLOOKUP(D11, Products!A$2:D$61, 4, FALSE)</f>
        <v>434</v>
      </c>
    </row>
    <row r="12" spans="1:18" x14ac:dyDescent="0.3">
      <c r="A12" s="13" t="s">
        <v>129</v>
      </c>
      <c r="B12" s="14">
        <v>45560</v>
      </c>
      <c r="C12" s="13" t="s">
        <v>130</v>
      </c>
      <c r="D12" s="13" t="s">
        <v>131</v>
      </c>
      <c r="E12" s="13" t="s">
        <v>132</v>
      </c>
      <c r="F12" s="15">
        <v>7</v>
      </c>
      <c r="G12" s="15">
        <v>2270</v>
      </c>
      <c r="H12" s="15">
        <v>7.1</v>
      </c>
      <c r="I12" s="15">
        <v>14761.81</v>
      </c>
      <c r="J12" s="13" t="s">
        <v>93</v>
      </c>
      <c r="K12" s="13" t="s">
        <v>133</v>
      </c>
      <c r="L12">
        <f>IF(COUNTIF(A$2:A12, A12)=1, IF(COUNTIF(A$2:A$2001, A12)&gt;1, 1, 0), 0)</f>
        <v>0</v>
      </c>
      <c r="M12" t="b">
        <f>VLOOKUP(D12, Products!A$2:F$61, 6, FALSE)</f>
        <v>1</v>
      </c>
      <c r="N12" t="str">
        <f>VLOOKUP(D12, Products!A$2:C$61, 3, FALSE)</f>
        <v>Grocery</v>
      </c>
      <c r="O12" t="str">
        <f>VLOOKUP(C12, Customers!A$2:E$301, 5, FALSE)</f>
        <v>Retail</v>
      </c>
      <c r="P12">
        <f>VLOOKUP(C12, Customers!A$2:C$301, 3, FALSE)</f>
        <v>60</v>
      </c>
      <c r="Q12" t="str">
        <f>VLOOKUP(E12, Sales_Reps!A$2:C$31, 3, FALSE)</f>
        <v>South</v>
      </c>
      <c r="R12">
        <f>VLOOKUP(D12, Products!A$2:D$61, 4, FALSE)</f>
        <v>1203</v>
      </c>
    </row>
    <row r="13" spans="1:18" x14ac:dyDescent="0.3">
      <c r="A13" s="13" t="s">
        <v>134</v>
      </c>
      <c r="B13" s="14">
        <v>45332</v>
      </c>
      <c r="C13" s="13" t="s">
        <v>126</v>
      </c>
      <c r="D13" s="13" t="s">
        <v>135</v>
      </c>
      <c r="E13" s="13" t="s">
        <v>116</v>
      </c>
      <c r="F13" s="15">
        <v>9</v>
      </c>
      <c r="G13" s="15">
        <v>2640</v>
      </c>
      <c r="H13" s="15">
        <v>21.7</v>
      </c>
      <c r="I13" s="15">
        <v>18604.080000000002</v>
      </c>
      <c r="J13" s="13" t="s">
        <v>87</v>
      </c>
      <c r="K13" s="13" t="s">
        <v>88</v>
      </c>
      <c r="L13">
        <f>IF(COUNTIF(A$2:A13, A13)=1, IF(COUNTIF(A$2:A$2001, A13)&gt;1, 1, 0), 0)</f>
        <v>0</v>
      </c>
      <c r="M13" t="b">
        <f>VLOOKUP(D13, Products!A$2:F$61, 6, FALSE)</f>
        <v>1</v>
      </c>
      <c r="N13" t="str">
        <f>VLOOKUP(D13, Products!A$2:C$61, 3, FALSE)</f>
        <v>Electronics</v>
      </c>
      <c r="O13" t="str">
        <f>VLOOKUP(C13, Customers!A$2:E$301, 5, FALSE)</f>
        <v>Retail</v>
      </c>
      <c r="P13">
        <f>VLOOKUP(C13, Customers!A$2:C$301, 3, FALSE)</f>
        <v>56</v>
      </c>
      <c r="Q13" t="str">
        <f>VLOOKUP(E13, Sales_Reps!A$2:C$31, 3, FALSE)</f>
        <v>West</v>
      </c>
      <c r="R13">
        <f>VLOOKUP(D13, Products!A$2:D$61, 4, FALSE)</f>
        <v>1149</v>
      </c>
    </row>
    <row r="14" spans="1:18" x14ac:dyDescent="0.3">
      <c r="A14" s="13" t="s">
        <v>136</v>
      </c>
      <c r="B14" s="14">
        <v>45507</v>
      </c>
      <c r="C14" s="13" t="s">
        <v>137</v>
      </c>
      <c r="D14" s="13" t="s">
        <v>138</v>
      </c>
      <c r="E14" s="13" t="s">
        <v>139</v>
      </c>
      <c r="F14" s="15">
        <v>3</v>
      </c>
      <c r="G14" s="15">
        <v>2600</v>
      </c>
      <c r="H14" s="15">
        <v>4.3</v>
      </c>
      <c r="I14" s="15">
        <v>7464.6</v>
      </c>
      <c r="J14" s="13" t="s">
        <v>140</v>
      </c>
      <c r="K14" s="13" t="s">
        <v>99</v>
      </c>
      <c r="L14">
        <f>IF(COUNTIF(A$2:A14, A14)=1, IF(COUNTIF(A$2:A$2001, A14)&gt;1, 1, 0), 0)</f>
        <v>0</v>
      </c>
      <c r="M14" t="b">
        <f>VLOOKUP(D14, Products!A$2:F$61, 6, FALSE)</f>
        <v>1</v>
      </c>
      <c r="N14" t="str">
        <f>VLOOKUP(D14, Products!A$2:C$61, 3, FALSE)</f>
        <v>Electronics</v>
      </c>
      <c r="O14" t="str">
        <f>VLOOKUP(C14, Customers!A$2:E$301, 5, FALSE)</f>
        <v>SMB</v>
      </c>
      <c r="P14">
        <f>VLOOKUP(C14, Customers!A$2:C$301, 3, FALSE)</f>
        <v>27</v>
      </c>
      <c r="Q14" t="str">
        <f>VLOOKUP(E14, Sales_Reps!A$2:C$31, 3, FALSE)</f>
        <v>North</v>
      </c>
      <c r="R14">
        <f>VLOOKUP(D14, Products!A$2:D$61, 4, FALSE)</f>
        <v>1052</v>
      </c>
    </row>
    <row r="15" spans="1:18" x14ac:dyDescent="0.3">
      <c r="A15" s="13" t="s">
        <v>141</v>
      </c>
      <c r="B15" s="14">
        <v>45466</v>
      </c>
      <c r="C15" s="13" t="s">
        <v>142</v>
      </c>
      <c r="D15" s="13" t="s">
        <v>143</v>
      </c>
      <c r="E15" s="13" t="s">
        <v>111</v>
      </c>
      <c r="F15" s="15">
        <v>3</v>
      </c>
      <c r="G15" s="15">
        <v>3250</v>
      </c>
      <c r="H15" s="15">
        <v>14.1</v>
      </c>
      <c r="I15" s="15">
        <v>8375.25</v>
      </c>
      <c r="J15" s="13" t="s">
        <v>144</v>
      </c>
      <c r="K15" s="13" t="s">
        <v>88</v>
      </c>
      <c r="L15">
        <f>IF(COUNTIF(A$2:A15, A15)=1, IF(COUNTIF(A$2:A$2001, A15)&gt;1, 1, 0), 0)</f>
        <v>0</v>
      </c>
      <c r="M15" t="b">
        <f>VLOOKUP(D15, Products!A$2:F$61, 6, FALSE)</f>
        <v>1</v>
      </c>
      <c r="N15" t="str">
        <f>VLOOKUP(D15, Products!A$2:C$61, 3, FALSE)</f>
        <v>Home</v>
      </c>
      <c r="O15" t="str">
        <f>VLOOKUP(C15, Customers!A$2:E$301, 5, FALSE)</f>
        <v>SMB</v>
      </c>
      <c r="P15">
        <f>VLOOKUP(C15, Customers!A$2:C$301, 3, FALSE)</f>
        <v>39</v>
      </c>
      <c r="Q15" t="str">
        <f>VLOOKUP(E15, Sales_Reps!A$2:C$31, 3, FALSE)</f>
        <v>West</v>
      </c>
      <c r="R15">
        <f>VLOOKUP(D15, Products!A$2:D$61, 4, FALSE)</f>
        <v>1556</v>
      </c>
    </row>
    <row r="16" spans="1:18" x14ac:dyDescent="0.3">
      <c r="A16" s="13" t="s">
        <v>145</v>
      </c>
      <c r="B16" s="14">
        <v>45365</v>
      </c>
      <c r="C16" s="13" t="s">
        <v>146</v>
      </c>
      <c r="D16" s="13" t="s">
        <v>147</v>
      </c>
      <c r="E16" s="13" t="s">
        <v>148</v>
      </c>
      <c r="F16" s="15">
        <v>1</v>
      </c>
      <c r="G16" s="15">
        <v>190</v>
      </c>
      <c r="H16" s="15">
        <v>20.7</v>
      </c>
      <c r="I16" s="15">
        <v>150.66999999999999</v>
      </c>
      <c r="J16" s="13" t="s">
        <v>87</v>
      </c>
      <c r="K16" s="13" t="s">
        <v>88</v>
      </c>
      <c r="L16">
        <f>IF(COUNTIF(A$2:A16, A16)=1, IF(COUNTIF(A$2:A$2001, A16)&gt;1, 1, 0), 0)</f>
        <v>0</v>
      </c>
      <c r="M16" t="b">
        <f>VLOOKUP(D16, Products!A$2:F$61, 6, FALSE)</f>
        <v>1</v>
      </c>
      <c r="N16" t="str">
        <f>VLOOKUP(D16, Products!A$2:C$61, 3, FALSE)</f>
        <v>Sports</v>
      </c>
      <c r="O16" t="str">
        <f>VLOOKUP(C16, Customers!A$2:E$301, 5, FALSE)</f>
        <v>Retail</v>
      </c>
      <c r="P16">
        <f>VLOOKUP(C16, Customers!A$2:C$301, 3, FALSE)</f>
        <v>38</v>
      </c>
      <c r="Q16" t="str">
        <f>VLOOKUP(E16, Sales_Reps!A$2:C$31, 3, FALSE)</f>
        <v>North</v>
      </c>
      <c r="R16">
        <f>VLOOKUP(D16, Products!A$2:D$61, 4, FALSE)</f>
        <v>147</v>
      </c>
    </row>
    <row r="17" spans="1:18" x14ac:dyDescent="0.3">
      <c r="A17" s="13" t="s">
        <v>149</v>
      </c>
      <c r="B17" s="14">
        <v>45546</v>
      </c>
      <c r="C17" s="13" t="s">
        <v>150</v>
      </c>
      <c r="D17" s="13" t="s">
        <v>151</v>
      </c>
      <c r="E17" s="13" t="s">
        <v>98</v>
      </c>
      <c r="F17" s="15">
        <v>7</v>
      </c>
      <c r="G17" s="15">
        <v>2400</v>
      </c>
      <c r="H17" s="15">
        <v>10.199999999999999</v>
      </c>
      <c r="I17" s="15">
        <v>15086.4</v>
      </c>
      <c r="J17" s="13" t="s">
        <v>93</v>
      </c>
      <c r="K17" s="13" t="s">
        <v>88</v>
      </c>
      <c r="L17">
        <f>IF(COUNTIF(A$2:A17, A17)=1, IF(COUNTIF(A$2:A$2001, A17)&gt;1, 1, 0), 0)</f>
        <v>0</v>
      </c>
      <c r="M17" t="b">
        <f>VLOOKUP(D17, Products!A$2:F$61, 6, FALSE)</f>
        <v>1</v>
      </c>
      <c r="N17" t="str">
        <f>VLOOKUP(D17, Products!A$2:C$61, 3, FALSE)</f>
        <v>Sports</v>
      </c>
      <c r="O17" t="str">
        <f>VLOOKUP(C17, Customers!A$2:E$301, 5, FALSE)</f>
        <v>Retail</v>
      </c>
      <c r="P17">
        <f>VLOOKUP(C17, Customers!A$2:C$301, 3, FALSE)</f>
        <v>63</v>
      </c>
      <c r="Q17" t="str">
        <f>VLOOKUP(E17, Sales_Reps!A$2:C$31, 3, FALSE)</f>
        <v>South</v>
      </c>
      <c r="R17">
        <f>VLOOKUP(D17, Products!A$2:D$61, 4, FALSE)</f>
        <v>974</v>
      </c>
    </row>
    <row r="18" spans="1:18" x14ac:dyDescent="0.3">
      <c r="A18" s="13" t="s">
        <v>152</v>
      </c>
      <c r="B18" s="14">
        <v>45512</v>
      </c>
      <c r="C18" s="13" t="s">
        <v>153</v>
      </c>
      <c r="D18" s="13" t="s">
        <v>102</v>
      </c>
      <c r="E18" s="13" t="s">
        <v>154</v>
      </c>
      <c r="F18" s="15">
        <v>4</v>
      </c>
      <c r="G18" s="15">
        <v>3660</v>
      </c>
      <c r="H18" s="15">
        <v>2.6</v>
      </c>
      <c r="I18" s="15">
        <v>14259.36</v>
      </c>
      <c r="J18" s="13" t="s">
        <v>87</v>
      </c>
      <c r="K18" s="13" t="s">
        <v>117</v>
      </c>
      <c r="L18">
        <f>IF(COUNTIF(A$2:A18, A18)=1, IF(COUNTIF(A$2:A$2001, A18)&gt;1, 1, 0), 0)</f>
        <v>0</v>
      </c>
      <c r="M18" t="b">
        <f>VLOOKUP(D18, Products!A$2:F$61, 6, FALSE)</f>
        <v>0</v>
      </c>
      <c r="N18" t="str">
        <f>VLOOKUP(D18, Products!A$2:C$61, 3, FALSE)</f>
        <v>Grocery</v>
      </c>
      <c r="O18" t="str">
        <f>VLOOKUP(C18, Customers!A$2:E$301, 5, FALSE)</f>
        <v>SMB</v>
      </c>
      <c r="P18">
        <f>VLOOKUP(C18, Customers!A$2:C$301, 3, FALSE)</f>
        <v>46</v>
      </c>
      <c r="Q18" t="str">
        <f>VLOOKUP(E18, Sales_Reps!A$2:C$31, 3, FALSE)</f>
        <v>East</v>
      </c>
      <c r="R18">
        <f>VLOOKUP(D18, Products!A$2:D$61, 4, FALSE)</f>
        <v>2214</v>
      </c>
    </row>
    <row r="19" spans="1:18" x14ac:dyDescent="0.3">
      <c r="A19" s="13" t="s">
        <v>155</v>
      </c>
      <c r="B19" s="14">
        <v>45654</v>
      </c>
      <c r="C19" s="13" t="s">
        <v>156</v>
      </c>
      <c r="D19" s="13" t="s">
        <v>157</v>
      </c>
      <c r="E19" s="13" t="s">
        <v>158</v>
      </c>
      <c r="F19" s="15">
        <v>8</v>
      </c>
      <c r="G19" s="15">
        <v>3450</v>
      </c>
      <c r="H19" s="15">
        <v>18.5</v>
      </c>
      <c r="I19" s="15">
        <v>22494</v>
      </c>
      <c r="J19" s="13" t="s">
        <v>87</v>
      </c>
      <c r="K19" s="13" t="s">
        <v>133</v>
      </c>
      <c r="L19">
        <f>IF(COUNTIF(A$2:A19, A19)=1, IF(COUNTIF(A$2:A$2001, A19)&gt;1, 1, 0), 0)</f>
        <v>0</v>
      </c>
      <c r="M19" t="b">
        <f>VLOOKUP(D19, Products!A$2:F$61, 6, FALSE)</f>
        <v>1</v>
      </c>
      <c r="N19" t="str">
        <f>VLOOKUP(D19, Products!A$2:C$61, 3, FALSE)</f>
        <v>Beauty</v>
      </c>
      <c r="O19" t="str">
        <f>VLOOKUP(C19, Customers!A$2:E$301, 5, FALSE)</f>
        <v>Corporate</v>
      </c>
      <c r="P19">
        <f>VLOOKUP(C19, Customers!A$2:C$301, 3, FALSE)</f>
        <v>32</v>
      </c>
      <c r="Q19" t="str">
        <f>VLOOKUP(E19, Sales_Reps!A$2:C$31, 3, FALSE)</f>
        <v>East</v>
      </c>
      <c r="R19">
        <f>VLOOKUP(D19, Products!A$2:D$61, 4, FALSE)</f>
        <v>2420</v>
      </c>
    </row>
    <row r="20" spans="1:18" x14ac:dyDescent="0.3">
      <c r="A20" s="13" t="s">
        <v>159</v>
      </c>
      <c r="B20" s="14">
        <v>45626</v>
      </c>
      <c r="C20" s="13" t="s">
        <v>160</v>
      </c>
      <c r="D20" s="13" t="s">
        <v>161</v>
      </c>
      <c r="E20" s="13" t="s">
        <v>154</v>
      </c>
      <c r="F20" s="15">
        <v>5</v>
      </c>
      <c r="G20" s="15">
        <v>3450</v>
      </c>
      <c r="H20" s="15">
        <v>7.3</v>
      </c>
      <c r="I20" s="15">
        <v>15990.75</v>
      </c>
      <c r="J20" s="13" t="s">
        <v>87</v>
      </c>
      <c r="K20" s="13" t="s">
        <v>112</v>
      </c>
      <c r="L20">
        <f>IF(COUNTIF(A$2:A20, A20)=1, IF(COUNTIF(A$2:A$2001, A20)&gt;1, 1, 0), 0)</f>
        <v>0</v>
      </c>
      <c r="M20" t="b">
        <f>VLOOKUP(D20, Products!A$2:F$61, 6, FALSE)</f>
        <v>1</v>
      </c>
      <c r="N20" t="str">
        <f>VLOOKUP(D20, Products!A$2:C$61, 3, FALSE)</f>
        <v>Sports</v>
      </c>
      <c r="O20" t="str">
        <f>VLOOKUP(C20, Customers!A$2:E$301, 5, FALSE)</f>
        <v>Retail</v>
      </c>
      <c r="P20">
        <f>VLOOKUP(C20, Customers!A$2:C$301, 3, FALSE)</f>
        <v>54</v>
      </c>
      <c r="Q20" t="str">
        <f>VLOOKUP(E20, Sales_Reps!A$2:C$31, 3, FALSE)</f>
        <v>East</v>
      </c>
      <c r="R20">
        <f>VLOOKUP(D20, Products!A$2:D$61, 4, FALSE)</f>
        <v>2467</v>
      </c>
    </row>
    <row r="21" spans="1:18" x14ac:dyDescent="0.3">
      <c r="A21" s="13" t="s">
        <v>162</v>
      </c>
      <c r="B21" s="14">
        <v>45394</v>
      </c>
      <c r="C21" s="13" t="s">
        <v>163</v>
      </c>
      <c r="D21" s="13" t="s">
        <v>164</v>
      </c>
      <c r="E21" s="13" t="s">
        <v>154</v>
      </c>
      <c r="F21" s="15">
        <v>8</v>
      </c>
      <c r="G21" s="15">
        <v>1080</v>
      </c>
      <c r="H21" s="15">
        <v>2.2000000000000002</v>
      </c>
      <c r="I21" s="15">
        <v>8449.92</v>
      </c>
      <c r="J21" s="13" t="s">
        <v>87</v>
      </c>
      <c r="K21" s="13" t="s">
        <v>94</v>
      </c>
      <c r="L21">
        <f>IF(COUNTIF(A$2:A21, A21)=1, IF(COUNTIF(A$2:A$2001, A21)&gt;1, 1, 0), 0)</f>
        <v>0</v>
      </c>
      <c r="M21" t="b">
        <f>VLOOKUP(D21, Products!A$2:F$61, 6, FALSE)</f>
        <v>1</v>
      </c>
      <c r="N21" t="str">
        <f>VLOOKUP(D21, Products!A$2:C$61, 3, FALSE)</f>
        <v>Home</v>
      </c>
      <c r="O21" t="str">
        <f>VLOOKUP(C21, Customers!A$2:E$301, 5, FALSE)</f>
        <v>Retail</v>
      </c>
      <c r="P21">
        <f>VLOOKUP(C21, Customers!A$2:C$301, 3, FALSE)</f>
        <v>49</v>
      </c>
      <c r="Q21" t="str">
        <f>VLOOKUP(E21, Sales_Reps!A$2:C$31, 3, FALSE)</f>
        <v>East</v>
      </c>
      <c r="R21">
        <f>VLOOKUP(D21, Products!A$2:D$61, 4, FALSE)</f>
        <v>519</v>
      </c>
    </row>
    <row r="22" spans="1:18" x14ac:dyDescent="0.3">
      <c r="A22" s="13" t="s">
        <v>165</v>
      </c>
      <c r="B22" s="14">
        <v>45470</v>
      </c>
      <c r="C22" s="13" t="s">
        <v>166</v>
      </c>
      <c r="D22" s="13" t="s">
        <v>167</v>
      </c>
      <c r="E22" s="13" t="s">
        <v>103</v>
      </c>
      <c r="F22" s="15">
        <v>7</v>
      </c>
      <c r="G22" s="15">
        <v>2480</v>
      </c>
      <c r="H22" s="15">
        <v>28.7</v>
      </c>
      <c r="I22" s="15">
        <v>12377.68</v>
      </c>
      <c r="J22" s="13" t="s">
        <v>87</v>
      </c>
      <c r="K22" s="13" t="s">
        <v>133</v>
      </c>
      <c r="L22">
        <f>IF(COUNTIF(A$2:A22, A22)=1, IF(COUNTIF(A$2:A$2001, A22)&gt;1, 1, 0), 0)</f>
        <v>0</v>
      </c>
      <c r="M22" t="b">
        <f>VLOOKUP(D22, Products!A$2:F$61, 6, FALSE)</f>
        <v>1</v>
      </c>
      <c r="N22" t="str">
        <f>VLOOKUP(D22, Products!A$2:C$61, 3, FALSE)</f>
        <v>Apparel</v>
      </c>
      <c r="O22" t="str">
        <f>VLOOKUP(C22, Customers!A$2:E$301, 5, FALSE)</f>
        <v>Retail</v>
      </c>
      <c r="P22">
        <f>VLOOKUP(C22, Customers!A$2:C$301, 3, FALSE)</f>
        <v>32</v>
      </c>
      <c r="Q22" t="str">
        <f>VLOOKUP(E22, Sales_Reps!A$2:C$31, 3, FALSE)</f>
        <v>North</v>
      </c>
      <c r="R22">
        <f>VLOOKUP(D22, Products!A$2:D$61, 4, FALSE)</f>
        <v>1173</v>
      </c>
    </row>
    <row r="23" spans="1:18" x14ac:dyDescent="0.3">
      <c r="A23" s="13" t="s">
        <v>168</v>
      </c>
      <c r="B23" s="14">
        <v>45354</v>
      </c>
      <c r="C23" s="13" t="s">
        <v>169</v>
      </c>
      <c r="D23" s="13" t="s">
        <v>143</v>
      </c>
      <c r="E23" s="13" t="s">
        <v>170</v>
      </c>
      <c r="F23" s="15">
        <v>4</v>
      </c>
      <c r="G23" s="15">
        <v>3250</v>
      </c>
      <c r="H23" s="15">
        <v>24.6</v>
      </c>
      <c r="I23" s="15">
        <v>9802</v>
      </c>
      <c r="J23" s="13" t="s">
        <v>87</v>
      </c>
      <c r="K23" s="13" t="s">
        <v>112</v>
      </c>
      <c r="L23">
        <f>IF(COUNTIF(A$2:A23, A23)=1, IF(COUNTIF(A$2:A$2001, A23)&gt;1, 1, 0), 0)</f>
        <v>0</v>
      </c>
      <c r="M23" t="b">
        <f>VLOOKUP(D23, Products!A$2:F$61, 6, FALSE)</f>
        <v>1</v>
      </c>
      <c r="N23" t="str">
        <f>VLOOKUP(D23, Products!A$2:C$61, 3, FALSE)</f>
        <v>Home</v>
      </c>
      <c r="O23" t="str">
        <f>VLOOKUP(C23, Customers!A$2:E$301, 5, FALSE)</f>
        <v>Retail</v>
      </c>
      <c r="P23">
        <f>VLOOKUP(C23, Customers!A$2:C$301, 3, FALSE)</f>
        <v>34</v>
      </c>
      <c r="Q23" t="str">
        <f>VLOOKUP(E23, Sales_Reps!A$2:C$31, 3, FALSE)</f>
        <v>West</v>
      </c>
      <c r="R23">
        <f>VLOOKUP(D23, Products!A$2:D$61, 4, FALSE)</f>
        <v>1556</v>
      </c>
    </row>
    <row r="24" spans="1:18" x14ac:dyDescent="0.3">
      <c r="A24" s="13" t="s">
        <v>171</v>
      </c>
      <c r="B24" s="14">
        <v>45530</v>
      </c>
      <c r="C24" s="13" t="s">
        <v>172</v>
      </c>
      <c r="D24" s="13" t="s">
        <v>173</v>
      </c>
      <c r="E24" s="13" t="s">
        <v>170</v>
      </c>
      <c r="F24" s="15">
        <v>9</v>
      </c>
      <c r="G24" s="15">
        <v>2720</v>
      </c>
      <c r="H24" s="15">
        <v>26.2</v>
      </c>
      <c r="I24" s="15">
        <v>18066.240000000002</v>
      </c>
      <c r="J24" s="13" t="s">
        <v>87</v>
      </c>
      <c r="K24" s="13" t="s">
        <v>88</v>
      </c>
      <c r="L24">
        <f>IF(COUNTIF(A$2:A24, A24)=1, IF(COUNTIF(A$2:A$2001, A24)&gt;1, 1, 0), 0)</f>
        <v>0</v>
      </c>
      <c r="M24" t="b">
        <f>VLOOKUP(D24, Products!A$2:F$61, 6, FALSE)</f>
        <v>1</v>
      </c>
      <c r="N24" t="str">
        <f>VLOOKUP(D24, Products!A$2:C$61, 3, FALSE)</f>
        <v>Apparel</v>
      </c>
      <c r="O24" t="str">
        <f>VLOOKUP(C24, Customers!A$2:E$301, 5, FALSE)</f>
        <v>Retail</v>
      </c>
      <c r="P24">
        <f>VLOOKUP(C24, Customers!A$2:C$301, 3, FALSE)</f>
        <v>50</v>
      </c>
      <c r="Q24" t="str">
        <f>VLOOKUP(E24, Sales_Reps!A$2:C$31, 3, FALSE)</f>
        <v>West</v>
      </c>
      <c r="R24">
        <f>VLOOKUP(D24, Products!A$2:D$61, 4, FALSE)</f>
        <v>1962</v>
      </c>
    </row>
    <row r="25" spans="1:18" x14ac:dyDescent="0.3">
      <c r="A25" s="13" t="s">
        <v>174</v>
      </c>
      <c r="B25" s="14">
        <v>45472</v>
      </c>
      <c r="C25" s="13" t="s">
        <v>175</v>
      </c>
      <c r="D25" s="13" t="s">
        <v>176</v>
      </c>
      <c r="E25" s="13" t="s">
        <v>148</v>
      </c>
      <c r="F25" s="15">
        <v>2</v>
      </c>
      <c r="G25" s="15">
        <v>1650</v>
      </c>
      <c r="H25" s="15">
        <v>9.4</v>
      </c>
      <c r="I25" s="15">
        <v>2989.8</v>
      </c>
      <c r="J25" s="13" t="s">
        <v>87</v>
      </c>
      <c r="K25" s="13" t="s">
        <v>133</v>
      </c>
      <c r="L25">
        <f>IF(COUNTIF(A$2:A25, A25)=1, IF(COUNTIF(A$2:A$2001, A25)&gt;1, 1, 0), 0)</f>
        <v>0</v>
      </c>
      <c r="M25" t="b">
        <f>VLOOKUP(D25, Products!A$2:F$61, 6, FALSE)</f>
        <v>1</v>
      </c>
      <c r="N25" t="str">
        <f>VLOOKUP(D25, Products!A$2:C$61, 3, FALSE)</f>
        <v>Beauty</v>
      </c>
      <c r="O25" t="str">
        <f>VLOOKUP(C25, Customers!A$2:E$301, 5, FALSE)</f>
        <v>SMB</v>
      </c>
      <c r="P25">
        <f>VLOOKUP(C25, Customers!A$2:C$301, 3, FALSE)</f>
        <v>40</v>
      </c>
      <c r="Q25" t="str">
        <f>VLOOKUP(E25, Sales_Reps!A$2:C$31, 3, FALSE)</f>
        <v>North</v>
      </c>
      <c r="R25">
        <f>VLOOKUP(D25, Products!A$2:D$61, 4, FALSE)</f>
        <v>1222</v>
      </c>
    </row>
    <row r="26" spans="1:18" x14ac:dyDescent="0.3">
      <c r="A26" s="13" t="s">
        <v>177</v>
      </c>
      <c r="B26" s="14">
        <v>45394</v>
      </c>
      <c r="C26" s="13" t="s">
        <v>178</v>
      </c>
      <c r="D26" s="13" t="s">
        <v>179</v>
      </c>
      <c r="E26" s="13" t="s">
        <v>154</v>
      </c>
      <c r="F26" s="15">
        <v>6</v>
      </c>
      <c r="G26" s="15">
        <v>3350</v>
      </c>
      <c r="H26" s="15">
        <v>6.1</v>
      </c>
      <c r="I26" s="15">
        <v>18873.900000000001</v>
      </c>
      <c r="J26" s="13" t="s">
        <v>93</v>
      </c>
      <c r="K26" s="13" t="s">
        <v>94</v>
      </c>
      <c r="L26">
        <f>IF(COUNTIF(A$2:A26, A26)=1, IF(COUNTIF(A$2:A$2001, A26)&gt;1, 1, 0), 0)</f>
        <v>0</v>
      </c>
      <c r="M26" t="b">
        <f>VLOOKUP(D26, Products!A$2:F$61, 6, FALSE)</f>
        <v>1</v>
      </c>
      <c r="N26" t="str">
        <f>VLOOKUP(D26, Products!A$2:C$61, 3, FALSE)</f>
        <v>Beauty</v>
      </c>
      <c r="O26" t="str">
        <f>VLOOKUP(C26, Customers!A$2:E$301, 5, FALSE)</f>
        <v>Corporate</v>
      </c>
      <c r="P26">
        <f>VLOOKUP(C26, Customers!A$2:C$301, 3, FALSE)</f>
        <v>55</v>
      </c>
      <c r="Q26" t="str">
        <f>VLOOKUP(E26, Sales_Reps!A$2:C$31, 3, FALSE)</f>
        <v>East</v>
      </c>
      <c r="R26">
        <f>VLOOKUP(D26, Products!A$2:D$61, 4, FALSE)</f>
        <v>1728</v>
      </c>
    </row>
    <row r="27" spans="1:18" x14ac:dyDescent="0.3">
      <c r="A27" s="13" t="s">
        <v>180</v>
      </c>
      <c r="B27" s="14">
        <v>45570</v>
      </c>
      <c r="C27" s="13" t="s">
        <v>181</v>
      </c>
      <c r="D27" s="13" t="s">
        <v>182</v>
      </c>
      <c r="E27" s="13" t="s">
        <v>121</v>
      </c>
      <c r="F27" s="15">
        <v>2</v>
      </c>
      <c r="G27" s="15">
        <v>1010</v>
      </c>
      <c r="H27" s="15">
        <v>16.5</v>
      </c>
      <c r="I27" s="15">
        <v>1686.7</v>
      </c>
      <c r="J27" s="13" t="s">
        <v>140</v>
      </c>
      <c r="K27" s="13" t="s">
        <v>99</v>
      </c>
      <c r="L27">
        <f>IF(COUNTIF(A$2:A27, A27)=1, IF(COUNTIF(A$2:A$2001, A27)&gt;1, 1, 0), 0)</f>
        <v>0</v>
      </c>
      <c r="M27" t="b">
        <f>VLOOKUP(D27, Products!A$2:F$61, 6, FALSE)</f>
        <v>1</v>
      </c>
      <c r="N27" t="str">
        <f>VLOOKUP(D27, Products!A$2:C$61, 3, FALSE)</f>
        <v>Sports</v>
      </c>
      <c r="O27" t="str">
        <f>VLOOKUP(C27, Customers!A$2:E$301, 5, FALSE)</f>
        <v>Retail</v>
      </c>
      <c r="P27">
        <f>VLOOKUP(C27, Customers!A$2:C$301, 3, FALSE)</f>
        <v>31</v>
      </c>
      <c r="Q27" t="str">
        <f>VLOOKUP(E27, Sales_Reps!A$2:C$31, 3, FALSE)</f>
        <v>East</v>
      </c>
      <c r="R27">
        <f>VLOOKUP(D27, Products!A$2:D$61, 4, FALSE)</f>
        <v>516</v>
      </c>
    </row>
    <row r="28" spans="1:18" x14ac:dyDescent="0.3">
      <c r="A28" s="13" t="s">
        <v>183</v>
      </c>
      <c r="B28" s="14">
        <v>45401</v>
      </c>
      <c r="C28" s="13" t="s">
        <v>96</v>
      </c>
      <c r="D28" s="13" t="s">
        <v>184</v>
      </c>
      <c r="E28" s="13" t="s">
        <v>103</v>
      </c>
      <c r="F28" s="15">
        <v>5</v>
      </c>
      <c r="G28" s="15">
        <v>4880</v>
      </c>
      <c r="H28" s="15">
        <v>23.6</v>
      </c>
      <c r="I28" s="15">
        <v>18641.599999999999</v>
      </c>
      <c r="J28" s="13" t="s">
        <v>87</v>
      </c>
      <c r="K28" s="13" t="s">
        <v>99</v>
      </c>
      <c r="L28">
        <f>IF(COUNTIF(A$2:A28, A28)=1, IF(COUNTIF(A$2:A$2001, A28)&gt;1, 1, 0), 0)</f>
        <v>0</v>
      </c>
      <c r="M28" t="b">
        <f>VLOOKUP(D28, Products!A$2:F$61, 6, FALSE)</f>
        <v>1</v>
      </c>
      <c r="N28" t="str">
        <f>VLOOKUP(D28, Products!A$2:C$61, 3, FALSE)</f>
        <v>Beauty</v>
      </c>
      <c r="O28" t="str">
        <f>VLOOKUP(C28, Customers!A$2:E$301, 5, FALSE)</f>
        <v>Retail</v>
      </c>
      <c r="P28">
        <f>VLOOKUP(C28, Customers!A$2:C$301, 3, FALSE)</f>
        <v>52</v>
      </c>
      <c r="Q28" t="str">
        <f>VLOOKUP(E28, Sales_Reps!A$2:C$31, 3, FALSE)</f>
        <v>North</v>
      </c>
      <c r="R28">
        <f>VLOOKUP(D28, Products!A$2:D$61, 4, FALSE)</f>
        <v>2768</v>
      </c>
    </row>
    <row r="29" spans="1:18" x14ac:dyDescent="0.3">
      <c r="A29" s="13" t="s">
        <v>185</v>
      </c>
      <c r="B29" s="14">
        <v>45517</v>
      </c>
      <c r="C29" s="13" t="s">
        <v>186</v>
      </c>
      <c r="D29" s="13" t="s">
        <v>187</v>
      </c>
      <c r="E29" s="13" t="s">
        <v>188</v>
      </c>
      <c r="F29" s="15">
        <v>7</v>
      </c>
      <c r="G29" s="15">
        <v>3570</v>
      </c>
      <c r="H29" s="15">
        <v>5.8</v>
      </c>
      <c r="I29" s="15">
        <v>23540.58</v>
      </c>
      <c r="J29" s="13" t="s">
        <v>140</v>
      </c>
      <c r="K29" s="13" t="s">
        <v>94</v>
      </c>
      <c r="L29">
        <f>IF(COUNTIF(A$2:A29, A29)=1, IF(COUNTIF(A$2:A$2001, A29)&gt;1, 1, 0), 0)</f>
        <v>0</v>
      </c>
      <c r="M29" t="b">
        <f>VLOOKUP(D29, Products!A$2:F$61, 6, FALSE)</f>
        <v>1</v>
      </c>
      <c r="N29" t="str">
        <f>VLOOKUP(D29, Products!A$2:C$61, 3, FALSE)</f>
        <v>Electronics</v>
      </c>
      <c r="O29" t="str">
        <f>VLOOKUP(C29, Customers!A$2:E$301, 5, FALSE)</f>
        <v>SMB</v>
      </c>
      <c r="P29">
        <f>VLOOKUP(C29, Customers!A$2:C$301, 3, FALSE)</f>
        <v>52</v>
      </c>
      <c r="Q29" t="str">
        <f>VLOOKUP(E29, Sales_Reps!A$2:C$31, 3, FALSE)</f>
        <v>South</v>
      </c>
      <c r="R29">
        <f>VLOOKUP(D29, Products!A$2:D$61, 4, FALSE)</f>
        <v>1665</v>
      </c>
    </row>
    <row r="30" spans="1:18" x14ac:dyDescent="0.3">
      <c r="A30" s="13" t="s">
        <v>189</v>
      </c>
      <c r="B30" s="14">
        <v>45363</v>
      </c>
      <c r="C30" s="13" t="s">
        <v>190</v>
      </c>
      <c r="D30" s="13" t="s">
        <v>191</v>
      </c>
      <c r="E30" s="13" t="s">
        <v>192</v>
      </c>
      <c r="F30" s="15">
        <v>9</v>
      </c>
      <c r="G30" s="15">
        <v>5100</v>
      </c>
      <c r="H30" s="15">
        <v>16.7</v>
      </c>
      <c r="I30" s="15">
        <v>38234.699999999997</v>
      </c>
      <c r="J30" s="13" t="s">
        <v>87</v>
      </c>
      <c r="K30" s="13" t="s">
        <v>133</v>
      </c>
      <c r="L30">
        <f>IF(COUNTIF(A$2:A30, A30)=1, IF(COUNTIF(A$2:A$2001, A30)&gt;1, 1, 0), 0)</f>
        <v>0</v>
      </c>
      <c r="M30" t="b">
        <f>VLOOKUP(D30, Products!A$2:F$61, 6, FALSE)</f>
        <v>1</v>
      </c>
      <c r="N30" t="str">
        <f>VLOOKUP(D30, Products!A$2:C$61, 3, FALSE)</f>
        <v>Beauty</v>
      </c>
      <c r="O30" t="str">
        <f>VLOOKUP(C30, Customers!A$2:E$301, 5, FALSE)</f>
        <v>Corporate</v>
      </c>
      <c r="P30">
        <f>VLOOKUP(C30, Customers!A$2:C$301, 3, FALSE)</f>
        <v>56</v>
      </c>
      <c r="Q30" t="str">
        <f>VLOOKUP(E30, Sales_Reps!A$2:C$31, 3, FALSE)</f>
        <v>East</v>
      </c>
      <c r="R30">
        <f>VLOOKUP(D30, Products!A$2:D$61, 4, FALSE)</f>
        <v>2237</v>
      </c>
    </row>
    <row r="31" spans="1:18" x14ac:dyDescent="0.3">
      <c r="A31" s="13" t="s">
        <v>193</v>
      </c>
      <c r="B31" s="14">
        <v>45367</v>
      </c>
      <c r="C31" s="13" t="s">
        <v>194</v>
      </c>
      <c r="D31" s="13" t="s">
        <v>195</v>
      </c>
      <c r="E31" s="13" t="s">
        <v>92</v>
      </c>
      <c r="F31" s="15">
        <v>3</v>
      </c>
      <c r="G31" s="15">
        <v>2860</v>
      </c>
      <c r="H31" s="15">
        <v>25.8</v>
      </c>
      <c r="I31" s="15">
        <v>6366.36</v>
      </c>
      <c r="J31" s="13" t="s">
        <v>87</v>
      </c>
      <c r="K31" s="13" t="s">
        <v>88</v>
      </c>
      <c r="L31">
        <f>IF(COUNTIF(A$2:A31, A31)=1, IF(COUNTIF(A$2:A$2001, A31)&gt;1, 1, 0), 0)</f>
        <v>0</v>
      </c>
      <c r="M31" t="b">
        <f>VLOOKUP(D31, Products!A$2:F$61, 6, FALSE)</f>
        <v>1</v>
      </c>
      <c r="N31" t="str">
        <f>VLOOKUP(D31, Products!A$2:C$61, 3, FALSE)</f>
        <v>Sports</v>
      </c>
      <c r="O31" t="str">
        <f>VLOOKUP(C31, Customers!A$2:E$301, 5, FALSE)</f>
        <v>SMB</v>
      </c>
      <c r="P31">
        <f>VLOOKUP(C31, Customers!A$2:C$301, 3, FALSE)</f>
        <v>44</v>
      </c>
      <c r="Q31" t="str">
        <f>VLOOKUP(E31, Sales_Reps!A$2:C$31, 3, FALSE)</f>
        <v>North</v>
      </c>
      <c r="R31">
        <f>VLOOKUP(D31, Products!A$2:D$61, 4, FALSE)</f>
        <v>2028</v>
      </c>
    </row>
    <row r="32" spans="1:18" x14ac:dyDescent="0.3">
      <c r="A32" s="13" t="s">
        <v>196</v>
      </c>
      <c r="B32" s="14">
        <v>45569</v>
      </c>
      <c r="C32" s="13" t="s">
        <v>197</v>
      </c>
      <c r="D32" s="13" t="s">
        <v>127</v>
      </c>
      <c r="E32" s="13" t="s">
        <v>103</v>
      </c>
      <c r="F32" s="15">
        <v>7</v>
      </c>
      <c r="G32" s="15">
        <v>970</v>
      </c>
      <c r="H32" s="15">
        <v>29.8</v>
      </c>
      <c r="I32" s="15">
        <v>4766.58</v>
      </c>
      <c r="J32" s="13" t="s">
        <v>87</v>
      </c>
      <c r="K32" s="13" t="s">
        <v>88</v>
      </c>
      <c r="L32">
        <f>IF(COUNTIF(A$2:A32, A32)=1, IF(COUNTIF(A$2:A$2001, A32)&gt;1, 1, 0), 0)</f>
        <v>0</v>
      </c>
      <c r="M32" t="b">
        <f>VLOOKUP(D32, Products!A$2:F$61, 6, FALSE)</f>
        <v>1</v>
      </c>
      <c r="N32" t="str">
        <f>VLOOKUP(D32, Products!A$2:C$61, 3, FALSE)</f>
        <v>Grocery</v>
      </c>
      <c r="O32" t="str">
        <f>VLOOKUP(C32, Customers!A$2:E$301, 5, FALSE)</f>
        <v>Corporate</v>
      </c>
      <c r="P32">
        <f>VLOOKUP(C32, Customers!A$2:C$301, 3, FALSE)</f>
        <v>47</v>
      </c>
      <c r="Q32" t="str">
        <f>VLOOKUP(E32, Sales_Reps!A$2:C$31, 3, FALSE)</f>
        <v>North</v>
      </c>
      <c r="R32">
        <f>VLOOKUP(D32, Products!A$2:D$61, 4, FALSE)</f>
        <v>434</v>
      </c>
    </row>
    <row r="33" spans="1:18" x14ac:dyDescent="0.3">
      <c r="A33" s="13" t="s">
        <v>198</v>
      </c>
      <c r="B33" s="14">
        <v>45641</v>
      </c>
      <c r="C33" s="13" t="s">
        <v>199</v>
      </c>
      <c r="D33" s="13" t="s">
        <v>200</v>
      </c>
      <c r="E33" s="13" t="s">
        <v>201</v>
      </c>
      <c r="F33" s="15">
        <v>4</v>
      </c>
      <c r="G33" s="15">
        <v>2760</v>
      </c>
      <c r="H33" s="15">
        <v>5.9</v>
      </c>
      <c r="I33" s="15">
        <v>10388.64</v>
      </c>
      <c r="J33" s="13" t="s">
        <v>87</v>
      </c>
      <c r="K33" s="13" t="s">
        <v>133</v>
      </c>
      <c r="L33">
        <f>IF(COUNTIF(A$2:A33, A33)=1, IF(COUNTIF(A$2:A$2001, A33)&gt;1, 1, 0), 0)</f>
        <v>0</v>
      </c>
      <c r="M33" t="b">
        <f>VLOOKUP(D33, Products!A$2:F$61, 6, FALSE)</f>
        <v>1</v>
      </c>
      <c r="N33" t="str">
        <f>VLOOKUP(D33, Products!A$2:C$61, 3, FALSE)</f>
        <v>Grocery</v>
      </c>
      <c r="O33" t="str">
        <f>VLOOKUP(C33, Customers!A$2:E$301, 5, FALSE)</f>
        <v>Retail</v>
      </c>
      <c r="P33">
        <f>VLOOKUP(C33, Customers!A$2:C$301, 3, FALSE)</f>
        <v>53</v>
      </c>
      <c r="Q33" t="str">
        <f>VLOOKUP(E33, Sales_Reps!A$2:C$31, 3, FALSE)</f>
        <v>West</v>
      </c>
      <c r="R33">
        <f>VLOOKUP(D33, Products!A$2:D$61, 4, FALSE)</f>
        <v>1435</v>
      </c>
    </row>
    <row r="34" spans="1:18" x14ac:dyDescent="0.3">
      <c r="A34" s="13" t="s">
        <v>202</v>
      </c>
      <c r="B34" s="14">
        <v>45343</v>
      </c>
      <c r="C34" s="13" t="s">
        <v>156</v>
      </c>
      <c r="D34" s="13" t="s">
        <v>203</v>
      </c>
      <c r="E34" s="13" t="s">
        <v>204</v>
      </c>
      <c r="F34" s="15">
        <v>10</v>
      </c>
      <c r="G34" s="15">
        <v>660</v>
      </c>
      <c r="H34" s="15">
        <v>18.3</v>
      </c>
      <c r="I34" s="15">
        <v>5392.2</v>
      </c>
      <c r="J34" s="13" t="s">
        <v>93</v>
      </c>
      <c r="K34" s="13" t="s">
        <v>133</v>
      </c>
      <c r="L34">
        <f>IF(COUNTIF(A$2:A34, A34)=1, IF(COUNTIF(A$2:A$2001, A34)&gt;1, 1, 0), 0)</f>
        <v>0</v>
      </c>
      <c r="M34" t="b">
        <f>VLOOKUP(D34, Products!A$2:F$61, 6, FALSE)</f>
        <v>1</v>
      </c>
      <c r="N34" t="str">
        <f>VLOOKUP(D34, Products!A$2:C$61, 3, FALSE)</f>
        <v>Home</v>
      </c>
      <c r="O34" t="str">
        <f>VLOOKUP(C34, Customers!A$2:E$301, 5, FALSE)</f>
        <v>Corporate</v>
      </c>
      <c r="P34">
        <f>VLOOKUP(C34, Customers!A$2:C$301, 3, FALSE)</f>
        <v>32</v>
      </c>
      <c r="Q34" t="str">
        <f>VLOOKUP(E34, Sales_Reps!A$2:C$31, 3, FALSE)</f>
        <v>South</v>
      </c>
      <c r="R34">
        <f>VLOOKUP(D34, Products!A$2:D$61, 4, FALSE)</f>
        <v>329</v>
      </c>
    </row>
    <row r="35" spans="1:18" x14ac:dyDescent="0.3">
      <c r="A35" s="13" t="s">
        <v>205</v>
      </c>
      <c r="B35" s="14">
        <v>45576</v>
      </c>
      <c r="C35" s="13" t="s">
        <v>206</v>
      </c>
      <c r="D35" s="13" t="s">
        <v>143</v>
      </c>
      <c r="E35" s="13" t="s">
        <v>121</v>
      </c>
      <c r="F35" s="15">
        <v>1</v>
      </c>
      <c r="G35" s="15">
        <v>3250</v>
      </c>
      <c r="H35" s="15">
        <v>10.7</v>
      </c>
      <c r="I35" s="15">
        <v>2902.25</v>
      </c>
      <c r="J35" s="13" t="s">
        <v>87</v>
      </c>
      <c r="K35" s="13" t="s">
        <v>133</v>
      </c>
      <c r="L35">
        <f>IF(COUNTIF(A$2:A35, A35)=1, IF(COUNTIF(A$2:A$2001, A35)&gt;1, 1, 0), 0)</f>
        <v>0</v>
      </c>
      <c r="M35" t="b">
        <f>VLOOKUP(D35, Products!A$2:F$61, 6, FALSE)</f>
        <v>1</v>
      </c>
      <c r="N35" t="str">
        <f>VLOOKUP(D35, Products!A$2:C$61, 3, FALSE)</f>
        <v>Home</v>
      </c>
      <c r="O35" t="str">
        <f>VLOOKUP(C35, Customers!A$2:E$301, 5, FALSE)</f>
        <v>SMB</v>
      </c>
      <c r="P35">
        <f>VLOOKUP(C35, Customers!A$2:C$301, 3, FALSE)</f>
        <v>40</v>
      </c>
      <c r="Q35" t="str">
        <f>VLOOKUP(E35, Sales_Reps!A$2:C$31, 3, FALSE)</f>
        <v>East</v>
      </c>
      <c r="R35">
        <f>VLOOKUP(D35, Products!A$2:D$61, 4, FALSE)</f>
        <v>1556</v>
      </c>
    </row>
    <row r="36" spans="1:18" x14ac:dyDescent="0.3">
      <c r="A36" s="13" t="s">
        <v>207</v>
      </c>
      <c r="B36" s="14">
        <v>45462</v>
      </c>
      <c r="C36" s="13" t="s">
        <v>208</v>
      </c>
      <c r="D36" s="13" t="s">
        <v>191</v>
      </c>
      <c r="E36" s="13" t="s">
        <v>121</v>
      </c>
      <c r="F36" s="15">
        <v>8</v>
      </c>
      <c r="G36" s="15">
        <v>5100</v>
      </c>
      <c r="H36" s="15">
        <v>26.4</v>
      </c>
      <c r="I36" s="15">
        <v>30028.799999999999</v>
      </c>
      <c r="J36" s="13" t="s">
        <v>140</v>
      </c>
      <c r="K36" s="13" t="s">
        <v>133</v>
      </c>
      <c r="L36">
        <f>IF(COUNTIF(A$2:A36, A36)=1, IF(COUNTIF(A$2:A$2001, A36)&gt;1, 1, 0), 0)</f>
        <v>0</v>
      </c>
      <c r="M36" t="b">
        <f>VLOOKUP(D36, Products!A$2:F$61, 6, FALSE)</f>
        <v>1</v>
      </c>
      <c r="N36" t="str">
        <f>VLOOKUP(D36, Products!A$2:C$61, 3, FALSE)</f>
        <v>Beauty</v>
      </c>
      <c r="O36" t="str">
        <f>VLOOKUP(C36, Customers!A$2:E$301, 5, FALSE)</f>
        <v>Retail</v>
      </c>
      <c r="P36">
        <f>VLOOKUP(C36, Customers!A$2:C$301, 3, FALSE)</f>
        <v>26</v>
      </c>
      <c r="Q36" t="str">
        <f>VLOOKUP(E36, Sales_Reps!A$2:C$31, 3, FALSE)</f>
        <v>East</v>
      </c>
      <c r="R36">
        <f>VLOOKUP(D36, Products!A$2:D$61, 4, FALSE)</f>
        <v>2237</v>
      </c>
    </row>
    <row r="37" spans="1:18" x14ac:dyDescent="0.3">
      <c r="A37" s="13" t="s">
        <v>209</v>
      </c>
      <c r="B37" s="14">
        <v>45442</v>
      </c>
      <c r="C37" s="13" t="s">
        <v>210</v>
      </c>
      <c r="D37" s="13" t="s">
        <v>164</v>
      </c>
      <c r="E37" s="13" t="s">
        <v>158</v>
      </c>
      <c r="F37" s="15">
        <v>1</v>
      </c>
      <c r="G37" s="15">
        <v>1080</v>
      </c>
      <c r="H37" s="15">
        <v>5.0999999999999996</v>
      </c>
      <c r="I37" s="15">
        <v>1024.92</v>
      </c>
      <c r="J37" s="13" t="s">
        <v>87</v>
      </c>
      <c r="K37" s="13" t="s">
        <v>99</v>
      </c>
      <c r="L37">
        <f>IF(COUNTIF(A$2:A37, A37)=1, IF(COUNTIF(A$2:A$2001, A37)&gt;1, 1, 0), 0)</f>
        <v>0</v>
      </c>
      <c r="M37" t="b">
        <f>VLOOKUP(D37, Products!A$2:F$61, 6, FALSE)</f>
        <v>1</v>
      </c>
      <c r="N37" t="str">
        <f>VLOOKUP(D37, Products!A$2:C$61, 3, FALSE)</f>
        <v>Home</v>
      </c>
      <c r="O37" t="str">
        <f>VLOOKUP(C37, Customers!A$2:E$301, 5, FALSE)</f>
        <v>Retail</v>
      </c>
      <c r="P37">
        <f>VLOOKUP(C37, Customers!A$2:C$301, 3, FALSE)</f>
        <v>41</v>
      </c>
      <c r="Q37" t="str">
        <f>VLOOKUP(E37, Sales_Reps!A$2:C$31, 3, FALSE)</f>
        <v>East</v>
      </c>
      <c r="R37">
        <f>VLOOKUP(D37, Products!A$2:D$61, 4, FALSE)</f>
        <v>519</v>
      </c>
    </row>
    <row r="38" spans="1:18" x14ac:dyDescent="0.3">
      <c r="A38" s="13" t="s">
        <v>211</v>
      </c>
      <c r="B38" s="14">
        <v>45646</v>
      </c>
      <c r="C38" s="13" t="s">
        <v>212</v>
      </c>
      <c r="D38" s="13" t="s">
        <v>124</v>
      </c>
      <c r="E38" s="13" t="s">
        <v>204</v>
      </c>
      <c r="F38" s="15">
        <v>2</v>
      </c>
      <c r="G38" s="15">
        <v>5490</v>
      </c>
      <c r="H38" s="15">
        <v>21.1</v>
      </c>
      <c r="I38" s="15">
        <v>8663.2199999999993</v>
      </c>
      <c r="J38" s="13" t="s">
        <v>140</v>
      </c>
      <c r="K38" s="13" t="s">
        <v>112</v>
      </c>
      <c r="L38">
        <f>IF(COUNTIF(A$2:A38, A38)=1, IF(COUNTIF(A$2:A$2001, A38)&gt;1, 1, 0), 0)</f>
        <v>0</v>
      </c>
      <c r="M38" t="b">
        <f>VLOOKUP(D38, Products!A$2:F$61, 6, FALSE)</f>
        <v>1</v>
      </c>
      <c r="N38" t="str">
        <f>VLOOKUP(D38, Products!A$2:C$61, 3, FALSE)</f>
        <v>Home</v>
      </c>
      <c r="O38" t="str">
        <f>VLOOKUP(C38, Customers!A$2:E$301, 5, FALSE)</f>
        <v>SMB</v>
      </c>
      <c r="P38">
        <f>VLOOKUP(C38, Customers!A$2:C$301, 3, FALSE)</f>
        <v>36</v>
      </c>
      <c r="Q38" t="str">
        <f>VLOOKUP(E38, Sales_Reps!A$2:C$31, 3, FALSE)</f>
        <v>South</v>
      </c>
      <c r="R38">
        <f>VLOOKUP(D38, Products!A$2:D$61, 4, FALSE)</f>
        <v>2549</v>
      </c>
    </row>
    <row r="39" spans="1:18" x14ac:dyDescent="0.3">
      <c r="A39" s="13" t="s">
        <v>213</v>
      </c>
      <c r="B39" s="14">
        <v>45478</v>
      </c>
      <c r="C39" s="13" t="s">
        <v>214</v>
      </c>
      <c r="D39" s="13" t="s">
        <v>147</v>
      </c>
      <c r="E39" s="13" t="s">
        <v>215</v>
      </c>
      <c r="F39" s="15">
        <v>7</v>
      </c>
      <c r="G39" s="15">
        <v>190</v>
      </c>
      <c r="H39" s="15">
        <v>28.7</v>
      </c>
      <c r="I39" s="15">
        <v>948.29</v>
      </c>
      <c r="J39" s="13" t="s">
        <v>87</v>
      </c>
      <c r="K39" s="13" t="s">
        <v>117</v>
      </c>
      <c r="L39">
        <f>IF(COUNTIF(A$2:A39, A39)=1, IF(COUNTIF(A$2:A$2001, A39)&gt;1, 1, 0), 0)</f>
        <v>0</v>
      </c>
      <c r="M39" t="b">
        <f>VLOOKUP(D39, Products!A$2:F$61, 6, FALSE)</f>
        <v>1</v>
      </c>
      <c r="N39" t="str">
        <f>VLOOKUP(D39, Products!A$2:C$61, 3, FALSE)</f>
        <v>Sports</v>
      </c>
      <c r="O39" t="str">
        <f>VLOOKUP(C39, Customers!A$2:E$301, 5, FALSE)</f>
        <v>Retail</v>
      </c>
      <c r="P39">
        <f>VLOOKUP(C39, Customers!A$2:C$301, 3, FALSE)</f>
        <v>42</v>
      </c>
      <c r="Q39" t="str">
        <f>VLOOKUP(E39, Sales_Reps!A$2:C$31, 3, FALSE)</f>
        <v>North</v>
      </c>
      <c r="R39">
        <f>VLOOKUP(D39, Products!A$2:D$61, 4, FALSE)</f>
        <v>147</v>
      </c>
    </row>
    <row r="40" spans="1:18" x14ac:dyDescent="0.3">
      <c r="A40" s="13" t="s">
        <v>216</v>
      </c>
      <c r="B40" s="14">
        <v>45355</v>
      </c>
      <c r="C40" s="13" t="s">
        <v>217</v>
      </c>
      <c r="D40" s="13" t="s">
        <v>151</v>
      </c>
      <c r="E40" s="13" t="s">
        <v>188</v>
      </c>
      <c r="F40" s="15">
        <v>6</v>
      </c>
      <c r="G40" s="15">
        <v>2400</v>
      </c>
      <c r="H40" s="15">
        <v>2.7</v>
      </c>
      <c r="I40" s="15">
        <v>14011.2</v>
      </c>
      <c r="J40" s="13" t="s">
        <v>87</v>
      </c>
      <c r="K40" s="13" t="s">
        <v>94</v>
      </c>
      <c r="L40">
        <f>IF(COUNTIF(A$2:A40, A40)=1, IF(COUNTIF(A$2:A$2001, A40)&gt;1, 1, 0), 0)</f>
        <v>0</v>
      </c>
      <c r="M40" t="b">
        <f>VLOOKUP(D40, Products!A$2:F$61, 6, FALSE)</f>
        <v>1</v>
      </c>
      <c r="N40" t="str">
        <f>VLOOKUP(D40, Products!A$2:C$61, 3, FALSE)</f>
        <v>Sports</v>
      </c>
      <c r="O40" t="str">
        <f>VLOOKUP(C40, Customers!A$2:E$301, 5, FALSE)</f>
        <v>Retail</v>
      </c>
      <c r="P40">
        <f>VLOOKUP(C40, Customers!A$2:C$301, 3, FALSE)</f>
        <v>51</v>
      </c>
      <c r="Q40" t="str">
        <f>VLOOKUP(E40, Sales_Reps!A$2:C$31, 3, FALSE)</f>
        <v>South</v>
      </c>
      <c r="R40">
        <f>VLOOKUP(D40, Products!A$2:D$61, 4, FALSE)</f>
        <v>974</v>
      </c>
    </row>
    <row r="41" spans="1:18" x14ac:dyDescent="0.3">
      <c r="A41" s="13" t="s">
        <v>218</v>
      </c>
      <c r="B41" s="14">
        <v>45599</v>
      </c>
      <c r="C41" s="13" t="s">
        <v>219</v>
      </c>
      <c r="D41" s="13" t="s">
        <v>176</v>
      </c>
      <c r="E41" s="13" t="s">
        <v>154</v>
      </c>
      <c r="F41" s="15">
        <v>9</v>
      </c>
      <c r="G41" s="15">
        <v>1650</v>
      </c>
      <c r="H41" s="15">
        <v>11.6</v>
      </c>
      <c r="I41" s="15">
        <v>13127.4</v>
      </c>
      <c r="J41" s="13" t="s">
        <v>87</v>
      </c>
      <c r="K41" s="13" t="s">
        <v>99</v>
      </c>
      <c r="L41">
        <f>IF(COUNTIF(A$2:A41, A41)=1, IF(COUNTIF(A$2:A$2001, A41)&gt;1, 1, 0), 0)</f>
        <v>0</v>
      </c>
      <c r="M41" t="b">
        <f>VLOOKUP(D41, Products!A$2:F$61, 6, FALSE)</f>
        <v>1</v>
      </c>
      <c r="N41" t="str">
        <f>VLOOKUP(D41, Products!A$2:C$61, 3, FALSE)</f>
        <v>Beauty</v>
      </c>
      <c r="O41" t="str">
        <f>VLOOKUP(C41, Customers!A$2:E$301, 5, FALSE)</f>
        <v>SMB</v>
      </c>
      <c r="P41">
        <f>VLOOKUP(C41, Customers!A$2:C$301, 3, FALSE)</f>
        <v>50</v>
      </c>
      <c r="Q41" t="str">
        <f>VLOOKUP(E41, Sales_Reps!A$2:C$31, 3, FALSE)</f>
        <v>East</v>
      </c>
      <c r="R41">
        <f>VLOOKUP(D41, Products!A$2:D$61, 4, FALSE)</f>
        <v>1222</v>
      </c>
    </row>
    <row r="42" spans="1:18" x14ac:dyDescent="0.3">
      <c r="A42" s="13" t="s">
        <v>220</v>
      </c>
      <c r="B42" s="14">
        <v>45606</v>
      </c>
      <c r="C42" s="13" t="s">
        <v>221</v>
      </c>
      <c r="D42" s="13" t="s">
        <v>124</v>
      </c>
      <c r="E42" s="13" t="s">
        <v>103</v>
      </c>
      <c r="F42" s="15">
        <v>4</v>
      </c>
      <c r="G42" s="15">
        <v>5490</v>
      </c>
      <c r="H42" s="15">
        <v>12.8</v>
      </c>
      <c r="I42" s="15">
        <v>19149.12</v>
      </c>
      <c r="J42" s="13" t="s">
        <v>140</v>
      </c>
      <c r="K42" s="13" t="s">
        <v>94</v>
      </c>
      <c r="L42">
        <f>IF(COUNTIF(A$2:A42, A42)=1, IF(COUNTIF(A$2:A$2001, A42)&gt;1, 1, 0), 0)</f>
        <v>0</v>
      </c>
      <c r="M42" t="b">
        <f>VLOOKUP(D42, Products!A$2:F$61, 6, FALSE)</f>
        <v>1</v>
      </c>
      <c r="N42" t="str">
        <f>VLOOKUP(D42, Products!A$2:C$61, 3, FALSE)</f>
        <v>Home</v>
      </c>
      <c r="O42" t="e">
        <f>VLOOKUP(C42, Customers!A$2:E$301, 5, FALSE)</f>
        <v>#N/A</v>
      </c>
      <c r="P42" t="e">
        <f>VLOOKUP(C42, Customers!A$2:C$301, 3, FALSE)</f>
        <v>#N/A</v>
      </c>
      <c r="Q42" t="str">
        <f>VLOOKUP(E42, Sales_Reps!A$2:C$31, 3, FALSE)</f>
        <v>North</v>
      </c>
      <c r="R42">
        <f>VLOOKUP(D42, Products!A$2:D$61, 4, FALSE)</f>
        <v>2549</v>
      </c>
    </row>
    <row r="43" spans="1:18" x14ac:dyDescent="0.3">
      <c r="A43" s="13" t="s">
        <v>222</v>
      </c>
      <c r="B43" s="14">
        <v>45432</v>
      </c>
      <c r="C43" s="13" t="s">
        <v>223</v>
      </c>
      <c r="D43" s="13" t="s">
        <v>184</v>
      </c>
      <c r="E43" s="13" t="s">
        <v>98</v>
      </c>
      <c r="F43" s="15">
        <v>10</v>
      </c>
      <c r="G43" s="15">
        <v>4880</v>
      </c>
      <c r="H43" s="15">
        <v>12.7</v>
      </c>
      <c r="I43" s="15">
        <v>42602.400000000001</v>
      </c>
      <c r="J43" s="13" t="s">
        <v>87</v>
      </c>
      <c r="K43" s="13" t="s">
        <v>99</v>
      </c>
      <c r="L43">
        <f>IF(COUNTIF(A$2:A43, A43)=1, IF(COUNTIF(A$2:A$2001, A43)&gt;1, 1, 0), 0)</f>
        <v>0</v>
      </c>
      <c r="M43" t="b">
        <f>VLOOKUP(D43, Products!A$2:F$61, 6, FALSE)</f>
        <v>1</v>
      </c>
      <c r="N43" t="str">
        <f>VLOOKUP(D43, Products!A$2:C$61, 3, FALSE)</f>
        <v>Beauty</v>
      </c>
      <c r="O43" t="str">
        <f>VLOOKUP(C43, Customers!A$2:E$301, 5, FALSE)</f>
        <v>Retail</v>
      </c>
      <c r="P43">
        <f>VLOOKUP(C43, Customers!A$2:C$301, 3, FALSE)</f>
        <v>53</v>
      </c>
      <c r="Q43" t="str">
        <f>VLOOKUP(E43, Sales_Reps!A$2:C$31, 3, FALSE)</f>
        <v>South</v>
      </c>
      <c r="R43">
        <f>VLOOKUP(D43, Products!A$2:D$61, 4, FALSE)</f>
        <v>2768</v>
      </c>
    </row>
    <row r="44" spans="1:18" x14ac:dyDescent="0.3">
      <c r="A44" s="13" t="s">
        <v>224</v>
      </c>
      <c r="B44" s="14">
        <v>45392</v>
      </c>
      <c r="C44" s="13" t="s">
        <v>225</v>
      </c>
      <c r="D44" s="13" t="s">
        <v>226</v>
      </c>
      <c r="E44" s="13" t="s">
        <v>121</v>
      </c>
      <c r="F44" s="15">
        <v>2</v>
      </c>
      <c r="G44" s="15">
        <v>3730</v>
      </c>
      <c r="H44" s="15">
        <v>25.8</v>
      </c>
      <c r="I44" s="15">
        <v>5535.32</v>
      </c>
      <c r="J44" s="13" t="s">
        <v>87</v>
      </c>
      <c r="K44" s="13" t="s">
        <v>94</v>
      </c>
      <c r="L44">
        <f>IF(COUNTIF(A$2:A44, A44)=1, IF(COUNTIF(A$2:A$2001, A44)&gt;1, 1, 0), 0)</f>
        <v>0</v>
      </c>
      <c r="M44" t="b">
        <f>VLOOKUP(D44, Products!A$2:F$61, 6, FALSE)</f>
        <v>1</v>
      </c>
      <c r="N44" t="str">
        <f>VLOOKUP(D44, Products!A$2:C$61, 3, FALSE)</f>
        <v>Home</v>
      </c>
      <c r="O44" t="str">
        <f>VLOOKUP(C44, Customers!A$2:E$301, 5, FALSE)</f>
        <v>Retail</v>
      </c>
      <c r="P44">
        <f>VLOOKUP(C44, Customers!A$2:C$301, 3, FALSE)</f>
        <v>37</v>
      </c>
      <c r="Q44" t="str">
        <f>VLOOKUP(E44, Sales_Reps!A$2:C$31, 3, FALSE)</f>
        <v>East</v>
      </c>
      <c r="R44">
        <f>VLOOKUP(D44, Products!A$2:D$61, 4, FALSE)</f>
        <v>2135</v>
      </c>
    </row>
    <row r="45" spans="1:18" x14ac:dyDescent="0.3">
      <c r="A45" s="13" t="s">
        <v>227</v>
      </c>
      <c r="B45" s="14">
        <v>45396</v>
      </c>
      <c r="C45" s="13" t="s">
        <v>228</v>
      </c>
      <c r="D45" s="13" t="s">
        <v>157</v>
      </c>
      <c r="E45" s="13" t="s">
        <v>229</v>
      </c>
      <c r="F45" s="15">
        <v>4</v>
      </c>
      <c r="G45" s="15">
        <v>3450</v>
      </c>
      <c r="H45" s="15">
        <v>20.7</v>
      </c>
      <c r="I45" s="15">
        <v>10943.4</v>
      </c>
      <c r="J45" s="13" t="s">
        <v>87</v>
      </c>
      <c r="K45" s="13" t="s">
        <v>112</v>
      </c>
      <c r="L45">
        <f>IF(COUNTIF(A$2:A45, A45)=1, IF(COUNTIF(A$2:A$2001, A45)&gt;1, 1, 0), 0)</f>
        <v>0</v>
      </c>
      <c r="M45" t="b">
        <f>VLOOKUP(D45, Products!A$2:F$61, 6, FALSE)</f>
        <v>1</v>
      </c>
      <c r="N45" t="str">
        <f>VLOOKUP(D45, Products!A$2:C$61, 3, FALSE)</f>
        <v>Beauty</v>
      </c>
      <c r="O45" t="str">
        <f>VLOOKUP(C45, Customers!A$2:E$301, 5, FALSE)</f>
        <v>SMB</v>
      </c>
      <c r="P45">
        <f>VLOOKUP(C45, Customers!A$2:C$301, 3, FALSE)</f>
        <v>54</v>
      </c>
      <c r="Q45" t="str">
        <f>VLOOKUP(E45, Sales_Reps!A$2:C$31, 3, FALSE)</f>
        <v>West</v>
      </c>
      <c r="R45">
        <f>VLOOKUP(D45, Products!A$2:D$61, 4, FALSE)</f>
        <v>2420</v>
      </c>
    </row>
    <row r="46" spans="1:18" x14ac:dyDescent="0.3">
      <c r="A46" s="13" t="s">
        <v>230</v>
      </c>
      <c r="B46" s="14">
        <v>45373</v>
      </c>
      <c r="C46" s="13" t="s">
        <v>231</v>
      </c>
      <c r="D46" s="13" t="s">
        <v>167</v>
      </c>
      <c r="E46" s="13" t="s">
        <v>121</v>
      </c>
      <c r="F46" s="15">
        <v>2</v>
      </c>
      <c r="G46" s="15">
        <v>2480</v>
      </c>
      <c r="H46" s="15">
        <v>17.3</v>
      </c>
      <c r="I46" s="15">
        <v>4101.92</v>
      </c>
      <c r="J46" s="13" t="s">
        <v>87</v>
      </c>
      <c r="K46" s="13" t="s">
        <v>117</v>
      </c>
      <c r="L46">
        <f>IF(COUNTIF(A$2:A46, A46)=1, IF(COUNTIF(A$2:A$2001, A46)&gt;1, 1, 0), 0)</f>
        <v>0</v>
      </c>
      <c r="M46" t="b">
        <f>VLOOKUP(D46, Products!A$2:F$61, 6, FALSE)</f>
        <v>1</v>
      </c>
      <c r="N46" t="str">
        <f>VLOOKUP(D46, Products!A$2:C$61, 3, FALSE)</f>
        <v>Apparel</v>
      </c>
      <c r="O46" t="str">
        <f>VLOOKUP(C46, Customers!A$2:E$301, 5, FALSE)</f>
        <v>SMB</v>
      </c>
      <c r="P46">
        <f>VLOOKUP(C46, Customers!A$2:C$301, 3, FALSE)</f>
        <v>64</v>
      </c>
      <c r="Q46" t="str">
        <f>VLOOKUP(E46, Sales_Reps!A$2:C$31, 3, FALSE)</f>
        <v>East</v>
      </c>
      <c r="R46">
        <f>VLOOKUP(D46, Products!A$2:D$61, 4, FALSE)</f>
        <v>1173</v>
      </c>
    </row>
    <row r="47" spans="1:18" x14ac:dyDescent="0.3">
      <c r="A47" s="13" t="s">
        <v>232</v>
      </c>
      <c r="B47" s="14">
        <v>45312</v>
      </c>
      <c r="C47" s="13" t="s">
        <v>233</v>
      </c>
      <c r="D47" s="13" t="s">
        <v>234</v>
      </c>
      <c r="E47" s="13" t="s">
        <v>188</v>
      </c>
      <c r="F47" s="15">
        <v>9</v>
      </c>
      <c r="G47" s="15">
        <v>3780</v>
      </c>
      <c r="H47" s="15">
        <v>8.6999999999999993</v>
      </c>
      <c r="I47" s="15">
        <v>31060.26</v>
      </c>
      <c r="J47" s="13" t="s">
        <v>93</v>
      </c>
      <c r="K47" s="13" t="s">
        <v>88</v>
      </c>
      <c r="L47">
        <f>IF(COUNTIF(A$2:A47, A47)=1, IF(COUNTIF(A$2:A$2001, A47)&gt;1, 1, 0), 0)</f>
        <v>0</v>
      </c>
      <c r="M47" t="b">
        <f>VLOOKUP(D47, Products!A$2:F$61, 6, FALSE)</f>
        <v>1</v>
      </c>
      <c r="N47" t="str">
        <f>VLOOKUP(D47, Products!A$2:C$61, 3, FALSE)</f>
        <v>Grocery</v>
      </c>
      <c r="O47" t="str">
        <f>VLOOKUP(C47, Customers!A$2:E$301, 5, FALSE)</f>
        <v>SMB</v>
      </c>
      <c r="P47">
        <f>VLOOKUP(C47, Customers!A$2:C$301, 3, FALSE)</f>
        <v>29</v>
      </c>
      <c r="Q47" t="str">
        <f>VLOOKUP(E47, Sales_Reps!A$2:C$31, 3, FALSE)</f>
        <v>South</v>
      </c>
      <c r="R47">
        <f>VLOOKUP(D47, Products!A$2:D$61, 4, FALSE)</f>
        <v>2436</v>
      </c>
    </row>
    <row r="48" spans="1:18" x14ac:dyDescent="0.3">
      <c r="A48" s="13" t="s">
        <v>235</v>
      </c>
      <c r="B48" s="14">
        <v>45340</v>
      </c>
      <c r="C48" s="13" t="s">
        <v>236</v>
      </c>
      <c r="D48" s="13" t="s">
        <v>237</v>
      </c>
      <c r="E48" s="13" t="s">
        <v>238</v>
      </c>
      <c r="F48" s="15">
        <v>4</v>
      </c>
      <c r="G48" s="15">
        <v>3640</v>
      </c>
      <c r="H48" s="15">
        <v>20.7</v>
      </c>
      <c r="I48" s="15">
        <v>11546.08</v>
      </c>
      <c r="J48" s="13" t="s">
        <v>87</v>
      </c>
      <c r="K48" s="13" t="s">
        <v>133</v>
      </c>
      <c r="L48">
        <f>IF(COUNTIF(A$2:A48, A48)=1, IF(COUNTIF(A$2:A$2001, A48)&gt;1, 1, 0), 0)</f>
        <v>0</v>
      </c>
      <c r="M48" t="b">
        <f>VLOOKUP(D48, Products!A$2:F$61, 6, FALSE)</f>
        <v>1</v>
      </c>
      <c r="N48" t="str">
        <f>VLOOKUP(D48, Products!A$2:C$61, 3, FALSE)</f>
        <v>Apparel</v>
      </c>
      <c r="O48" t="str">
        <f>VLOOKUP(C48, Customers!A$2:E$301, 5, FALSE)</f>
        <v>Retail</v>
      </c>
      <c r="P48">
        <f>VLOOKUP(C48, Customers!A$2:C$301, 3, FALSE)</f>
        <v>64</v>
      </c>
      <c r="Q48" t="str">
        <f>VLOOKUP(E48, Sales_Reps!A$2:C$31, 3, FALSE)</f>
        <v>East</v>
      </c>
      <c r="R48">
        <f>VLOOKUP(D48, Products!A$2:D$61, 4, FALSE)</f>
        <v>2611</v>
      </c>
    </row>
    <row r="49" spans="1:18" x14ac:dyDescent="0.3">
      <c r="A49" s="13" t="s">
        <v>239</v>
      </c>
      <c r="B49" s="14">
        <v>45370</v>
      </c>
      <c r="C49" s="13" t="s">
        <v>240</v>
      </c>
      <c r="D49" s="13" t="s">
        <v>241</v>
      </c>
      <c r="E49" s="13" t="s">
        <v>148</v>
      </c>
      <c r="F49" s="15">
        <v>8</v>
      </c>
      <c r="G49" s="15">
        <v>6080</v>
      </c>
      <c r="H49" s="15">
        <v>24.4</v>
      </c>
      <c r="I49" s="15">
        <v>36771.839999999997</v>
      </c>
      <c r="J49" s="13" t="s">
        <v>87</v>
      </c>
      <c r="K49" s="13" t="s">
        <v>88</v>
      </c>
      <c r="L49">
        <f>IF(COUNTIF(A$2:A49, A49)=1, IF(COUNTIF(A$2:A$2001, A49)&gt;1, 1, 0), 0)</f>
        <v>0</v>
      </c>
      <c r="M49" t="b">
        <f>VLOOKUP(D49, Products!A$2:F$61, 6, FALSE)</f>
        <v>1</v>
      </c>
      <c r="N49" t="str">
        <f>VLOOKUP(D49, Products!A$2:C$61, 3, FALSE)</f>
        <v>Beauty</v>
      </c>
      <c r="O49" t="e">
        <f>VLOOKUP(C49, Customers!A$2:E$301, 5, FALSE)</f>
        <v>#N/A</v>
      </c>
      <c r="P49" t="e">
        <f>VLOOKUP(C49, Customers!A$2:C$301, 3, FALSE)</f>
        <v>#N/A</v>
      </c>
      <c r="Q49" t="str">
        <f>VLOOKUP(E49, Sales_Reps!A$2:C$31, 3, FALSE)</f>
        <v>North</v>
      </c>
      <c r="R49">
        <f>VLOOKUP(D49, Products!A$2:D$61, 4, FALSE)</f>
        <v>2617</v>
      </c>
    </row>
    <row r="50" spans="1:18" x14ac:dyDescent="0.3">
      <c r="A50" s="13" t="s">
        <v>242</v>
      </c>
      <c r="B50" s="14">
        <v>45389</v>
      </c>
      <c r="C50" s="13" t="s">
        <v>186</v>
      </c>
      <c r="D50" s="13" t="s">
        <v>127</v>
      </c>
      <c r="E50" s="13" t="s">
        <v>86</v>
      </c>
      <c r="F50" s="15">
        <v>10</v>
      </c>
      <c r="G50" s="15">
        <v>970</v>
      </c>
      <c r="H50" s="15">
        <v>0.6</v>
      </c>
      <c r="I50" s="15">
        <v>9641.7999999999993</v>
      </c>
      <c r="J50" s="13" t="s">
        <v>140</v>
      </c>
      <c r="K50" s="13" t="s">
        <v>94</v>
      </c>
      <c r="L50">
        <f>IF(COUNTIF(A$2:A50, A50)=1, IF(COUNTIF(A$2:A$2001, A50)&gt;1, 1, 0), 0)</f>
        <v>0</v>
      </c>
      <c r="M50" t="b">
        <f>VLOOKUP(D50, Products!A$2:F$61, 6, FALSE)</f>
        <v>1</v>
      </c>
      <c r="N50" t="str">
        <f>VLOOKUP(D50, Products!A$2:C$61, 3, FALSE)</f>
        <v>Grocery</v>
      </c>
      <c r="O50" t="str">
        <f>VLOOKUP(C50, Customers!A$2:E$301, 5, FALSE)</f>
        <v>SMB</v>
      </c>
      <c r="P50">
        <f>VLOOKUP(C50, Customers!A$2:C$301, 3, FALSE)</f>
        <v>52</v>
      </c>
      <c r="Q50" t="str">
        <f>VLOOKUP(E50, Sales_Reps!A$2:C$31, 3, FALSE)</f>
        <v>North</v>
      </c>
      <c r="R50">
        <f>VLOOKUP(D50, Products!A$2:D$61, 4, FALSE)</f>
        <v>434</v>
      </c>
    </row>
    <row r="51" spans="1:18" x14ac:dyDescent="0.3">
      <c r="A51" s="13" t="s">
        <v>243</v>
      </c>
      <c r="B51" s="14">
        <v>45565</v>
      </c>
      <c r="C51" s="13" t="s">
        <v>244</v>
      </c>
      <c r="D51" s="13" t="s">
        <v>245</v>
      </c>
      <c r="E51" s="13" t="s">
        <v>128</v>
      </c>
      <c r="F51" s="15">
        <v>1</v>
      </c>
      <c r="G51" s="15">
        <v>2270</v>
      </c>
      <c r="H51" s="15">
        <v>11.5</v>
      </c>
      <c r="I51" s="15">
        <v>2008.95</v>
      </c>
      <c r="J51" s="13" t="s">
        <v>93</v>
      </c>
      <c r="K51" s="13" t="s">
        <v>94</v>
      </c>
      <c r="L51">
        <f>IF(COUNTIF(A$2:A51, A51)=1, IF(COUNTIF(A$2:A$2001, A51)&gt;1, 1, 0), 0)</f>
        <v>0</v>
      </c>
      <c r="M51" t="b">
        <f>VLOOKUP(D51, Products!A$2:F$61, 6, FALSE)</f>
        <v>1</v>
      </c>
      <c r="N51" t="str">
        <f>VLOOKUP(D51, Products!A$2:C$61, 3, FALSE)</f>
        <v>Grocery</v>
      </c>
      <c r="O51" t="str">
        <f>VLOOKUP(C51, Customers!A$2:E$301, 5, FALSE)</f>
        <v>Corporate</v>
      </c>
      <c r="P51">
        <f>VLOOKUP(C51, Customers!A$2:C$301, 3, FALSE)</f>
        <v>52</v>
      </c>
      <c r="Q51" t="str">
        <f>VLOOKUP(E51, Sales_Reps!A$2:C$31, 3, FALSE)</f>
        <v>West</v>
      </c>
      <c r="R51">
        <f>VLOOKUP(D51, Products!A$2:D$61, 4, FALSE)</f>
        <v>1412</v>
      </c>
    </row>
    <row r="52" spans="1:18" x14ac:dyDescent="0.3">
      <c r="A52" s="13" t="s">
        <v>246</v>
      </c>
      <c r="B52" s="14">
        <v>45323</v>
      </c>
      <c r="C52" s="13" t="s">
        <v>247</v>
      </c>
      <c r="D52" s="13" t="s">
        <v>248</v>
      </c>
      <c r="E52" s="13" t="s">
        <v>154</v>
      </c>
      <c r="F52" s="15">
        <v>7</v>
      </c>
      <c r="G52" s="15">
        <v>3870</v>
      </c>
      <c r="H52" s="15">
        <v>0.3</v>
      </c>
      <c r="I52" s="15">
        <v>27008.73</v>
      </c>
      <c r="J52" s="13" t="s">
        <v>140</v>
      </c>
      <c r="K52" s="13" t="s">
        <v>117</v>
      </c>
      <c r="L52">
        <f>IF(COUNTIF(A$2:A52, A52)=1, IF(COUNTIF(A$2:A$2001, A52)&gt;1, 1, 0), 0)</f>
        <v>0</v>
      </c>
      <c r="M52" t="b">
        <f>VLOOKUP(D52, Products!A$2:F$61, 6, FALSE)</f>
        <v>1</v>
      </c>
      <c r="N52" t="str">
        <f>VLOOKUP(D52, Products!A$2:C$61, 3, FALSE)</f>
        <v>Electronics</v>
      </c>
      <c r="O52" t="str">
        <f>VLOOKUP(C52, Customers!A$2:E$301, 5, FALSE)</f>
        <v>Retail</v>
      </c>
      <c r="P52">
        <f>VLOOKUP(C52, Customers!A$2:C$301, 3, FALSE)</f>
        <v>34</v>
      </c>
      <c r="Q52" t="str">
        <f>VLOOKUP(E52, Sales_Reps!A$2:C$31, 3, FALSE)</f>
        <v>East</v>
      </c>
      <c r="R52">
        <f>VLOOKUP(D52, Products!A$2:D$61, 4, FALSE)</f>
        <v>1559</v>
      </c>
    </row>
    <row r="53" spans="1:18" x14ac:dyDescent="0.3">
      <c r="A53" s="13" t="s">
        <v>249</v>
      </c>
      <c r="B53" s="14">
        <v>45506</v>
      </c>
      <c r="C53" s="13" t="s">
        <v>250</v>
      </c>
      <c r="D53" s="13" t="s">
        <v>184</v>
      </c>
      <c r="E53" s="13" t="s">
        <v>204</v>
      </c>
      <c r="F53" s="15">
        <v>1</v>
      </c>
      <c r="G53" s="15">
        <v>4880</v>
      </c>
      <c r="H53" s="15">
        <v>23.9</v>
      </c>
      <c r="I53" s="15">
        <v>3713.68</v>
      </c>
      <c r="J53" s="13" t="s">
        <v>93</v>
      </c>
      <c r="K53" s="13" t="s">
        <v>117</v>
      </c>
      <c r="L53">
        <f>IF(COUNTIF(A$2:A53, A53)=1, IF(COUNTIF(A$2:A$2001, A53)&gt;1, 1, 0), 0)</f>
        <v>0</v>
      </c>
      <c r="M53" t="b">
        <f>VLOOKUP(D53, Products!A$2:F$61, 6, FALSE)</f>
        <v>1</v>
      </c>
      <c r="N53" t="str">
        <f>VLOOKUP(D53, Products!A$2:C$61, 3, FALSE)</f>
        <v>Beauty</v>
      </c>
      <c r="O53" t="str">
        <f>VLOOKUP(C53, Customers!A$2:E$301, 5, FALSE)</f>
        <v>SMB</v>
      </c>
      <c r="P53">
        <f>VLOOKUP(C53, Customers!A$2:C$301, 3, FALSE)</f>
        <v>34</v>
      </c>
      <c r="Q53" t="str">
        <f>VLOOKUP(E53, Sales_Reps!A$2:C$31, 3, FALSE)</f>
        <v>South</v>
      </c>
      <c r="R53">
        <f>VLOOKUP(D53, Products!A$2:D$61, 4, FALSE)</f>
        <v>2768</v>
      </c>
    </row>
    <row r="54" spans="1:18" x14ac:dyDescent="0.3">
      <c r="A54" s="13" t="s">
        <v>251</v>
      </c>
      <c r="B54" s="14">
        <v>45616</v>
      </c>
      <c r="C54" s="13" t="s">
        <v>105</v>
      </c>
      <c r="D54" s="13" t="s">
        <v>234</v>
      </c>
      <c r="E54" s="13" t="s">
        <v>252</v>
      </c>
      <c r="F54" s="15">
        <v>5</v>
      </c>
      <c r="G54" s="15">
        <v>3780</v>
      </c>
      <c r="H54" s="15">
        <v>18.5</v>
      </c>
      <c r="I54" s="15">
        <v>15403.5</v>
      </c>
      <c r="J54" s="13" t="s">
        <v>87</v>
      </c>
      <c r="K54" s="13" t="s">
        <v>94</v>
      </c>
      <c r="L54">
        <f>IF(COUNTIF(A$2:A54, A54)=1, IF(COUNTIF(A$2:A$2001, A54)&gt;1, 1, 0), 0)</f>
        <v>0</v>
      </c>
      <c r="M54" t="b">
        <f>VLOOKUP(D54, Products!A$2:F$61, 6, FALSE)</f>
        <v>1</v>
      </c>
      <c r="N54" t="str">
        <f>VLOOKUP(D54, Products!A$2:C$61, 3, FALSE)</f>
        <v>Grocery</v>
      </c>
      <c r="O54" t="str">
        <f>VLOOKUP(C54, Customers!A$2:E$301, 5, FALSE)</f>
        <v>Retail</v>
      </c>
      <c r="P54">
        <f>VLOOKUP(C54, Customers!A$2:C$301, 3, FALSE)</f>
        <v>36</v>
      </c>
      <c r="Q54" t="str">
        <f>VLOOKUP(E54, Sales_Reps!A$2:C$31, 3, FALSE)</f>
        <v>South</v>
      </c>
      <c r="R54">
        <f>VLOOKUP(D54, Products!A$2:D$61, 4, FALSE)</f>
        <v>2436</v>
      </c>
    </row>
    <row r="55" spans="1:18" x14ac:dyDescent="0.3">
      <c r="A55" s="13" t="s">
        <v>253</v>
      </c>
      <c r="B55" s="14">
        <v>45428</v>
      </c>
      <c r="C55" s="13" t="s">
        <v>254</v>
      </c>
      <c r="D55" s="13" t="s">
        <v>143</v>
      </c>
      <c r="E55" s="13" t="s">
        <v>192</v>
      </c>
      <c r="F55" s="15">
        <v>10</v>
      </c>
      <c r="G55" s="15">
        <v>3250</v>
      </c>
      <c r="H55" s="15">
        <v>25.5</v>
      </c>
      <c r="I55" s="15">
        <v>24212.5</v>
      </c>
      <c r="J55" s="13" t="s">
        <v>87</v>
      </c>
      <c r="K55" s="13" t="s">
        <v>94</v>
      </c>
      <c r="L55">
        <f>IF(COUNTIF(A$2:A55, A55)=1, IF(COUNTIF(A$2:A$2001, A55)&gt;1, 1, 0), 0)</f>
        <v>0</v>
      </c>
      <c r="M55" t="b">
        <f>VLOOKUP(D55, Products!A$2:F$61, 6, FALSE)</f>
        <v>1</v>
      </c>
      <c r="N55" t="str">
        <f>VLOOKUP(D55, Products!A$2:C$61, 3, FALSE)</f>
        <v>Home</v>
      </c>
      <c r="O55" t="str">
        <f>VLOOKUP(C55, Customers!A$2:E$301, 5, FALSE)</f>
        <v>Retail</v>
      </c>
      <c r="P55">
        <f>VLOOKUP(C55, Customers!A$2:C$301, 3, FALSE)</f>
        <v>24</v>
      </c>
      <c r="Q55" t="str">
        <f>VLOOKUP(E55, Sales_Reps!A$2:C$31, 3, FALSE)</f>
        <v>East</v>
      </c>
      <c r="R55">
        <f>VLOOKUP(D55, Products!A$2:D$61, 4, FALSE)</f>
        <v>1556</v>
      </c>
    </row>
    <row r="56" spans="1:18" x14ac:dyDescent="0.3">
      <c r="A56" s="13" t="s">
        <v>255</v>
      </c>
      <c r="B56" s="14">
        <v>45515</v>
      </c>
      <c r="C56" s="13" t="s">
        <v>256</v>
      </c>
      <c r="D56" s="13" t="s">
        <v>237</v>
      </c>
      <c r="E56" s="13" t="s">
        <v>86</v>
      </c>
      <c r="F56" s="15">
        <v>4</v>
      </c>
      <c r="G56" s="15">
        <v>3640</v>
      </c>
      <c r="H56" s="15">
        <v>9.9</v>
      </c>
      <c r="I56" s="15">
        <v>13118.56</v>
      </c>
      <c r="J56" s="13" t="s">
        <v>144</v>
      </c>
      <c r="K56" s="13" t="s">
        <v>133</v>
      </c>
      <c r="L56">
        <f>IF(COUNTIF(A$2:A56, A56)=1, IF(COUNTIF(A$2:A$2001, A56)&gt;1, 1, 0), 0)</f>
        <v>0</v>
      </c>
      <c r="M56" t="b">
        <f>VLOOKUP(D56, Products!A$2:F$61, 6, FALSE)</f>
        <v>1</v>
      </c>
      <c r="N56" t="str">
        <f>VLOOKUP(D56, Products!A$2:C$61, 3, FALSE)</f>
        <v>Apparel</v>
      </c>
      <c r="O56" t="str">
        <f>VLOOKUP(C56, Customers!A$2:E$301, 5, FALSE)</f>
        <v>Retail</v>
      </c>
      <c r="P56">
        <f>VLOOKUP(C56, Customers!A$2:C$301, 3, FALSE)</f>
        <v>27</v>
      </c>
      <c r="Q56" t="str">
        <f>VLOOKUP(E56, Sales_Reps!A$2:C$31, 3, FALSE)</f>
        <v>North</v>
      </c>
      <c r="R56">
        <f>VLOOKUP(D56, Products!A$2:D$61, 4, FALSE)</f>
        <v>2611</v>
      </c>
    </row>
    <row r="57" spans="1:18" x14ac:dyDescent="0.3">
      <c r="A57" s="13" t="s">
        <v>257</v>
      </c>
      <c r="B57" s="14">
        <v>45649</v>
      </c>
      <c r="C57" s="13" t="s">
        <v>258</v>
      </c>
      <c r="D57" s="13" t="s">
        <v>259</v>
      </c>
      <c r="E57" s="13" t="s">
        <v>154</v>
      </c>
      <c r="F57" s="15">
        <v>4</v>
      </c>
      <c r="G57" s="15">
        <v>1540</v>
      </c>
      <c r="H57" s="15">
        <v>28.8</v>
      </c>
      <c r="I57" s="15">
        <v>4385.92</v>
      </c>
      <c r="J57" s="13" t="s">
        <v>87</v>
      </c>
      <c r="K57" s="13" t="s">
        <v>99</v>
      </c>
      <c r="L57">
        <f>IF(COUNTIF(A$2:A57, A57)=1, IF(COUNTIF(A$2:A$2001, A57)&gt;1, 1, 0), 0)</f>
        <v>0</v>
      </c>
      <c r="M57" t="b">
        <f>VLOOKUP(D57, Products!A$2:F$61, 6, FALSE)</f>
        <v>0</v>
      </c>
      <c r="N57" t="str">
        <f>VLOOKUP(D57, Products!A$2:C$61, 3, FALSE)</f>
        <v>Beauty</v>
      </c>
      <c r="O57" t="str">
        <f>VLOOKUP(C57, Customers!A$2:E$301, 5, FALSE)</f>
        <v>SMB</v>
      </c>
      <c r="P57">
        <f>VLOOKUP(C57, Customers!A$2:C$301, 3, FALSE)</f>
        <v>55</v>
      </c>
      <c r="Q57" t="str">
        <f>VLOOKUP(E57, Sales_Reps!A$2:C$31, 3, FALSE)</f>
        <v>East</v>
      </c>
      <c r="R57">
        <f>VLOOKUP(D57, Products!A$2:D$61, 4, FALSE)</f>
        <v>647</v>
      </c>
    </row>
    <row r="58" spans="1:18" x14ac:dyDescent="0.3">
      <c r="A58" s="13" t="s">
        <v>260</v>
      </c>
      <c r="B58" s="14">
        <v>45616</v>
      </c>
      <c r="C58" s="13" t="s">
        <v>261</v>
      </c>
      <c r="D58" s="13" t="s">
        <v>164</v>
      </c>
      <c r="E58" s="13" t="s">
        <v>238</v>
      </c>
      <c r="F58" s="15">
        <v>1</v>
      </c>
      <c r="G58" s="15">
        <v>1080</v>
      </c>
      <c r="H58" s="15">
        <v>23</v>
      </c>
      <c r="I58" s="15">
        <v>831.6</v>
      </c>
      <c r="J58" s="13" t="s">
        <v>140</v>
      </c>
      <c r="K58" s="13" t="s">
        <v>99</v>
      </c>
      <c r="L58">
        <f>IF(COUNTIF(A$2:A58, A58)=1, IF(COUNTIF(A$2:A$2001, A58)&gt;1, 1, 0), 0)</f>
        <v>0</v>
      </c>
      <c r="M58" t="b">
        <f>VLOOKUP(D58, Products!A$2:F$61, 6, FALSE)</f>
        <v>1</v>
      </c>
      <c r="N58" t="str">
        <f>VLOOKUP(D58, Products!A$2:C$61, 3, FALSE)</f>
        <v>Home</v>
      </c>
      <c r="O58" t="str">
        <f>VLOOKUP(C58, Customers!A$2:E$301, 5, FALSE)</f>
        <v>Retail</v>
      </c>
      <c r="P58">
        <f>VLOOKUP(C58, Customers!A$2:C$301, 3, FALSE)</f>
        <v>54</v>
      </c>
      <c r="Q58" t="str">
        <f>VLOOKUP(E58, Sales_Reps!A$2:C$31, 3, FALSE)</f>
        <v>East</v>
      </c>
      <c r="R58">
        <f>VLOOKUP(D58, Products!A$2:D$61, 4, FALSE)</f>
        <v>519</v>
      </c>
    </row>
    <row r="59" spans="1:18" x14ac:dyDescent="0.3">
      <c r="A59" s="13" t="s">
        <v>262</v>
      </c>
      <c r="B59" s="14">
        <v>45573</v>
      </c>
      <c r="C59" s="13" t="s">
        <v>263</v>
      </c>
      <c r="D59" s="13" t="s">
        <v>264</v>
      </c>
      <c r="E59" s="13" t="s">
        <v>86</v>
      </c>
      <c r="F59" s="15">
        <v>1</v>
      </c>
      <c r="G59" s="15">
        <v>4070</v>
      </c>
      <c r="H59" s="15">
        <v>6.7</v>
      </c>
      <c r="I59" s="15">
        <v>3797.31</v>
      </c>
      <c r="J59" s="13" t="s">
        <v>87</v>
      </c>
      <c r="K59" s="13" t="s">
        <v>133</v>
      </c>
      <c r="L59">
        <f>IF(COUNTIF(A$2:A59, A59)=1, IF(COUNTIF(A$2:A$2001, A59)&gt;1, 1, 0), 0)</f>
        <v>0</v>
      </c>
      <c r="M59" t="b">
        <f>VLOOKUP(D59, Products!A$2:F$61, 6, FALSE)</f>
        <v>1</v>
      </c>
      <c r="N59" t="str">
        <f>VLOOKUP(D59, Products!A$2:C$61, 3, FALSE)</f>
        <v>Grocery</v>
      </c>
      <c r="O59" t="str">
        <f>VLOOKUP(C59, Customers!A$2:E$301, 5, FALSE)</f>
        <v>Retail</v>
      </c>
      <c r="P59">
        <f>VLOOKUP(C59, Customers!A$2:C$301, 3, FALSE)</f>
        <v>53</v>
      </c>
      <c r="Q59" t="str">
        <f>VLOOKUP(E59, Sales_Reps!A$2:C$31, 3, FALSE)</f>
        <v>North</v>
      </c>
      <c r="R59">
        <f>VLOOKUP(D59, Products!A$2:D$61, 4, FALSE)</f>
        <v>2027</v>
      </c>
    </row>
    <row r="60" spans="1:18" x14ac:dyDescent="0.3">
      <c r="A60" s="13" t="s">
        <v>265</v>
      </c>
      <c r="B60" s="14">
        <v>45417</v>
      </c>
      <c r="C60" s="13" t="s">
        <v>266</v>
      </c>
      <c r="D60" s="13" t="s">
        <v>267</v>
      </c>
      <c r="E60" s="13" t="s">
        <v>170</v>
      </c>
      <c r="F60" s="15">
        <v>2</v>
      </c>
      <c r="G60" s="15">
        <v>1220</v>
      </c>
      <c r="H60" s="15">
        <v>11.7</v>
      </c>
      <c r="I60" s="15">
        <v>2154.52</v>
      </c>
      <c r="J60" s="13" t="s">
        <v>140</v>
      </c>
      <c r="K60" s="13" t="s">
        <v>99</v>
      </c>
      <c r="L60">
        <f>IF(COUNTIF(A$2:A60, A60)=1, IF(COUNTIF(A$2:A$2001, A60)&gt;1, 1, 0), 0)</f>
        <v>0</v>
      </c>
      <c r="M60" t="b">
        <f>VLOOKUP(D60, Products!A$2:F$61, 6, FALSE)</f>
        <v>1</v>
      </c>
      <c r="N60" t="str">
        <f>VLOOKUP(D60, Products!A$2:C$61, 3, FALSE)</f>
        <v>Electronics</v>
      </c>
      <c r="O60" t="str">
        <f>VLOOKUP(C60, Customers!A$2:E$301, 5, FALSE)</f>
        <v>Corporate</v>
      </c>
      <c r="P60">
        <f>VLOOKUP(C60, Customers!A$2:C$301, 3, FALSE)</f>
        <v>55</v>
      </c>
      <c r="Q60" t="str">
        <f>VLOOKUP(E60, Sales_Reps!A$2:C$31, 3, FALSE)</f>
        <v>West</v>
      </c>
      <c r="R60">
        <f>VLOOKUP(D60, Products!A$2:D$61, 4, FALSE)</f>
        <v>517</v>
      </c>
    </row>
    <row r="61" spans="1:18" x14ac:dyDescent="0.3">
      <c r="A61" s="13" t="s">
        <v>268</v>
      </c>
      <c r="B61" s="14">
        <v>45425</v>
      </c>
      <c r="C61" s="13" t="s">
        <v>269</v>
      </c>
      <c r="D61" s="13" t="s">
        <v>270</v>
      </c>
      <c r="E61" s="13" t="s">
        <v>229</v>
      </c>
      <c r="F61" s="15">
        <v>4</v>
      </c>
      <c r="G61" s="15">
        <v>4610</v>
      </c>
      <c r="H61" s="15">
        <v>26.9</v>
      </c>
      <c r="I61" s="15">
        <v>13479.64</v>
      </c>
      <c r="J61" s="13" t="s">
        <v>93</v>
      </c>
      <c r="K61" s="13" t="s">
        <v>112</v>
      </c>
      <c r="L61">
        <f>IF(COUNTIF(A$2:A61, A61)=1, IF(COUNTIF(A$2:A$2001, A61)&gt;1, 1, 0), 0)</f>
        <v>0</v>
      </c>
      <c r="M61" t="b">
        <f>VLOOKUP(D61, Products!A$2:F$61, 6, FALSE)</f>
        <v>1</v>
      </c>
      <c r="N61" t="str">
        <f>VLOOKUP(D61, Products!A$2:C$61, 3, FALSE)</f>
        <v>Home</v>
      </c>
      <c r="O61" t="str">
        <f>VLOOKUP(C61, Customers!A$2:E$301, 5, FALSE)</f>
        <v>Retail</v>
      </c>
      <c r="P61">
        <f>VLOOKUP(C61, Customers!A$2:C$301, 3, FALSE)</f>
        <v>40</v>
      </c>
      <c r="Q61" t="str">
        <f>VLOOKUP(E61, Sales_Reps!A$2:C$31, 3, FALSE)</f>
        <v>West</v>
      </c>
      <c r="R61">
        <f>VLOOKUP(D61, Products!A$2:D$61, 4, FALSE)</f>
        <v>1850</v>
      </c>
    </row>
    <row r="62" spans="1:18" x14ac:dyDescent="0.3">
      <c r="A62" s="13" t="s">
        <v>271</v>
      </c>
      <c r="B62" s="14">
        <v>45589</v>
      </c>
      <c r="C62" s="13" t="s">
        <v>272</v>
      </c>
      <c r="D62" s="13" t="s">
        <v>164</v>
      </c>
      <c r="E62" s="13" t="s">
        <v>273</v>
      </c>
      <c r="F62" s="15">
        <v>8</v>
      </c>
      <c r="G62" s="15">
        <v>1080</v>
      </c>
      <c r="H62" s="15">
        <v>28.4</v>
      </c>
      <c r="I62" s="15">
        <v>6186.24</v>
      </c>
      <c r="J62" s="13" t="s">
        <v>87</v>
      </c>
      <c r="K62" s="13" t="s">
        <v>94</v>
      </c>
      <c r="L62">
        <f>IF(COUNTIF(A$2:A62, A62)=1, IF(COUNTIF(A$2:A$2001, A62)&gt;1, 1, 0), 0)</f>
        <v>0</v>
      </c>
      <c r="M62" t="b">
        <f>VLOOKUP(D62, Products!A$2:F$61, 6, FALSE)</f>
        <v>1</v>
      </c>
      <c r="N62" t="str">
        <f>VLOOKUP(D62, Products!A$2:C$61, 3, FALSE)</f>
        <v>Home</v>
      </c>
      <c r="O62" t="str">
        <f>VLOOKUP(C62, Customers!A$2:E$301, 5, FALSE)</f>
        <v>SMB</v>
      </c>
      <c r="P62">
        <f>VLOOKUP(C62, Customers!A$2:C$301, 3, FALSE)</f>
        <v>55</v>
      </c>
      <c r="Q62" t="str">
        <f>VLOOKUP(E62, Sales_Reps!A$2:C$31, 3, FALSE)</f>
        <v>South</v>
      </c>
      <c r="R62">
        <f>VLOOKUP(D62, Products!A$2:D$61, 4, FALSE)</f>
        <v>519</v>
      </c>
    </row>
    <row r="63" spans="1:18" x14ac:dyDescent="0.3">
      <c r="A63" s="13" t="s">
        <v>274</v>
      </c>
      <c r="B63" s="14">
        <v>45488</v>
      </c>
      <c r="C63" s="13" t="s">
        <v>275</v>
      </c>
      <c r="D63" s="13" t="s">
        <v>276</v>
      </c>
      <c r="E63" s="13" t="s">
        <v>103</v>
      </c>
      <c r="F63" s="15">
        <v>10</v>
      </c>
      <c r="G63" s="15">
        <v>3020</v>
      </c>
      <c r="H63" s="15">
        <v>25.4</v>
      </c>
      <c r="I63" s="15">
        <v>22529.200000000001</v>
      </c>
      <c r="J63" s="13" t="s">
        <v>87</v>
      </c>
      <c r="K63" s="13" t="s">
        <v>88</v>
      </c>
      <c r="L63">
        <f>IF(COUNTIF(A$2:A63, A63)=1, IF(COUNTIF(A$2:A$2001, A63)&gt;1, 1, 0), 0)</f>
        <v>0</v>
      </c>
      <c r="M63" t="b">
        <f>VLOOKUP(D63, Products!A$2:F$61, 6, FALSE)</f>
        <v>1</v>
      </c>
      <c r="N63" t="str">
        <f>VLOOKUP(D63, Products!A$2:C$61, 3, FALSE)</f>
        <v>Beauty</v>
      </c>
      <c r="O63" t="str">
        <f>VLOOKUP(C63, Customers!A$2:E$301, 5, FALSE)</f>
        <v>Retail</v>
      </c>
      <c r="P63">
        <f>VLOOKUP(C63, Customers!A$2:C$301, 3, FALSE)</f>
        <v>44</v>
      </c>
      <c r="Q63" t="str">
        <f>VLOOKUP(E63, Sales_Reps!A$2:C$31, 3, FALSE)</f>
        <v>North</v>
      </c>
      <c r="R63">
        <f>VLOOKUP(D63, Products!A$2:D$61, 4, FALSE)</f>
        <v>1626</v>
      </c>
    </row>
    <row r="64" spans="1:18" x14ac:dyDescent="0.3">
      <c r="A64" s="13" t="s">
        <v>277</v>
      </c>
      <c r="B64" s="14">
        <v>45465</v>
      </c>
      <c r="C64" s="13" t="s">
        <v>278</v>
      </c>
      <c r="D64" s="13" t="s">
        <v>279</v>
      </c>
      <c r="E64" s="13" t="s">
        <v>238</v>
      </c>
      <c r="F64" s="15">
        <v>7</v>
      </c>
      <c r="G64" s="15">
        <v>2660</v>
      </c>
      <c r="H64" s="15">
        <v>5.3</v>
      </c>
      <c r="I64" s="15">
        <v>17633.14</v>
      </c>
      <c r="J64" s="13" t="s">
        <v>87</v>
      </c>
      <c r="K64" s="13" t="s">
        <v>133</v>
      </c>
      <c r="L64">
        <f>IF(COUNTIF(A$2:A64, A64)=1, IF(COUNTIF(A$2:A$2001, A64)&gt;1, 1, 0), 0)</f>
        <v>0</v>
      </c>
      <c r="M64" t="b">
        <f>VLOOKUP(D64, Products!A$2:F$61, 6, FALSE)</f>
        <v>0</v>
      </c>
      <c r="N64" t="str">
        <f>VLOOKUP(D64, Products!A$2:C$61, 3, FALSE)</f>
        <v>Electronics</v>
      </c>
      <c r="O64" t="str">
        <f>VLOOKUP(C64, Customers!A$2:E$301, 5, FALSE)</f>
        <v>Corporate</v>
      </c>
      <c r="P64">
        <f>VLOOKUP(C64, Customers!A$2:C$301, 3, FALSE)</f>
        <v>29</v>
      </c>
      <c r="Q64" t="str">
        <f>VLOOKUP(E64, Sales_Reps!A$2:C$31, 3, FALSE)</f>
        <v>East</v>
      </c>
      <c r="R64">
        <f>VLOOKUP(D64, Products!A$2:D$61, 4, FALSE)</f>
        <v>1259</v>
      </c>
    </row>
    <row r="65" spans="1:18" x14ac:dyDescent="0.3">
      <c r="A65" s="13" t="s">
        <v>280</v>
      </c>
      <c r="B65" s="14">
        <v>45599</v>
      </c>
      <c r="C65" s="13" t="s">
        <v>281</v>
      </c>
      <c r="D65" s="13" t="s">
        <v>282</v>
      </c>
      <c r="E65" s="13" t="s">
        <v>148</v>
      </c>
      <c r="F65" s="15">
        <v>9</v>
      </c>
      <c r="G65" s="15">
        <v>300</v>
      </c>
      <c r="H65" s="15">
        <v>25.3</v>
      </c>
      <c r="I65" s="15">
        <v>2016.9</v>
      </c>
      <c r="J65" s="13" t="s">
        <v>87</v>
      </c>
      <c r="K65" s="13" t="s">
        <v>88</v>
      </c>
      <c r="L65">
        <f>IF(COUNTIF(A$2:A65, A65)=1, IF(COUNTIF(A$2:A$2001, A65)&gt;1, 1, 0), 0)</f>
        <v>0</v>
      </c>
      <c r="M65" t="b">
        <f>VLOOKUP(D65, Products!A$2:F$61, 6, FALSE)</f>
        <v>1</v>
      </c>
      <c r="N65" t="str">
        <f>VLOOKUP(D65, Products!A$2:C$61, 3, FALSE)</f>
        <v>Electronics</v>
      </c>
      <c r="O65" t="str">
        <f>VLOOKUP(C65, Customers!A$2:E$301, 5, FALSE)</f>
        <v>Retail</v>
      </c>
      <c r="P65">
        <f>VLOOKUP(C65, Customers!A$2:C$301, 3, FALSE)</f>
        <v>25</v>
      </c>
      <c r="Q65" t="str">
        <f>VLOOKUP(E65, Sales_Reps!A$2:C$31, 3, FALSE)</f>
        <v>North</v>
      </c>
      <c r="R65">
        <f>VLOOKUP(D65, Products!A$2:D$61, 4, FALSE)</f>
        <v>128</v>
      </c>
    </row>
    <row r="66" spans="1:18" x14ac:dyDescent="0.3">
      <c r="A66" s="13" t="s">
        <v>283</v>
      </c>
      <c r="B66" s="14">
        <v>45317</v>
      </c>
      <c r="C66" s="13" t="s">
        <v>284</v>
      </c>
      <c r="D66" s="13" t="s">
        <v>135</v>
      </c>
      <c r="E66" s="13" t="s">
        <v>285</v>
      </c>
      <c r="F66" s="15">
        <v>10</v>
      </c>
      <c r="G66" s="15">
        <v>2640</v>
      </c>
      <c r="H66" s="15">
        <v>18.7</v>
      </c>
      <c r="I66" s="15">
        <v>21463.200000000001</v>
      </c>
      <c r="J66" s="13" t="s">
        <v>140</v>
      </c>
      <c r="K66" s="13" t="s">
        <v>94</v>
      </c>
      <c r="L66">
        <f>IF(COUNTIF(A$2:A66, A66)=1, IF(COUNTIF(A$2:A$2001, A66)&gt;1, 1, 0), 0)</f>
        <v>0</v>
      </c>
      <c r="M66" t="b">
        <f>VLOOKUP(D66, Products!A$2:F$61, 6, FALSE)</f>
        <v>1</v>
      </c>
      <c r="N66" t="str">
        <f>VLOOKUP(D66, Products!A$2:C$61, 3, FALSE)</f>
        <v>Electronics</v>
      </c>
      <c r="O66" t="str">
        <f>VLOOKUP(C66, Customers!A$2:E$301, 5, FALSE)</f>
        <v>Retail</v>
      </c>
      <c r="P66">
        <f>VLOOKUP(C66, Customers!A$2:C$301, 3, FALSE)</f>
        <v>28</v>
      </c>
      <c r="Q66" t="str">
        <f>VLOOKUP(E66, Sales_Reps!A$2:C$31, 3, FALSE)</f>
        <v>East</v>
      </c>
      <c r="R66">
        <f>VLOOKUP(D66, Products!A$2:D$61, 4, FALSE)</f>
        <v>1149</v>
      </c>
    </row>
    <row r="67" spans="1:18" x14ac:dyDescent="0.3">
      <c r="A67" s="13" t="s">
        <v>286</v>
      </c>
      <c r="B67" s="14">
        <v>45462</v>
      </c>
      <c r="C67" s="13" t="s">
        <v>219</v>
      </c>
      <c r="D67" s="13" t="s">
        <v>91</v>
      </c>
      <c r="E67" s="13" t="s">
        <v>192</v>
      </c>
      <c r="F67" s="15">
        <v>8</v>
      </c>
      <c r="G67" s="15">
        <v>820</v>
      </c>
      <c r="H67" s="15">
        <v>24</v>
      </c>
      <c r="I67" s="15">
        <v>4985.6000000000004</v>
      </c>
      <c r="J67" s="13" t="s">
        <v>87</v>
      </c>
      <c r="K67" s="13" t="s">
        <v>99</v>
      </c>
      <c r="L67">
        <f>IF(COUNTIF(A$2:A67, A67)=1, IF(COUNTIF(A$2:A$2001, A67)&gt;1, 1, 0), 0)</f>
        <v>0</v>
      </c>
      <c r="M67" t="b">
        <f>VLOOKUP(D67, Products!A$2:F$61, 6, FALSE)</f>
        <v>1</v>
      </c>
      <c r="N67" t="str">
        <f>VLOOKUP(D67, Products!A$2:C$61, 3, FALSE)</f>
        <v>Apparel</v>
      </c>
      <c r="O67" t="str">
        <f>VLOOKUP(C67, Customers!A$2:E$301, 5, FALSE)</f>
        <v>SMB</v>
      </c>
      <c r="P67">
        <f>VLOOKUP(C67, Customers!A$2:C$301, 3, FALSE)</f>
        <v>50</v>
      </c>
      <c r="Q67" t="str">
        <f>VLOOKUP(E67, Sales_Reps!A$2:C$31, 3, FALSE)</f>
        <v>East</v>
      </c>
      <c r="R67">
        <f>VLOOKUP(D67, Products!A$2:D$61, 4, FALSE)</f>
        <v>391</v>
      </c>
    </row>
    <row r="68" spans="1:18" x14ac:dyDescent="0.3">
      <c r="A68" s="13" t="s">
        <v>287</v>
      </c>
      <c r="B68" s="14">
        <v>45499</v>
      </c>
      <c r="C68" s="13" t="s">
        <v>90</v>
      </c>
      <c r="D68" s="13" t="s">
        <v>200</v>
      </c>
      <c r="E68" s="13" t="s">
        <v>128</v>
      </c>
      <c r="F68" s="15">
        <v>1</v>
      </c>
      <c r="G68" s="15">
        <v>2760</v>
      </c>
      <c r="H68" s="15">
        <v>4.8</v>
      </c>
      <c r="I68" s="15">
        <v>2627.52</v>
      </c>
      <c r="J68" s="13" t="s">
        <v>87</v>
      </c>
      <c r="K68" s="13" t="s">
        <v>94</v>
      </c>
      <c r="L68">
        <f>IF(COUNTIF(A$2:A68, A68)=1, IF(COUNTIF(A$2:A$2001, A68)&gt;1, 1, 0), 0)</f>
        <v>0</v>
      </c>
      <c r="M68" t="b">
        <f>VLOOKUP(D68, Products!A$2:F$61, 6, FALSE)</f>
        <v>1</v>
      </c>
      <c r="N68" t="str">
        <f>VLOOKUP(D68, Products!A$2:C$61, 3, FALSE)</f>
        <v>Grocery</v>
      </c>
      <c r="O68" t="str">
        <f>VLOOKUP(C68, Customers!A$2:E$301, 5, FALSE)</f>
        <v>Retail</v>
      </c>
      <c r="P68">
        <f>VLOOKUP(C68, Customers!A$2:C$301, 3, FALSE)</f>
        <v>39</v>
      </c>
      <c r="Q68" t="str">
        <f>VLOOKUP(E68, Sales_Reps!A$2:C$31, 3, FALSE)</f>
        <v>West</v>
      </c>
      <c r="R68">
        <f>VLOOKUP(D68, Products!A$2:D$61, 4, FALSE)</f>
        <v>1435</v>
      </c>
    </row>
    <row r="69" spans="1:18" x14ac:dyDescent="0.3">
      <c r="A69" s="13" t="s">
        <v>288</v>
      </c>
      <c r="B69" s="14">
        <v>45328</v>
      </c>
      <c r="C69" s="13" t="s">
        <v>289</v>
      </c>
      <c r="D69" s="13" t="s">
        <v>85</v>
      </c>
      <c r="E69" s="13" t="s">
        <v>238</v>
      </c>
      <c r="F69" s="15">
        <v>2</v>
      </c>
      <c r="G69" s="15">
        <v>3620</v>
      </c>
      <c r="H69" s="15">
        <v>19.100000000000001</v>
      </c>
      <c r="I69" s="15">
        <v>5857.16</v>
      </c>
      <c r="J69" s="13" t="s">
        <v>87</v>
      </c>
      <c r="K69" s="13" t="s">
        <v>94</v>
      </c>
      <c r="L69">
        <f>IF(COUNTIF(A$2:A69, A69)=1, IF(COUNTIF(A$2:A$2001, A69)&gt;1, 1, 0), 0)</f>
        <v>0</v>
      </c>
      <c r="M69" t="b">
        <f>VLOOKUP(D69, Products!A$2:F$61, 6, FALSE)</f>
        <v>1</v>
      </c>
      <c r="N69" t="str">
        <f>VLOOKUP(D69, Products!A$2:C$61, 3, FALSE)</f>
        <v>Apparel</v>
      </c>
      <c r="O69" t="str">
        <f>VLOOKUP(C69, Customers!A$2:E$301, 5, FALSE)</f>
        <v>Retail</v>
      </c>
      <c r="P69">
        <f>VLOOKUP(C69, Customers!A$2:C$301, 3, FALSE)</f>
        <v>38</v>
      </c>
      <c r="Q69" t="str">
        <f>VLOOKUP(E69, Sales_Reps!A$2:C$31, 3, FALSE)</f>
        <v>East</v>
      </c>
      <c r="R69">
        <f>VLOOKUP(D69, Products!A$2:D$61, 4, FALSE)</f>
        <v>2509</v>
      </c>
    </row>
    <row r="70" spans="1:18" x14ac:dyDescent="0.3">
      <c r="A70" s="13" t="s">
        <v>290</v>
      </c>
      <c r="B70" s="14">
        <v>45459</v>
      </c>
      <c r="C70" s="13" t="s">
        <v>291</v>
      </c>
      <c r="D70" s="13" t="s">
        <v>292</v>
      </c>
      <c r="E70" s="13" t="s">
        <v>111</v>
      </c>
      <c r="F70" s="15">
        <v>1</v>
      </c>
      <c r="G70" s="15">
        <v>620</v>
      </c>
      <c r="H70" s="15">
        <v>1</v>
      </c>
      <c r="I70" s="15">
        <v>613.79999999999995</v>
      </c>
      <c r="J70" s="13" t="s">
        <v>87</v>
      </c>
      <c r="K70" s="13" t="s">
        <v>99</v>
      </c>
      <c r="L70">
        <f>IF(COUNTIF(A$2:A70, A70)=1, IF(COUNTIF(A$2:A$2001, A70)&gt;1, 1, 0), 0)</f>
        <v>0</v>
      </c>
      <c r="M70" t="b">
        <f>VLOOKUP(D70, Products!A$2:F$61, 6, FALSE)</f>
        <v>1</v>
      </c>
      <c r="N70" t="str">
        <f>VLOOKUP(D70, Products!A$2:C$61, 3, FALSE)</f>
        <v>Apparel</v>
      </c>
      <c r="O70" t="str">
        <f>VLOOKUP(C70, Customers!A$2:E$301, 5, FALSE)</f>
        <v>Retail</v>
      </c>
      <c r="P70">
        <f>VLOOKUP(C70, Customers!A$2:C$301, 3, FALSE)</f>
        <v>35</v>
      </c>
      <c r="Q70" t="str">
        <f>VLOOKUP(E70, Sales_Reps!A$2:C$31, 3, FALSE)</f>
        <v>West</v>
      </c>
      <c r="R70">
        <f>VLOOKUP(D70, Products!A$2:D$61, 4, FALSE)</f>
        <v>396</v>
      </c>
    </row>
    <row r="71" spans="1:18" x14ac:dyDescent="0.3">
      <c r="A71" s="13" t="s">
        <v>293</v>
      </c>
      <c r="B71" s="14">
        <v>45398</v>
      </c>
      <c r="C71" s="13" t="s">
        <v>294</v>
      </c>
      <c r="D71" s="13" t="s">
        <v>295</v>
      </c>
      <c r="E71" s="13" t="s">
        <v>170</v>
      </c>
      <c r="F71" s="15">
        <v>1</v>
      </c>
      <c r="G71" s="15">
        <v>2030</v>
      </c>
      <c r="H71" s="15">
        <v>3.3</v>
      </c>
      <c r="I71" s="15">
        <v>1963.01</v>
      </c>
      <c r="J71" s="13" t="s">
        <v>87</v>
      </c>
      <c r="K71" s="13" t="s">
        <v>133</v>
      </c>
      <c r="L71">
        <f>IF(COUNTIF(A$2:A71, A71)=1, IF(COUNTIF(A$2:A$2001, A71)&gt;1, 1, 0), 0)</f>
        <v>0</v>
      </c>
      <c r="M71" t="b">
        <f>VLOOKUP(D71, Products!A$2:F$61, 6, FALSE)</f>
        <v>1</v>
      </c>
      <c r="N71" t="str">
        <f>VLOOKUP(D71, Products!A$2:C$61, 3, FALSE)</f>
        <v>Home</v>
      </c>
      <c r="O71" t="str">
        <f>VLOOKUP(C71, Customers!A$2:E$301, 5, FALSE)</f>
        <v>SMB</v>
      </c>
      <c r="P71">
        <f>VLOOKUP(C71, Customers!A$2:C$301, 3, FALSE)</f>
        <v>43</v>
      </c>
      <c r="Q71" t="str">
        <f>VLOOKUP(E71, Sales_Reps!A$2:C$31, 3, FALSE)</f>
        <v>West</v>
      </c>
      <c r="R71">
        <f>VLOOKUP(D71, Products!A$2:D$61, 4, FALSE)</f>
        <v>1143</v>
      </c>
    </row>
    <row r="72" spans="1:18" x14ac:dyDescent="0.3">
      <c r="A72" s="13" t="s">
        <v>296</v>
      </c>
      <c r="B72" s="14">
        <v>45470</v>
      </c>
      <c r="C72" s="13" t="s">
        <v>105</v>
      </c>
      <c r="D72" s="13" t="s">
        <v>106</v>
      </c>
      <c r="E72" s="13" t="s">
        <v>297</v>
      </c>
      <c r="F72" s="15">
        <v>10</v>
      </c>
      <c r="G72" s="15">
        <v>3160</v>
      </c>
      <c r="H72" s="15">
        <v>15.8</v>
      </c>
      <c r="I72" s="15">
        <v>26607.200000000001</v>
      </c>
      <c r="J72" s="13" t="s">
        <v>87</v>
      </c>
      <c r="K72" s="13" t="s">
        <v>94</v>
      </c>
      <c r="L72">
        <f>IF(COUNTIF(A$2:A72, A72)=1, IF(COUNTIF(A$2:A$2001, A72)&gt;1, 1, 0), 0)</f>
        <v>0</v>
      </c>
      <c r="M72" t="b">
        <f>VLOOKUP(D72, Products!A$2:F$61, 6, FALSE)</f>
        <v>1</v>
      </c>
      <c r="N72" t="str">
        <f>VLOOKUP(D72, Products!A$2:C$61, 3, FALSE)</f>
        <v>Apparel</v>
      </c>
      <c r="O72" t="str">
        <f>VLOOKUP(C72, Customers!A$2:E$301, 5, FALSE)</f>
        <v>Retail</v>
      </c>
      <c r="P72">
        <f>VLOOKUP(C72, Customers!A$2:C$301, 3, FALSE)</f>
        <v>36</v>
      </c>
      <c r="Q72" t="str">
        <f>VLOOKUP(E72, Sales_Reps!A$2:C$31, 3, FALSE)</f>
        <v>North</v>
      </c>
      <c r="R72">
        <f>VLOOKUP(D72, Products!A$2:D$61, 4, FALSE)</f>
        <v>1886</v>
      </c>
    </row>
    <row r="73" spans="1:18" x14ac:dyDescent="0.3">
      <c r="A73" s="13" t="s">
        <v>298</v>
      </c>
      <c r="B73" s="14">
        <v>45346</v>
      </c>
      <c r="C73" s="13" t="s">
        <v>299</v>
      </c>
      <c r="D73" s="13" t="s">
        <v>127</v>
      </c>
      <c r="E73" s="13" t="s">
        <v>215</v>
      </c>
      <c r="F73" s="15">
        <v>5</v>
      </c>
      <c r="G73" s="15">
        <v>970</v>
      </c>
      <c r="H73" s="15">
        <v>12.2</v>
      </c>
      <c r="I73" s="15">
        <v>4258.3</v>
      </c>
      <c r="J73" s="13" t="s">
        <v>87</v>
      </c>
      <c r="K73" s="13" t="s">
        <v>133</v>
      </c>
      <c r="L73">
        <f>IF(COUNTIF(A$2:A73, A73)=1, IF(COUNTIF(A$2:A$2001, A73)&gt;1, 1, 0), 0)</f>
        <v>0</v>
      </c>
      <c r="M73" t="b">
        <f>VLOOKUP(D73, Products!A$2:F$61, 6, FALSE)</f>
        <v>1</v>
      </c>
      <c r="N73" t="str">
        <f>VLOOKUP(D73, Products!A$2:C$61, 3, FALSE)</f>
        <v>Grocery</v>
      </c>
      <c r="O73" t="str">
        <f>VLOOKUP(C73, Customers!A$2:E$301, 5, FALSE)</f>
        <v>Retail</v>
      </c>
      <c r="P73">
        <f>VLOOKUP(C73, Customers!A$2:C$301, 3, FALSE)</f>
        <v>29</v>
      </c>
      <c r="Q73" t="str">
        <f>VLOOKUP(E73, Sales_Reps!A$2:C$31, 3, FALSE)</f>
        <v>North</v>
      </c>
      <c r="R73">
        <f>VLOOKUP(D73, Products!A$2:D$61, 4, FALSE)</f>
        <v>434</v>
      </c>
    </row>
    <row r="74" spans="1:18" x14ac:dyDescent="0.3">
      <c r="A74" s="13" t="s">
        <v>300</v>
      </c>
      <c r="B74" s="14">
        <v>45483</v>
      </c>
      <c r="C74" s="13" t="s">
        <v>301</v>
      </c>
      <c r="D74" s="13" t="s">
        <v>179</v>
      </c>
      <c r="E74" s="13" t="s">
        <v>148</v>
      </c>
      <c r="F74" s="15">
        <v>9</v>
      </c>
      <c r="G74" s="15">
        <v>3350</v>
      </c>
      <c r="H74" s="15">
        <v>25.8</v>
      </c>
      <c r="I74" s="15">
        <v>22371.3</v>
      </c>
      <c r="J74" s="13" t="s">
        <v>93</v>
      </c>
      <c r="K74" s="13" t="s">
        <v>94</v>
      </c>
      <c r="L74">
        <f>IF(COUNTIF(A$2:A74, A74)=1, IF(COUNTIF(A$2:A$2001, A74)&gt;1, 1, 0), 0)</f>
        <v>0</v>
      </c>
      <c r="M74" t="b">
        <f>VLOOKUP(D74, Products!A$2:F$61, 6, FALSE)</f>
        <v>1</v>
      </c>
      <c r="N74" t="str">
        <f>VLOOKUP(D74, Products!A$2:C$61, 3, FALSE)</f>
        <v>Beauty</v>
      </c>
      <c r="O74" t="str">
        <f>VLOOKUP(C74, Customers!A$2:E$301, 5, FALSE)</f>
        <v>Retail</v>
      </c>
      <c r="P74">
        <f>VLOOKUP(C74, Customers!A$2:C$301, 3, FALSE)</f>
        <v>41</v>
      </c>
      <c r="Q74" t="str">
        <f>VLOOKUP(E74, Sales_Reps!A$2:C$31, 3, FALSE)</f>
        <v>North</v>
      </c>
      <c r="R74">
        <f>VLOOKUP(D74, Products!A$2:D$61, 4, FALSE)</f>
        <v>1728</v>
      </c>
    </row>
    <row r="75" spans="1:18" x14ac:dyDescent="0.3">
      <c r="A75" s="13" t="s">
        <v>302</v>
      </c>
      <c r="B75" s="14">
        <v>45585</v>
      </c>
      <c r="C75" s="13" t="s">
        <v>258</v>
      </c>
      <c r="D75" s="13" t="s">
        <v>110</v>
      </c>
      <c r="E75" s="13" t="s">
        <v>303</v>
      </c>
      <c r="F75" s="15">
        <v>1</v>
      </c>
      <c r="G75" s="15">
        <v>370</v>
      </c>
      <c r="H75" s="15">
        <v>28.9</v>
      </c>
      <c r="I75" s="15">
        <v>263.07</v>
      </c>
      <c r="J75" s="13" t="s">
        <v>87</v>
      </c>
      <c r="K75" s="13" t="s">
        <v>99</v>
      </c>
      <c r="L75">
        <f>IF(COUNTIF(A$2:A75, A75)=1, IF(COUNTIF(A$2:A$2001, A75)&gt;1, 1, 0), 0)</f>
        <v>0</v>
      </c>
      <c r="M75" t="b">
        <f>VLOOKUP(D75, Products!A$2:F$61, 6, FALSE)</f>
        <v>1</v>
      </c>
      <c r="N75" t="str">
        <f>VLOOKUP(D75, Products!A$2:C$61, 3, FALSE)</f>
        <v>Home</v>
      </c>
      <c r="O75" t="str">
        <f>VLOOKUP(C75, Customers!A$2:E$301, 5, FALSE)</f>
        <v>SMB</v>
      </c>
      <c r="P75">
        <f>VLOOKUP(C75, Customers!A$2:C$301, 3, FALSE)</f>
        <v>55</v>
      </c>
      <c r="Q75" t="str">
        <f>VLOOKUP(E75, Sales_Reps!A$2:C$31, 3, FALSE)</f>
        <v>East</v>
      </c>
      <c r="R75">
        <f>VLOOKUP(D75, Products!A$2:D$61, 4, FALSE)</f>
        <v>288</v>
      </c>
    </row>
    <row r="76" spans="1:18" x14ac:dyDescent="0.3">
      <c r="A76" s="13" t="s">
        <v>304</v>
      </c>
      <c r="B76" s="14">
        <v>45500</v>
      </c>
      <c r="C76" s="13" t="s">
        <v>305</v>
      </c>
      <c r="D76" s="13" t="s">
        <v>127</v>
      </c>
      <c r="E76" s="13" t="s">
        <v>132</v>
      </c>
      <c r="F76" s="15">
        <v>3</v>
      </c>
      <c r="G76" s="15">
        <v>970</v>
      </c>
      <c r="H76" s="15">
        <v>4.3</v>
      </c>
      <c r="I76" s="15">
        <v>2784.87</v>
      </c>
      <c r="J76" s="13" t="s">
        <v>140</v>
      </c>
      <c r="K76" s="13" t="s">
        <v>133</v>
      </c>
      <c r="L76">
        <f>IF(COUNTIF(A$2:A76, A76)=1, IF(COUNTIF(A$2:A$2001, A76)&gt;1, 1, 0), 0)</f>
        <v>0</v>
      </c>
      <c r="M76" t="b">
        <f>VLOOKUP(D76, Products!A$2:F$61, 6, FALSE)</f>
        <v>1</v>
      </c>
      <c r="N76" t="str">
        <f>VLOOKUP(D76, Products!A$2:C$61, 3, FALSE)</f>
        <v>Grocery</v>
      </c>
      <c r="O76" t="str">
        <f>VLOOKUP(C76, Customers!A$2:E$301, 5, FALSE)</f>
        <v>Corporate</v>
      </c>
      <c r="P76">
        <f>VLOOKUP(C76, Customers!A$2:C$301, 3, FALSE)</f>
        <v>46</v>
      </c>
      <c r="Q76" t="str">
        <f>VLOOKUP(E76, Sales_Reps!A$2:C$31, 3, FALSE)</f>
        <v>South</v>
      </c>
      <c r="R76">
        <f>VLOOKUP(D76, Products!A$2:D$61, 4, FALSE)</f>
        <v>434</v>
      </c>
    </row>
    <row r="77" spans="1:18" x14ac:dyDescent="0.3">
      <c r="A77" s="13" t="s">
        <v>306</v>
      </c>
      <c r="B77" s="14">
        <v>45375</v>
      </c>
      <c r="C77" s="13" t="s">
        <v>142</v>
      </c>
      <c r="D77" s="13" t="s">
        <v>200</v>
      </c>
      <c r="E77" s="13" t="s">
        <v>285</v>
      </c>
      <c r="F77" s="15">
        <v>6</v>
      </c>
      <c r="G77" s="15">
        <v>2760</v>
      </c>
      <c r="H77" s="15">
        <v>19.899999999999999</v>
      </c>
      <c r="I77" s="15">
        <v>13264.56</v>
      </c>
      <c r="J77" s="13" t="s">
        <v>93</v>
      </c>
      <c r="K77" s="13" t="s">
        <v>88</v>
      </c>
      <c r="L77">
        <f>IF(COUNTIF(A$2:A77, A77)=1, IF(COUNTIF(A$2:A$2001, A77)&gt;1, 1, 0), 0)</f>
        <v>0</v>
      </c>
      <c r="M77" t="b">
        <f>VLOOKUP(D77, Products!A$2:F$61, 6, FALSE)</f>
        <v>1</v>
      </c>
      <c r="N77" t="str">
        <f>VLOOKUP(D77, Products!A$2:C$61, 3, FALSE)</f>
        <v>Grocery</v>
      </c>
      <c r="O77" t="str">
        <f>VLOOKUP(C77, Customers!A$2:E$301, 5, FALSE)</f>
        <v>SMB</v>
      </c>
      <c r="P77">
        <f>VLOOKUP(C77, Customers!A$2:C$301, 3, FALSE)</f>
        <v>39</v>
      </c>
      <c r="Q77" t="str">
        <f>VLOOKUP(E77, Sales_Reps!A$2:C$31, 3, FALSE)</f>
        <v>East</v>
      </c>
      <c r="R77">
        <f>VLOOKUP(D77, Products!A$2:D$61, 4, FALSE)</f>
        <v>1435</v>
      </c>
    </row>
    <row r="78" spans="1:18" x14ac:dyDescent="0.3">
      <c r="A78" s="13" t="s">
        <v>307</v>
      </c>
      <c r="B78" s="14">
        <v>45443</v>
      </c>
      <c r="C78" s="13" t="s">
        <v>308</v>
      </c>
      <c r="D78" s="13" t="s">
        <v>200</v>
      </c>
      <c r="E78" s="13" t="s">
        <v>121</v>
      </c>
      <c r="F78" s="15">
        <v>7</v>
      </c>
      <c r="G78" s="15">
        <v>2760</v>
      </c>
      <c r="H78" s="15">
        <v>25.2</v>
      </c>
      <c r="I78" s="15">
        <v>14451.36</v>
      </c>
      <c r="J78" s="13" t="s">
        <v>87</v>
      </c>
      <c r="K78" s="13" t="s">
        <v>88</v>
      </c>
      <c r="L78">
        <f>IF(COUNTIF(A$2:A78, A78)=1, IF(COUNTIF(A$2:A$2001, A78)&gt;1, 1, 0), 0)</f>
        <v>0</v>
      </c>
      <c r="M78" t="b">
        <f>VLOOKUP(D78, Products!A$2:F$61, 6, FALSE)</f>
        <v>1</v>
      </c>
      <c r="N78" t="str">
        <f>VLOOKUP(D78, Products!A$2:C$61, 3, FALSE)</f>
        <v>Grocery</v>
      </c>
      <c r="O78" t="str">
        <f>VLOOKUP(C78, Customers!A$2:E$301, 5, FALSE)</f>
        <v>SMB</v>
      </c>
      <c r="P78">
        <f>VLOOKUP(C78, Customers!A$2:C$301, 3, FALSE)</f>
        <v>54</v>
      </c>
      <c r="Q78" t="str">
        <f>VLOOKUP(E78, Sales_Reps!A$2:C$31, 3, FALSE)</f>
        <v>East</v>
      </c>
      <c r="R78">
        <f>VLOOKUP(D78, Products!A$2:D$61, 4, FALSE)</f>
        <v>1435</v>
      </c>
    </row>
    <row r="79" spans="1:18" x14ac:dyDescent="0.3">
      <c r="A79" s="13" t="s">
        <v>309</v>
      </c>
      <c r="B79" s="14">
        <v>45390</v>
      </c>
      <c r="C79" s="13" t="s">
        <v>310</v>
      </c>
      <c r="D79" s="13" t="s">
        <v>267</v>
      </c>
      <c r="E79" s="13" t="s">
        <v>285</v>
      </c>
      <c r="F79" s="15">
        <v>4</v>
      </c>
      <c r="G79" s="15">
        <v>1220</v>
      </c>
      <c r="H79" s="15">
        <v>8.4</v>
      </c>
      <c r="I79" s="15">
        <v>4470.08</v>
      </c>
      <c r="J79" s="13" t="s">
        <v>87</v>
      </c>
      <c r="K79" s="13" t="s">
        <v>117</v>
      </c>
      <c r="L79">
        <f>IF(COUNTIF(A$2:A79, A79)=1, IF(COUNTIF(A$2:A$2001, A79)&gt;1, 1, 0), 0)</f>
        <v>0</v>
      </c>
      <c r="M79" t="b">
        <f>VLOOKUP(D79, Products!A$2:F$61, 6, FALSE)</f>
        <v>1</v>
      </c>
      <c r="N79" t="str">
        <f>VLOOKUP(D79, Products!A$2:C$61, 3, FALSE)</f>
        <v>Electronics</v>
      </c>
      <c r="O79" t="str">
        <f>VLOOKUP(C79, Customers!A$2:E$301, 5, FALSE)</f>
        <v>Retail</v>
      </c>
      <c r="P79">
        <f>VLOOKUP(C79, Customers!A$2:C$301, 3, FALSE)</f>
        <v>42</v>
      </c>
      <c r="Q79" t="str">
        <f>VLOOKUP(E79, Sales_Reps!A$2:C$31, 3, FALSE)</f>
        <v>East</v>
      </c>
      <c r="R79">
        <f>VLOOKUP(D79, Products!A$2:D$61, 4, FALSE)</f>
        <v>517</v>
      </c>
    </row>
    <row r="80" spans="1:18" x14ac:dyDescent="0.3">
      <c r="A80" s="13" t="s">
        <v>311</v>
      </c>
      <c r="B80" s="14">
        <v>45615</v>
      </c>
      <c r="C80" s="13" t="s">
        <v>312</v>
      </c>
      <c r="D80" s="13" t="s">
        <v>138</v>
      </c>
      <c r="E80" s="13" t="s">
        <v>128</v>
      </c>
      <c r="F80" s="15">
        <v>2</v>
      </c>
      <c r="G80" s="15">
        <v>2600</v>
      </c>
      <c r="H80" s="15">
        <v>1.9</v>
      </c>
      <c r="I80" s="15">
        <v>5101.2</v>
      </c>
      <c r="J80" s="13" t="s">
        <v>93</v>
      </c>
      <c r="K80" s="13" t="s">
        <v>133</v>
      </c>
      <c r="L80">
        <f>IF(COUNTIF(A$2:A80, A80)=1, IF(COUNTIF(A$2:A$2001, A80)&gt;1, 1, 0), 0)</f>
        <v>0</v>
      </c>
      <c r="M80" t="b">
        <f>VLOOKUP(D80, Products!A$2:F$61, 6, FALSE)</f>
        <v>1</v>
      </c>
      <c r="N80" t="str">
        <f>VLOOKUP(D80, Products!A$2:C$61, 3, FALSE)</f>
        <v>Electronics</v>
      </c>
      <c r="O80" t="str">
        <f>VLOOKUP(C80, Customers!A$2:E$301, 5, FALSE)</f>
        <v>Retail</v>
      </c>
      <c r="P80">
        <f>VLOOKUP(C80, Customers!A$2:C$301, 3, FALSE)</f>
        <v>46</v>
      </c>
      <c r="Q80" t="str">
        <f>VLOOKUP(E80, Sales_Reps!A$2:C$31, 3, FALSE)</f>
        <v>West</v>
      </c>
      <c r="R80">
        <f>VLOOKUP(D80, Products!A$2:D$61, 4, FALSE)</f>
        <v>1052</v>
      </c>
    </row>
    <row r="81" spans="1:18" x14ac:dyDescent="0.3">
      <c r="A81" s="13" t="s">
        <v>313</v>
      </c>
      <c r="B81" s="14">
        <v>45498</v>
      </c>
      <c r="C81" s="13" t="s">
        <v>314</v>
      </c>
      <c r="D81" s="13" t="s">
        <v>264</v>
      </c>
      <c r="E81" s="13" t="s">
        <v>170</v>
      </c>
      <c r="F81" s="15">
        <v>9</v>
      </c>
      <c r="G81" s="15">
        <v>4070</v>
      </c>
      <c r="H81" s="15">
        <v>28.8</v>
      </c>
      <c r="I81" s="15">
        <v>26080.560000000001</v>
      </c>
      <c r="J81" s="13" t="s">
        <v>87</v>
      </c>
      <c r="K81" s="13" t="s">
        <v>88</v>
      </c>
      <c r="L81">
        <f>IF(COUNTIF(A$2:A81, A81)=1, IF(COUNTIF(A$2:A$2001, A81)&gt;1, 1, 0), 0)</f>
        <v>0</v>
      </c>
      <c r="M81" t="b">
        <f>VLOOKUP(D81, Products!A$2:F$61, 6, FALSE)</f>
        <v>1</v>
      </c>
      <c r="N81" t="str">
        <f>VLOOKUP(D81, Products!A$2:C$61, 3, FALSE)</f>
        <v>Grocery</v>
      </c>
      <c r="O81" t="str">
        <f>VLOOKUP(C81, Customers!A$2:E$301, 5, FALSE)</f>
        <v>Corporate</v>
      </c>
      <c r="P81">
        <f>VLOOKUP(C81, Customers!A$2:C$301, 3, FALSE)</f>
        <v>33</v>
      </c>
      <c r="Q81" t="str">
        <f>VLOOKUP(E81, Sales_Reps!A$2:C$31, 3, FALSE)</f>
        <v>West</v>
      </c>
      <c r="R81">
        <f>VLOOKUP(D81, Products!A$2:D$61, 4, FALSE)</f>
        <v>2027</v>
      </c>
    </row>
    <row r="82" spans="1:18" x14ac:dyDescent="0.3">
      <c r="A82" s="13" t="s">
        <v>315</v>
      </c>
      <c r="B82" s="14">
        <v>45515</v>
      </c>
      <c r="C82" s="13" t="s">
        <v>316</v>
      </c>
      <c r="D82" s="13" t="s">
        <v>131</v>
      </c>
      <c r="E82" s="13" t="s">
        <v>92</v>
      </c>
      <c r="F82" s="15">
        <v>2</v>
      </c>
      <c r="G82" s="15">
        <v>2270</v>
      </c>
      <c r="H82" s="15">
        <v>18</v>
      </c>
      <c r="I82" s="15">
        <v>3722.8</v>
      </c>
      <c r="J82" s="13" t="s">
        <v>144</v>
      </c>
      <c r="K82" s="13" t="s">
        <v>88</v>
      </c>
      <c r="L82">
        <f>IF(COUNTIF(A$2:A82, A82)=1, IF(COUNTIF(A$2:A$2001, A82)&gt;1, 1, 0), 0)</f>
        <v>0</v>
      </c>
      <c r="M82" t="b">
        <f>VLOOKUP(D82, Products!A$2:F$61, 6, FALSE)</f>
        <v>1</v>
      </c>
      <c r="N82" t="str">
        <f>VLOOKUP(D82, Products!A$2:C$61, 3, FALSE)</f>
        <v>Grocery</v>
      </c>
      <c r="O82" t="str">
        <f>VLOOKUP(C82, Customers!A$2:E$301, 5, FALSE)</f>
        <v>SMB</v>
      </c>
      <c r="P82">
        <f>VLOOKUP(C82, Customers!A$2:C$301, 3, FALSE)</f>
        <v>60</v>
      </c>
      <c r="Q82" t="str">
        <f>VLOOKUP(E82, Sales_Reps!A$2:C$31, 3, FALSE)</f>
        <v>North</v>
      </c>
      <c r="R82">
        <f>VLOOKUP(D82, Products!A$2:D$61, 4, FALSE)</f>
        <v>1203</v>
      </c>
    </row>
    <row r="83" spans="1:18" x14ac:dyDescent="0.3">
      <c r="A83" s="13" t="s">
        <v>317</v>
      </c>
      <c r="B83" s="14">
        <v>45528</v>
      </c>
      <c r="C83" s="13" t="s">
        <v>318</v>
      </c>
      <c r="D83" s="13" t="s">
        <v>106</v>
      </c>
      <c r="E83" s="13" t="s">
        <v>238</v>
      </c>
      <c r="F83" s="15">
        <v>2</v>
      </c>
      <c r="G83" s="15">
        <v>3160</v>
      </c>
      <c r="H83" s="15">
        <v>18.3</v>
      </c>
      <c r="I83" s="15">
        <v>5163.4399999999996</v>
      </c>
      <c r="J83" s="13" t="s">
        <v>87</v>
      </c>
      <c r="K83" s="13" t="s">
        <v>94</v>
      </c>
      <c r="L83">
        <f>IF(COUNTIF(A$2:A83, A83)=1, IF(COUNTIF(A$2:A$2001, A83)&gt;1, 1, 0), 0)</f>
        <v>0</v>
      </c>
      <c r="M83" t="b">
        <f>VLOOKUP(D83, Products!A$2:F$61, 6, FALSE)</f>
        <v>1</v>
      </c>
      <c r="N83" t="str">
        <f>VLOOKUP(D83, Products!A$2:C$61, 3, FALSE)</f>
        <v>Apparel</v>
      </c>
      <c r="O83" t="str">
        <f>VLOOKUP(C83, Customers!A$2:E$301, 5, FALSE)</f>
        <v>SMB</v>
      </c>
      <c r="P83">
        <f>VLOOKUP(C83, Customers!A$2:C$301, 3, FALSE)</f>
        <v>57</v>
      </c>
      <c r="Q83" t="str">
        <f>VLOOKUP(E83, Sales_Reps!A$2:C$31, 3, FALSE)</f>
        <v>East</v>
      </c>
      <c r="R83">
        <f>VLOOKUP(D83, Products!A$2:D$61, 4, FALSE)</f>
        <v>1886</v>
      </c>
    </row>
    <row r="84" spans="1:18" x14ac:dyDescent="0.3">
      <c r="A84" s="13" t="s">
        <v>319</v>
      </c>
      <c r="B84" s="14">
        <v>45402</v>
      </c>
      <c r="C84" s="13" t="s">
        <v>320</v>
      </c>
      <c r="D84" s="13" t="s">
        <v>167</v>
      </c>
      <c r="E84" s="13" t="s">
        <v>86</v>
      </c>
      <c r="F84" s="15">
        <v>4</v>
      </c>
      <c r="G84" s="15">
        <v>2480</v>
      </c>
      <c r="H84" s="15">
        <v>1.1000000000000001</v>
      </c>
      <c r="I84" s="15">
        <v>9810.8799999999992</v>
      </c>
      <c r="J84" s="13" t="s">
        <v>93</v>
      </c>
      <c r="K84" s="13" t="s">
        <v>133</v>
      </c>
      <c r="L84">
        <f>IF(COUNTIF(A$2:A84, A84)=1, IF(COUNTIF(A$2:A$2001, A84)&gt;1, 1, 0), 0)</f>
        <v>0</v>
      </c>
      <c r="M84" t="b">
        <f>VLOOKUP(D84, Products!A$2:F$61, 6, FALSE)</f>
        <v>1</v>
      </c>
      <c r="N84" t="str">
        <f>VLOOKUP(D84, Products!A$2:C$61, 3, FALSE)</f>
        <v>Apparel</v>
      </c>
      <c r="O84" t="str">
        <f>VLOOKUP(C84, Customers!A$2:E$301, 5, FALSE)</f>
        <v>SMB</v>
      </c>
      <c r="P84">
        <f>VLOOKUP(C84, Customers!A$2:C$301, 3, FALSE)</f>
        <v>36</v>
      </c>
      <c r="Q84" t="str">
        <f>VLOOKUP(E84, Sales_Reps!A$2:C$31, 3, FALSE)</f>
        <v>North</v>
      </c>
      <c r="R84">
        <f>VLOOKUP(D84, Products!A$2:D$61, 4, FALSE)</f>
        <v>1173</v>
      </c>
    </row>
    <row r="85" spans="1:18" x14ac:dyDescent="0.3">
      <c r="A85" s="13" t="s">
        <v>321</v>
      </c>
      <c r="B85" s="14">
        <v>45547</v>
      </c>
      <c r="C85" s="13" t="s">
        <v>322</v>
      </c>
      <c r="D85" s="13" t="s">
        <v>279</v>
      </c>
      <c r="E85" s="13" t="s">
        <v>201</v>
      </c>
      <c r="F85" s="15">
        <v>1</v>
      </c>
      <c r="G85" s="15">
        <v>2660</v>
      </c>
      <c r="H85" s="15">
        <v>21</v>
      </c>
      <c r="I85" s="15">
        <v>2101.4</v>
      </c>
      <c r="J85" s="13" t="s">
        <v>87</v>
      </c>
      <c r="K85" s="13" t="s">
        <v>99</v>
      </c>
      <c r="L85">
        <f>IF(COUNTIF(A$2:A85, A85)=1, IF(COUNTIF(A$2:A$2001, A85)&gt;1, 1, 0), 0)</f>
        <v>0</v>
      </c>
      <c r="M85" t="b">
        <f>VLOOKUP(D85, Products!A$2:F$61, 6, FALSE)</f>
        <v>0</v>
      </c>
      <c r="N85" t="str">
        <f>VLOOKUP(D85, Products!A$2:C$61, 3, FALSE)</f>
        <v>Electronics</v>
      </c>
      <c r="O85" t="str">
        <f>VLOOKUP(C85, Customers!A$2:E$301, 5, FALSE)</f>
        <v>Retail</v>
      </c>
      <c r="P85">
        <f>VLOOKUP(C85, Customers!A$2:C$301, 3, FALSE)</f>
        <v>31</v>
      </c>
      <c r="Q85" t="str">
        <f>VLOOKUP(E85, Sales_Reps!A$2:C$31, 3, FALSE)</f>
        <v>West</v>
      </c>
      <c r="R85">
        <f>VLOOKUP(D85, Products!A$2:D$61, 4, FALSE)</f>
        <v>1259</v>
      </c>
    </row>
    <row r="86" spans="1:18" x14ac:dyDescent="0.3">
      <c r="A86" s="13" t="s">
        <v>323</v>
      </c>
      <c r="B86" s="14">
        <v>45424</v>
      </c>
      <c r="C86" s="13" t="s">
        <v>324</v>
      </c>
      <c r="D86" s="13" t="s">
        <v>276</v>
      </c>
      <c r="E86" s="13" t="s">
        <v>325</v>
      </c>
      <c r="F86" s="15">
        <v>5</v>
      </c>
      <c r="G86" s="15">
        <v>3020</v>
      </c>
      <c r="H86" s="15">
        <v>22.2</v>
      </c>
      <c r="I86" s="15">
        <v>11747.8</v>
      </c>
      <c r="J86" s="13" t="s">
        <v>87</v>
      </c>
      <c r="K86" s="13" t="s">
        <v>133</v>
      </c>
      <c r="L86">
        <f>IF(COUNTIF(A$2:A86, A86)=1, IF(COUNTIF(A$2:A$2001, A86)&gt;1, 1, 0), 0)</f>
        <v>0</v>
      </c>
      <c r="M86" t="b">
        <f>VLOOKUP(D86, Products!A$2:F$61, 6, FALSE)</f>
        <v>1</v>
      </c>
      <c r="N86" t="str">
        <f>VLOOKUP(D86, Products!A$2:C$61, 3, FALSE)</f>
        <v>Beauty</v>
      </c>
      <c r="O86" t="str">
        <f>VLOOKUP(C86, Customers!A$2:E$301, 5, FALSE)</f>
        <v>Retail</v>
      </c>
      <c r="P86">
        <f>VLOOKUP(C86, Customers!A$2:C$301, 3, FALSE)</f>
        <v>28</v>
      </c>
      <c r="Q86" t="str">
        <f>VLOOKUP(E86, Sales_Reps!A$2:C$31, 3, FALSE)</f>
        <v>South</v>
      </c>
      <c r="R86">
        <f>VLOOKUP(D86, Products!A$2:D$61, 4, FALSE)</f>
        <v>1626</v>
      </c>
    </row>
    <row r="87" spans="1:18" x14ac:dyDescent="0.3">
      <c r="A87" s="13" t="s">
        <v>326</v>
      </c>
      <c r="B87" s="14">
        <v>45461</v>
      </c>
      <c r="C87" s="13" t="s">
        <v>194</v>
      </c>
      <c r="D87" s="13" t="s">
        <v>292</v>
      </c>
      <c r="E87" s="13" t="s">
        <v>170</v>
      </c>
      <c r="F87" s="15">
        <v>9</v>
      </c>
      <c r="G87" s="15">
        <v>620</v>
      </c>
      <c r="H87" s="15">
        <v>23.3</v>
      </c>
      <c r="I87" s="15">
        <v>4279.8599999999997</v>
      </c>
      <c r="J87" s="13" t="s">
        <v>87</v>
      </c>
      <c r="K87" s="13" t="s">
        <v>88</v>
      </c>
      <c r="L87">
        <f>IF(COUNTIF(A$2:A87, A87)=1, IF(COUNTIF(A$2:A$2001, A87)&gt;1, 1, 0), 0)</f>
        <v>0</v>
      </c>
      <c r="M87" t="b">
        <f>VLOOKUP(D87, Products!A$2:F$61, 6, FALSE)</f>
        <v>1</v>
      </c>
      <c r="N87" t="str">
        <f>VLOOKUP(D87, Products!A$2:C$61, 3, FALSE)</f>
        <v>Apparel</v>
      </c>
      <c r="O87" t="str">
        <f>VLOOKUP(C87, Customers!A$2:E$301, 5, FALSE)</f>
        <v>SMB</v>
      </c>
      <c r="P87">
        <f>VLOOKUP(C87, Customers!A$2:C$301, 3, FALSE)</f>
        <v>44</v>
      </c>
      <c r="Q87" t="str">
        <f>VLOOKUP(E87, Sales_Reps!A$2:C$31, 3, FALSE)</f>
        <v>West</v>
      </c>
      <c r="R87">
        <f>VLOOKUP(D87, Products!A$2:D$61, 4, FALSE)</f>
        <v>396</v>
      </c>
    </row>
    <row r="88" spans="1:18" x14ac:dyDescent="0.3">
      <c r="A88" s="13" t="s">
        <v>327</v>
      </c>
      <c r="B88" s="14">
        <v>45600</v>
      </c>
      <c r="C88" s="13" t="s">
        <v>328</v>
      </c>
      <c r="D88" s="13" t="s">
        <v>97</v>
      </c>
      <c r="E88" s="13" t="s">
        <v>201</v>
      </c>
      <c r="F88" s="15">
        <v>2</v>
      </c>
      <c r="G88" s="15">
        <v>470</v>
      </c>
      <c r="H88" s="15">
        <v>5.4</v>
      </c>
      <c r="I88" s="15">
        <v>889.24</v>
      </c>
      <c r="J88" s="13" t="s">
        <v>87</v>
      </c>
      <c r="K88" s="13" t="s">
        <v>94</v>
      </c>
      <c r="L88">
        <f>IF(COUNTIF(A$2:A88, A88)=1, IF(COUNTIF(A$2:A$2001, A88)&gt;1, 1, 0), 0)</f>
        <v>0</v>
      </c>
      <c r="M88" t="b">
        <f>VLOOKUP(D88, Products!A$2:F$61, 6, FALSE)</f>
        <v>0</v>
      </c>
      <c r="N88" t="str">
        <f>VLOOKUP(D88, Products!A$2:C$61, 3, FALSE)</f>
        <v>Sports</v>
      </c>
      <c r="O88" t="str">
        <f>VLOOKUP(C88, Customers!A$2:E$301, 5, FALSE)</f>
        <v>Retail</v>
      </c>
      <c r="P88">
        <f>VLOOKUP(C88, Customers!A$2:C$301, 3, FALSE)</f>
        <v>28</v>
      </c>
      <c r="Q88" t="str">
        <f>VLOOKUP(E88, Sales_Reps!A$2:C$31, 3, FALSE)</f>
        <v>West</v>
      </c>
      <c r="R88">
        <f>VLOOKUP(D88, Products!A$2:D$61, 4, FALSE)</f>
        <v>302</v>
      </c>
    </row>
    <row r="89" spans="1:18" x14ac:dyDescent="0.3">
      <c r="A89" s="13" t="s">
        <v>329</v>
      </c>
      <c r="B89" s="14">
        <v>45587</v>
      </c>
      <c r="C89" s="13" t="s">
        <v>172</v>
      </c>
      <c r="D89" s="13" t="s">
        <v>120</v>
      </c>
      <c r="E89" s="13" t="s">
        <v>132</v>
      </c>
      <c r="F89" s="15">
        <v>3</v>
      </c>
      <c r="G89" s="15">
        <v>1430</v>
      </c>
      <c r="H89" s="15">
        <v>6.5</v>
      </c>
      <c r="I89" s="15">
        <v>4011.15</v>
      </c>
      <c r="J89" s="13" t="s">
        <v>87</v>
      </c>
      <c r="K89" s="13" t="s">
        <v>88</v>
      </c>
      <c r="L89">
        <f>IF(COUNTIF(A$2:A89, A89)=1, IF(COUNTIF(A$2:A$2001, A89)&gt;1, 1, 0), 0)</f>
        <v>0</v>
      </c>
      <c r="M89" t="b">
        <f>VLOOKUP(D89, Products!A$2:F$61, 6, FALSE)</f>
        <v>1</v>
      </c>
      <c r="N89" t="str">
        <f>VLOOKUP(D89, Products!A$2:C$61, 3, FALSE)</f>
        <v>Electronics</v>
      </c>
      <c r="O89" t="str">
        <f>VLOOKUP(C89, Customers!A$2:E$301, 5, FALSE)</f>
        <v>Retail</v>
      </c>
      <c r="P89">
        <f>VLOOKUP(C89, Customers!A$2:C$301, 3, FALSE)</f>
        <v>50</v>
      </c>
      <c r="Q89" t="str">
        <f>VLOOKUP(E89, Sales_Reps!A$2:C$31, 3, FALSE)</f>
        <v>South</v>
      </c>
      <c r="R89">
        <f>VLOOKUP(D89, Products!A$2:D$61, 4, FALSE)</f>
        <v>861</v>
      </c>
    </row>
    <row r="90" spans="1:18" x14ac:dyDescent="0.3">
      <c r="A90" s="13" t="s">
        <v>330</v>
      </c>
      <c r="B90" s="14">
        <v>45518</v>
      </c>
      <c r="C90" s="13" t="s">
        <v>331</v>
      </c>
      <c r="D90" s="13" t="s">
        <v>292</v>
      </c>
      <c r="E90" s="13" t="s">
        <v>139</v>
      </c>
      <c r="F90" s="15">
        <v>6</v>
      </c>
      <c r="G90" s="15">
        <v>620</v>
      </c>
      <c r="H90" s="15">
        <v>2.6</v>
      </c>
      <c r="I90" s="15">
        <v>3623.28</v>
      </c>
      <c r="J90" s="13" t="s">
        <v>87</v>
      </c>
      <c r="K90" s="13" t="s">
        <v>117</v>
      </c>
      <c r="L90">
        <f>IF(COUNTIF(A$2:A90, A90)=1, IF(COUNTIF(A$2:A$2001, A90)&gt;1, 1, 0), 0)</f>
        <v>0</v>
      </c>
      <c r="M90" t="b">
        <f>VLOOKUP(D90, Products!A$2:F$61, 6, FALSE)</f>
        <v>1</v>
      </c>
      <c r="N90" t="str">
        <f>VLOOKUP(D90, Products!A$2:C$61, 3, FALSE)</f>
        <v>Apparel</v>
      </c>
      <c r="O90" t="str">
        <f>VLOOKUP(C90, Customers!A$2:E$301, 5, FALSE)</f>
        <v>Corporate</v>
      </c>
      <c r="P90">
        <f>VLOOKUP(C90, Customers!A$2:C$301, 3, FALSE)</f>
        <v>59</v>
      </c>
      <c r="Q90" t="str">
        <f>VLOOKUP(E90, Sales_Reps!A$2:C$31, 3, FALSE)</f>
        <v>North</v>
      </c>
      <c r="R90">
        <f>VLOOKUP(D90, Products!A$2:D$61, 4, FALSE)</f>
        <v>396</v>
      </c>
    </row>
    <row r="91" spans="1:18" x14ac:dyDescent="0.3">
      <c r="A91" s="13" t="s">
        <v>332</v>
      </c>
      <c r="B91" s="14">
        <v>45533</v>
      </c>
      <c r="C91" s="13" t="s">
        <v>333</v>
      </c>
      <c r="D91" s="13" t="s">
        <v>187</v>
      </c>
      <c r="E91" s="13" t="s">
        <v>325</v>
      </c>
      <c r="F91" s="15">
        <v>4</v>
      </c>
      <c r="G91" s="15">
        <v>3570</v>
      </c>
      <c r="H91" s="15">
        <v>4.5</v>
      </c>
      <c r="I91" s="15">
        <v>13637.4</v>
      </c>
      <c r="J91" s="13" t="s">
        <v>93</v>
      </c>
      <c r="K91" s="13" t="s">
        <v>133</v>
      </c>
      <c r="L91">
        <f>IF(COUNTIF(A$2:A91, A91)=1, IF(COUNTIF(A$2:A$2001, A91)&gt;1, 1, 0), 0)</f>
        <v>0</v>
      </c>
      <c r="M91" t="b">
        <f>VLOOKUP(D91, Products!A$2:F$61, 6, FALSE)</f>
        <v>1</v>
      </c>
      <c r="N91" t="str">
        <f>VLOOKUP(D91, Products!A$2:C$61, 3, FALSE)</f>
        <v>Electronics</v>
      </c>
      <c r="O91" t="str">
        <f>VLOOKUP(C91, Customers!A$2:E$301, 5, FALSE)</f>
        <v>SMB</v>
      </c>
      <c r="P91">
        <f>VLOOKUP(C91, Customers!A$2:C$301, 3, FALSE)</f>
        <v>65</v>
      </c>
      <c r="Q91" t="str">
        <f>VLOOKUP(E91, Sales_Reps!A$2:C$31, 3, FALSE)</f>
        <v>South</v>
      </c>
      <c r="R91">
        <f>VLOOKUP(D91, Products!A$2:D$61, 4, FALSE)</f>
        <v>1665</v>
      </c>
    </row>
    <row r="92" spans="1:18" x14ac:dyDescent="0.3">
      <c r="A92" s="13" t="s">
        <v>334</v>
      </c>
      <c r="B92" s="14">
        <v>45622</v>
      </c>
      <c r="C92" s="13" t="s">
        <v>305</v>
      </c>
      <c r="D92" s="13" t="s">
        <v>245</v>
      </c>
      <c r="E92" s="13" t="s">
        <v>132</v>
      </c>
      <c r="F92" s="15">
        <v>6</v>
      </c>
      <c r="G92" s="15">
        <v>2270</v>
      </c>
      <c r="H92" s="15">
        <v>2</v>
      </c>
      <c r="I92" s="15">
        <v>13347.6</v>
      </c>
      <c r="J92" s="13" t="s">
        <v>87</v>
      </c>
      <c r="K92" s="13" t="s">
        <v>133</v>
      </c>
      <c r="L92">
        <f>IF(COUNTIF(A$2:A92, A92)=1, IF(COUNTIF(A$2:A$2001, A92)&gt;1, 1, 0), 0)</f>
        <v>0</v>
      </c>
      <c r="M92" t="b">
        <f>VLOOKUP(D92, Products!A$2:F$61, 6, FALSE)</f>
        <v>1</v>
      </c>
      <c r="N92" t="str">
        <f>VLOOKUP(D92, Products!A$2:C$61, 3, FALSE)</f>
        <v>Grocery</v>
      </c>
      <c r="O92" t="str">
        <f>VLOOKUP(C92, Customers!A$2:E$301, 5, FALSE)</f>
        <v>Corporate</v>
      </c>
      <c r="P92">
        <f>VLOOKUP(C92, Customers!A$2:C$301, 3, FALSE)</f>
        <v>46</v>
      </c>
      <c r="Q92" t="str">
        <f>VLOOKUP(E92, Sales_Reps!A$2:C$31, 3, FALSE)</f>
        <v>South</v>
      </c>
      <c r="R92">
        <f>VLOOKUP(D92, Products!A$2:D$61, 4, FALSE)</f>
        <v>1412</v>
      </c>
    </row>
    <row r="93" spans="1:18" x14ac:dyDescent="0.3">
      <c r="A93" s="13" t="s">
        <v>335</v>
      </c>
      <c r="B93" s="14">
        <v>45328</v>
      </c>
      <c r="C93" s="13" t="s">
        <v>336</v>
      </c>
      <c r="D93" s="13" t="s">
        <v>173</v>
      </c>
      <c r="E93" s="13" t="s">
        <v>98</v>
      </c>
      <c r="F93" s="15">
        <v>7</v>
      </c>
      <c r="G93" s="15">
        <v>2720</v>
      </c>
      <c r="H93" s="15">
        <v>15.4</v>
      </c>
      <c r="I93" s="15">
        <v>16107.84</v>
      </c>
      <c r="J93" s="13" t="s">
        <v>87</v>
      </c>
      <c r="K93" s="13" t="s">
        <v>112</v>
      </c>
      <c r="L93">
        <f>IF(COUNTIF(A$2:A93, A93)=1, IF(COUNTIF(A$2:A$2001, A93)&gt;1, 1, 0), 0)</f>
        <v>0</v>
      </c>
      <c r="M93" t="b">
        <f>VLOOKUP(D93, Products!A$2:F$61, 6, FALSE)</f>
        <v>1</v>
      </c>
      <c r="N93" t="str">
        <f>VLOOKUP(D93, Products!A$2:C$61, 3, FALSE)</f>
        <v>Apparel</v>
      </c>
      <c r="O93" t="str">
        <f>VLOOKUP(C93, Customers!A$2:E$301, 5, FALSE)</f>
        <v>Retail</v>
      </c>
      <c r="P93">
        <f>VLOOKUP(C93, Customers!A$2:C$301, 3, FALSE)</f>
        <v>49</v>
      </c>
      <c r="Q93" t="str">
        <f>VLOOKUP(E93, Sales_Reps!A$2:C$31, 3, FALSE)</f>
        <v>South</v>
      </c>
      <c r="R93">
        <f>VLOOKUP(D93, Products!A$2:D$61, 4, FALSE)</f>
        <v>1962</v>
      </c>
    </row>
    <row r="94" spans="1:18" x14ac:dyDescent="0.3">
      <c r="A94" s="13" t="s">
        <v>337</v>
      </c>
      <c r="B94" s="14">
        <v>45380</v>
      </c>
      <c r="C94" s="13" t="s">
        <v>289</v>
      </c>
      <c r="D94" s="13" t="s">
        <v>338</v>
      </c>
      <c r="E94" s="13" t="s">
        <v>215</v>
      </c>
      <c r="F94" s="15">
        <v>9</v>
      </c>
      <c r="G94" s="15">
        <v>2210</v>
      </c>
      <c r="H94" s="15">
        <v>12.4</v>
      </c>
      <c r="I94" s="15">
        <v>17423.64</v>
      </c>
      <c r="J94" s="13" t="s">
        <v>87</v>
      </c>
      <c r="K94" s="13" t="s">
        <v>94</v>
      </c>
      <c r="L94">
        <f>IF(COUNTIF(A$2:A94, A94)=1, IF(COUNTIF(A$2:A$2001, A94)&gt;1, 1, 0), 0)</f>
        <v>0</v>
      </c>
      <c r="M94" t="b">
        <f>VLOOKUP(D94, Products!A$2:F$61, 6, FALSE)</f>
        <v>1</v>
      </c>
      <c r="N94" t="str">
        <f>VLOOKUP(D94, Products!A$2:C$61, 3, FALSE)</f>
        <v>Grocery</v>
      </c>
      <c r="O94" t="str">
        <f>VLOOKUP(C94, Customers!A$2:E$301, 5, FALSE)</f>
        <v>Retail</v>
      </c>
      <c r="P94">
        <f>VLOOKUP(C94, Customers!A$2:C$301, 3, FALSE)</f>
        <v>38</v>
      </c>
      <c r="Q94" t="str">
        <f>VLOOKUP(E94, Sales_Reps!A$2:C$31, 3, FALSE)</f>
        <v>North</v>
      </c>
      <c r="R94">
        <f>VLOOKUP(D94, Products!A$2:D$61, 4, FALSE)</f>
        <v>1010</v>
      </c>
    </row>
    <row r="95" spans="1:18" x14ac:dyDescent="0.3">
      <c r="A95" s="13" t="s">
        <v>339</v>
      </c>
      <c r="B95" s="14">
        <v>45648</v>
      </c>
      <c r="C95" s="13" t="s">
        <v>340</v>
      </c>
      <c r="D95" s="13" t="s">
        <v>147</v>
      </c>
      <c r="E95" s="13" t="s">
        <v>201</v>
      </c>
      <c r="F95" s="15">
        <v>6</v>
      </c>
      <c r="G95" s="15">
        <v>190</v>
      </c>
      <c r="H95" s="15">
        <v>19.2</v>
      </c>
      <c r="I95" s="15">
        <v>921.12</v>
      </c>
      <c r="J95" s="13" t="s">
        <v>87</v>
      </c>
      <c r="K95" s="13" t="s">
        <v>88</v>
      </c>
      <c r="L95">
        <f>IF(COUNTIF(A$2:A95, A95)=1, IF(COUNTIF(A$2:A$2001, A95)&gt;1, 1, 0), 0)</f>
        <v>0</v>
      </c>
      <c r="M95" t="b">
        <f>VLOOKUP(D95, Products!A$2:F$61, 6, FALSE)</f>
        <v>1</v>
      </c>
      <c r="N95" t="str">
        <f>VLOOKUP(D95, Products!A$2:C$61, 3, FALSE)</f>
        <v>Sports</v>
      </c>
      <c r="O95" t="str">
        <f>VLOOKUP(C95, Customers!A$2:E$301, 5, FALSE)</f>
        <v>Retail</v>
      </c>
      <c r="P95">
        <f>VLOOKUP(C95, Customers!A$2:C$301, 3, FALSE)</f>
        <v>25</v>
      </c>
      <c r="Q95" t="str">
        <f>VLOOKUP(E95, Sales_Reps!A$2:C$31, 3, FALSE)</f>
        <v>West</v>
      </c>
      <c r="R95">
        <f>VLOOKUP(D95, Products!A$2:D$61, 4, FALSE)</f>
        <v>147</v>
      </c>
    </row>
    <row r="96" spans="1:18" x14ac:dyDescent="0.3">
      <c r="A96" s="13" t="s">
        <v>341</v>
      </c>
      <c r="B96" s="14">
        <v>45607</v>
      </c>
      <c r="C96" s="13" t="s">
        <v>342</v>
      </c>
      <c r="D96" s="13" t="s">
        <v>191</v>
      </c>
      <c r="E96" s="13" t="s">
        <v>343</v>
      </c>
      <c r="F96" s="15">
        <v>10</v>
      </c>
      <c r="G96" s="15">
        <v>5100</v>
      </c>
      <c r="H96" s="15">
        <v>25.4</v>
      </c>
      <c r="I96" s="15">
        <v>38046</v>
      </c>
      <c r="J96" s="13" t="s">
        <v>144</v>
      </c>
      <c r="K96" s="13" t="s">
        <v>94</v>
      </c>
      <c r="L96">
        <f>IF(COUNTIF(A$2:A96, A96)=1, IF(COUNTIF(A$2:A$2001, A96)&gt;1, 1, 0), 0)</f>
        <v>0</v>
      </c>
      <c r="M96" t="b">
        <f>VLOOKUP(D96, Products!A$2:F$61, 6, FALSE)</f>
        <v>1</v>
      </c>
      <c r="N96" t="str">
        <f>VLOOKUP(D96, Products!A$2:C$61, 3, FALSE)</f>
        <v>Beauty</v>
      </c>
      <c r="O96" t="str">
        <f>VLOOKUP(C96, Customers!A$2:E$301, 5, FALSE)</f>
        <v>Retail</v>
      </c>
      <c r="P96">
        <f>VLOOKUP(C96, Customers!A$2:C$301, 3, FALSE)</f>
        <v>26</v>
      </c>
      <c r="Q96" t="str">
        <f>VLOOKUP(E96, Sales_Reps!A$2:C$31, 3, FALSE)</f>
        <v>West</v>
      </c>
      <c r="R96">
        <f>VLOOKUP(D96, Products!A$2:D$61, 4, FALSE)</f>
        <v>2237</v>
      </c>
    </row>
    <row r="97" spans="1:18" x14ac:dyDescent="0.3">
      <c r="A97" s="13" t="s">
        <v>344</v>
      </c>
      <c r="B97" s="14">
        <v>45414</v>
      </c>
      <c r="C97" s="13" t="s">
        <v>345</v>
      </c>
      <c r="D97" s="13" t="s">
        <v>182</v>
      </c>
      <c r="E97" s="13" t="s">
        <v>346</v>
      </c>
      <c r="F97" s="15">
        <v>5</v>
      </c>
      <c r="G97" s="15">
        <v>1010</v>
      </c>
      <c r="H97" s="15">
        <v>1.6</v>
      </c>
      <c r="I97" s="15">
        <v>4969.2</v>
      </c>
      <c r="J97" s="13" t="s">
        <v>87</v>
      </c>
      <c r="K97" s="13" t="s">
        <v>94</v>
      </c>
      <c r="L97">
        <f>IF(COUNTIF(A$2:A97, A97)=1, IF(COUNTIF(A$2:A$2001, A97)&gt;1, 1, 0), 0)</f>
        <v>0</v>
      </c>
      <c r="M97" t="b">
        <f>VLOOKUP(D97, Products!A$2:F$61, 6, FALSE)</f>
        <v>1</v>
      </c>
      <c r="N97" t="str">
        <f>VLOOKUP(D97, Products!A$2:C$61, 3, FALSE)</f>
        <v>Sports</v>
      </c>
      <c r="O97" t="str">
        <f>VLOOKUP(C97, Customers!A$2:E$301, 5, FALSE)</f>
        <v>Corporate</v>
      </c>
      <c r="P97">
        <f>VLOOKUP(C97, Customers!A$2:C$301, 3, FALSE)</f>
        <v>38</v>
      </c>
      <c r="Q97" t="str">
        <f>VLOOKUP(E97, Sales_Reps!A$2:C$31, 3, FALSE)</f>
        <v>South</v>
      </c>
      <c r="R97">
        <f>VLOOKUP(D97, Products!A$2:D$61, 4, FALSE)</f>
        <v>516</v>
      </c>
    </row>
    <row r="98" spans="1:18" x14ac:dyDescent="0.3">
      <c r="A98" s="13" t="s">
        <v>347</v>
      </c>
      <c r="B98" s="14">
        <v>45328</v>
      </c>
      <c r="C98" s="13" t="s">
        <v>263</v>
      </c>
      <c r="D98" s="13" t="s">
        <v>226</v>
      </c>
      <c r="E98" s="13" t="s">
        <v>111</v>
      </c>
      <c r="F98" s="15">
        <v>1</v>
      </c>
      <c r="G98" s="15">
        <v>3730</v>
      </c>
      <c r="H98" s="15">
        <v>22.7</v>
      </c>
      <c r="I98" s="15">
        <v>2883.29</v>
      </c>
      <c r="J98" s="13" t="s">
        <v>87</v>
      </c>
      <c r="K98" s="13" t="s">
        <v>133</v>
      </c>
      <c r="L98">
        <f>IF(COUNTIF(A$2:A98, A98)=1, IF(COUNTIF(A$2:A$2001, A98)&gt;1, 1, 0), 0)</f>
        <v>0</v>
      </c>
      <c r="M98" t="b">
        <f>VLOOKUP(D98, Products!A$2:F$61, 6, FALSE)</f>
        <v>1</v>
      </c>
      <c r="N98" t="str">
        <f>VLOOKUP(D98, Products!A$2:C$61, 3, FALSE)</f>
        <v>Home</v>
      </c>
      <c r="O98" t="str">
        <f>VLOOKUP(C98, Customers!A$2:E$301, 5, FALSE)</f>
        <v>Retail</v>
      </c>
      <c r="P98">
        <f>VLOOKUP(C98, Customers!A$2:C$301, 3, FALSE)</f>
        <v>53</v>
      </c>
      <c r="Q98" t="str">
        <f>VLOOKUP(E98, Sales_Reps!A$2:C$31, 3, FALSE)</f>
        <v>West</v>
      </c>
      <c r="R98">
        <f>VLOOKUP(D98, Products!A$2:D$61, 4, FALSE)</f>
        <v>2135</v>
      </c>
    </row>
    <row r="99" spans="1:18" x14ac:dyDescent="0.3">
      <c r="A99" s="13" t="s">
        <v>348</v>
      </c>
      <c r="B99" s="14">
        <v>45373</v>
      </c>
      <c r="C99" s="13" t="s">
        <v>301</v>
      </c>
      <c r="D99" s="13" t="s">
        <v>138</v>
      </c>
      <c r="E99" s="13" t="s">
        <v>128</v>
      </c>
      <c r="F99" s="15">
        <v>10</v>
      </c>
      <c r="G99" s="15">
        <v>2600</v>
      </c>
      <c r="H99" s="15">
        <v>20.7</v>
      </c>
      <c r="I99" s="15">
        <v>20618</v>
      </c>
      <c r="J99" s="13" t="s">
        <v>87</v>
      </c>
      <c r="K99" s="13" t="s">
        <v>94</v>
      </c>
      <c r="L99">
        <f>IF(COUNTIF(A$2:A99, A99)=1, IF(COUNTIF(A$2:A$2001, A99)&gt;1, 1, 0), 0)</f>
        <v>0</v>
      </c>
      <c r="M99" t="b">
        <f>VLOOKUP(D99, Products!A$2:F$61, 6, FALSE)</f>
        <v>1</v>
      </c>
      <c r="N99" t="str">
        <f>VLOOKUP(D99, Products!A$2:C$61, 3, FALSE)</f>
        <v>Electronics</v>
      </c>
      <c r="O99" t="str">
        <f>VLOOKUP(C99, Customers!A$2:E$301, 5, FALSE)</f>
        <v>Retail</v>
      </c>
      <c r="P99">
        <f>VLOOKUP(C99, Customers!A$2:C$301, 3, FALSE)</f>
        <v>41</v>
      </c>
      <c r="Q99" t="str">
        <f>VLOOKUP(E99, Sales_Reps!A$2:C$31, 3, FALSE)</f>
        <v>West</v>
      </c>
      <c r="R99">
        <f>VLOOKUP(D99, Products!A$2:D$61, 4, FALSE)</f>
        <v>1052</v>
      </c>
    </row>
    <row r="100" spans="1:18" x14ac:dyDescent="0.3">
      <c r="A100" s="13" t="s">
        <v>349</v>
      </c>
      <c r="B100" s="14">
        <v>45458</v>
      </c>
      <c r="C100" s="13" t="s">
        <v>350</v>
      </c>
      <c r="D100" s="13" t="s">
        <v>351</v>
      </c>
      <c r="E100" s="13" t="s">
        <v>103</v>
      </c>
      <c r="F100" s="15">
        <v>4</v>
      </c>
      <c r="G100" s="15">
        <v>4060</v>
      </c>
      <c r="H100" s="15">
        <v>13.9</v>
      </c>
      <c r="I100" s="15">
        <v>13982.64</v>
      </c>
      <c r="J100" s="13" t="s">
        <v>87</v>
      </c>
      <c r="K100" s="13" t="s">
        <v>112</v>
      </c>
      <c r="L100">
        <f>IF(COUNTIF(A$2:A100, A100)=1, IF(COUNTIF(A$2:A$2001, A100)&gt;1, 1, 0), 0)</f>
        <v>0</v>
      </c>
      <c r="M100" t="b">
        <f>VLOOKUP(D100, Products!A$2:F$61, 6, FALSE)</f>
        <v>1</v>
      </c>
      <c r="N100" t="str">
        <f>VLOOKUP(D100, Products!A$2:C$61, 3, FALSE)</f>
        <v>Grocery</v>
      </c>
      <c r="O100" t="str">
        <f>VLOOKUP(C100, Customers!A$2:E$301, 5, FALSE)</f>
        <v>SMB</v>
      </c>
      <c r="P100">
        <f>VLOOKUP(C100, Customers!A$2:C$301, 3, FALSE)</f>
        <v>22</v>
      </c>
      <c r="Q100" t="str">
        <f>VLOOKUP(E100, Sales_Reps!A$2:C$31, 3, FALSE)</f>
        <v>North</v>
      </c>
      <c r="R100">
        <f>VLOOKUP(D100, Products!A$2:D$61, 4, FALSE)</f>
        <v>2911</v>
      </c>
    </row>
    <row r="101" spans="1:18" x14ac:dyDescent="0.3">
      <c r="A101" s="13" t="s">
        <v>352</v>
      </c>
      <c r="B101" s="14">
        <v>45426</v>
      </c>
      <c r="C101" s="13" t="s">
        <v>353</v>
      </c>
      <c r="D101" s="13" t="s">
        <v>241</v>
      </c>
      <c r="E101" s="13" t="s">
        <v>343</v>
      </c>
      <c r="F101" s="15">
        <v>6</v>
      </c>
      <c r="G101" s="15">
        <v>6080</v>
      </c>
      <c r="H101" s="15">
        <v>16.5</v>
      </c>
      <c r="I101" s="15">
        <v>30460.799999999999</v>
      </c>
      <c r="J101" s="13" t="s">
        <v>87</v>
      </c>
      <c r="K101" s="13" t="s">
        <v>94</v>
      </c>
      <c r="L101">
        <f>IF(COUNTIF(A$2:A101, A101)=1, IF(COUNTIF(A$2:A$2001, A101)&gt;1, 1, 0), 0)</f>
        <v>0</v>
      </c>
      <c r="M101" t="b">
        <f>VLOOKUP(D101, Products!A$2:F$61, 6, FALSE)</f>
        <v>1</v>
      </c>
      <c r="N101" t="str">
        <f>VLOOKUP(D101, Products!A$2:C$61, 3, FALSE)</f>
        <v>Beauty</v>
      </c>
      <c r="O101" t="str">
        <f>VLOOKUP(C101, Customers!A$2:E$301, 5, FALSE)</f>
        <v>Retail</v>
      </c>
      <c r="P101">
        <f>VLOOKUP(C101, Customers!A$2:C$301, 3, FALSE)</f>
        <v>60</v>
      </c>
      <c r="Q101" t="str">
        <f>VLOOKUP(E101, Sales_Reps!A$2:C$31, 3, FALSE)</f>
        <v>West</v>
      </c>
      <c r="R101">
        <f>VLOOKUP(D101, Products!A$2:D$61, 4, FALSE)</f>
        <v>2617</v>
      </c>
    </row>
    <row r="102" spans="1:18" x14ac:dyDescent="0.3">
      <c r="A102" s="13" t="s">
        <v>354</v>
      </c>
      <c r="B102" s="14">
        <v>45557</v>
      </c>
      <c r="C102" s="13" t="s">
        <v>194</v>
      </c>
      <c r="D102" s="13" t="s">
        <v>355</v>
      </c>
      <c r="E102" s="13" t="s">
        <v>128</v>
      </c>
      <c r="F102" s="15">
        <v>6</v>
      </c>
      <c r="G102" s="15">
        <v>2510</v>
      </c>
      <c r="H102" s="15">
        <v>11.7</v>
      </c>
      <c r="I102" s="15">
        <v>13297.98</v>
      </c>
      <c r="J102" s="13" t="s">
        <v>87</v>
      </c>
      <c r="K102" s="13" t="s">
        <v>88</v>
      </c>
      <c r="L102">
        <f>IF(COUNTIF(A$2:A102, A102)=1, IF(COUNTIF(A$2:A$2001, A102)&gt;1, 1, 0), 0)</f>
        <v>0</v>
      </c>
      <c r="M102" t="b">
        <f>VLOOKUP(D102, Products!A$2:F$61, 6, FALSE)</f>
        <v>0</v>
      </c>
      <c r="N102" t="str">
        <f>VLOOKUP(D102, Products!A$2:C$61, 3, FALSE)</f>
        <v>Apparel</v>
      </c>
      <c r="O102" t="str">
        <f>VLOOKUP(C102, Customers!A$2:E$301, 5, FALSE)</f>
        <v>SMB</v>
      </c>
      <c r="P102">
        <f>VLOOKUP(C102, Customers!A$2:C$301, 3, FALSE)</f>
        <v>44</v>
      </c>
      <c r="Q102" t="str">
        <f>VLOOKUP(E102, Sales_Reps!A$2:C$31, 3, FALSE)</f>
        <v>West</v>
      </c>
      <c r="R102">
        <f>VLOOKUP(D102, Products!A$2:D$61, 4, FALSE)</f>
        <v>1075</v>
      </c>
    </row>
    <row r="103" spans="1:18" x14ac:dyDescent="0.3">
      <c r="A103" s="13" t="s">
        <v>356</v>
      </c>
      <c r="B103" s="14">
        <v>45509</v>
      </c>
      <c r="C103" s="13" t="s">
        <v>357</v>
      </c>
      <c r="D103" s="13" t="s">
        <v>143</v>
      </c>
      <c r="E103" s="13" t="s">
        <v>201</v>
      </c>
      <c r="F103" s="15">
        <v>5</v>
      </c>
      <c r="G103" s="15">
        <v>3250</v>
      </c>
      <c r="H103" s="15">
        <v>18.399999999999999</v>
      </c>
      <c r="I103" s="15">
        <v>13260</v>
      </c>
      <c r="J103" s="13" t="s">
        <v>87</v>
      </c>
      <c r="K103" s="13" t="s">
        <v>99</v>
      </c>
      <c r="L103">
        <f>IF(COUNTIF(A$2:A103, A103)=1, IF(COUNTIF(A$2:A$2001, A103)&gt;1, 1, 0), 0)</f>
        <v>0</v>
      </c>
      <c r="M103" t="b">
        <f>VLOOKUP(D103, Products!A$2:F$61, 6, FALSE)</f>
        <v>1</v>
      </c>
      <c r="N103" t="str">
        <f>VLOOKUP(D103, Products!A$2:C$61, 3, FALSE)</f>
        <v>Home</v>
      </c>
      <c r="O103" t="str">
        <f>VLOOKUP(C103, Customers!A$2:E$301, 5, FALSE)</f>
        <v>SMB</v>
      </c>
      <c r="P103">
        <f>VLOOKUP(C103, Customers!A$2:C$301, 3, FALSE)</f>
        <v>38</v>
      </c>
      <c r="Q103" t="str">
        <f>VLOOKUP(E103, Sales_Reps!A$2:C$31, 3, FALSE)</f>
        <v>West</v>
      </c>
      <c r="R103">
        <f>VLOOKUP(D103, Products!A$2:D$61, 4, FALSE)</f>
        <v>1556</v>
      </c>
    </row>
    <row r="104" spans="1:18" x14ac:dyDescent="0.3">
      <c r="A104" s="13" t="s">
        <v>358</v>
      </c>
      <c r="B104" s="14">
        <v>45329</v>
      </c>
      <c r="C104" s="13" t="s">
        <v>359</v>
      </c>
      <c r="D104" s="13" t="s">
        <v>360</v>
      </c>
      <c r="E104" s="13" t="s">
        <v>92</v>
      </c>
      <c r="F104" s="15">
        <v>4</v>
      </c>
      <c r="G104" s="15">
        <v>5410</v>
      </c>
      <c r="H104" s="15">
        <v>9.8000000000000007</v>
      </c>
      <c r="I104" s="15">
        <v>19519.28</v>
      </c>
      <c r="J104" s="13" t="s">
        <v>140</v>
      </c>
      <c r="K104" s="13" t="s">
        <v>99</v>
      </c>
      <c r="L104">
        <f>IF(COUNTIF(A$2:A104, A104)=1, IF(COUNTIF(A$2:A$2001, A104)&gt;1, 1, 0), 0)</f>
        <v>0</v>
      </c>
      <c r="M104" t="b">
        <f>VLOOKUP(D104, Products!A$2:F$61, 6, FALSE)</f>
        <v>1</v>
      </c>
      <c r="N104" t="str">
        <f>VLOOKUP(D104, Products!A$2:C$61, 3, FALSE)</f>
        <v>Sports</v>
      </c>
      <c r="O104" t="str">
        <f>VLOOKUP(C104, Customers!A$2:E$301, 5, FALSE)</f>
        <v>SMB</v>
      </c>
      <c r="P104">
        <f>VLOOKUP(C104, Customers!A$2:C$301, 3, FALSE)</f>
        <v>28</v>
      </c>
      <c r="Q104" t="str">
        <f>VLOOKUP(E104, Sales_Reps!A$2:C$31, 3, FALSE)</f>
        <v>North</v>
      </c>
      <c r="R104">
        <f>VLOOKUP(D104, Products!A$2:D$61, 4, FALSE)</f>
        <v>2265</v>
      </c>
    </row>
    <row r="105" spans="1:18" x14ac:dyDescent="0.3">
      <c r="A105" s="13" t="s">
        <v>361</v>
      </c>
      <c r="B105" s="14">
        <v>45411</v>
      </c>
      <c r="C105" s="13" t="s">
        <v>362</v>
      </c>
      <c r="D105" s="13" t="s">
        <v>187</v>
      </c>
      <c r="E105" s="13" t="s">
        <v>303</v>
      </c>
      <c r="F105" s="15">
        <v>8</v>
      </c>
      <c r="G105" s="15">
        <v>3570</v>
      </c>
      <c r="H105" s="15">
        <v>11.1</v>
      </c>
      <c r="I105" s="15">
        <v>25389.84</v>
      </c>
      <c r="J105" s="13" t="s">
        <v>87</v>
      </c>
      <c r="K105" s="13" t="s">
        <v>94</v>
      </c>
      <c r="L105">
        <f>IF(COUNTIF(A$2:A105, A105)=1, IF(COUNTIF(A$2:A$2001, A105)&gt;1, 1, 0), 0)</f>
        <v>0</v>
      </c>
      <c r="M105" t="b">
        <f>VLOOKUP(D105, Products!A$2:F$61, 6, FALSE)</f>
        <v>1</v>
      </c>
      <c r="N105" t="str">
        <f>VLOOKUP(D105, Products!A$2:C$61, 3, FALSE)</f>
        <v>Electronics</v>
      </c>
      <c r="O105" t="str">
        <f>VLOOKUP(C105, Customers!A$2:E$301, 5, FALSE)</f>
        <v>Corporate</v>
      </c>
      <c r="P105">
        <f>VLOOKUP(C105, Customers!A$2:C$301, 3, FALSE)</f>
        <v>51</v>
      </c>
      <c r="Q105" t="str">
        <f>VLOOKUP(E105, Sales_Reps!A$2:C$31, 3, FALSE)</f>
        <v>East</v>
      </c>
      <c r="R105">
        <f>VLOOKUP(D105, Products!A$2:D$61, 4, FALSE)</f>
        <v>1665</v>
      </c>
    </row>
    <row r="106" spans="1:18" x14ac:dyDescent="0.3">
      <c r="A106" s="13" t="s">
        <v>363</v>
      </c>
      <c r="B106" s="14">
        <v>45297</v>
      </c>
      <c r="C106" s="13" t="s">
        <v>350</v>
      </c>
      <c r="D106" s="13" t="s">
        <v>364</v>
      </c>
      <c r="E106" s="13" t="s">
        <v>148</v>
      </c>
      <c r="F106" s="15">
        <v>10</v>
      </c>
      <c r="G106" s="15">
        <v>5330</v>
      </c>
      <c r="H106" s="15">
        <v>21.2</v>
      </c>
      <c r="I106" s="15">
        <v>42000.4</v>
      </c>
      <c r="J106" s="13" t="s">
        <v>87</v>
      </c>
      <c r="K106" s="13" t="s">
        <v>112</v>
      </c>
      <c r="L106">
        <f>IF(COUNTIF(A$2:A106, A106)=1, IF(COUNTIF(A$2:A$2001, A106)&gt;1, 1, 0), 0)</f>
        <v>0</v>
      </c>
      <c r="M106" t="b">
        <f>VLOOKUP(D106, Products!A$2:F$61, 6, FALSE)</f>
        <v>1</v>
      </c>
      <c r="N106" t="str">
        <f>VLOOKUP(D106, Products!A$2:C$61, 3, FALSE)</f>
        <v>Electronics</v>
      </c>
      <c r="O106" t="str">
        <f>VLOOKUP(C106, Customers!A$2:E$301, 5, FALSE)</f>
        <v>SMB</v>
      </c>
      <c r="P106">
        <f>VLOOKUP(C106, Customers!A$2:C$301, 3, FALSE)</f>
        <v>22</v>
      </c>
      <c r="Q106" t="str">
        <f>VLOOKUP(E106, Sales_Reps!A$2:C$31, 3, FALSE)</f>
        <v>North</v>
      </c>
      <c r="R106">
        <f>VLOOKUP(D106, Products!A$2:D$61, 4, FALSE)</f>
        <v>2405</v>
      </c>
    </row>
    <row r="107" spans="1:18" x14ac:dyDescent="0.3">
      <c r="A107" s="13" t="s">
        <v>365</v>
      </c>
      <c r="B107" s="14">
        <v>45640</v>
      </c>
      <c r="C107" s="13" t="s">
        <v>366</v>
      </c>
      <c r="D107" s="13" t="s">
        <v>367</v>
      </c>
      <c r="E107" s="13" t="s">
        <v>238</v>
      </c>
      <c r="F107" s="15">
        <v>4</v>
      </c>
      <c r="G107" s="15">
        <v>2380</v>
      </c>
      <c r="H107" s="15">
        <v>26.2</v>
      </c>
      <c r="I107" s="15">
        <v>7025.76</v>
      </c>
      <c r="J107" s="13" t="s">
        <v>87</v>
      </c>
      <c r="K107" s="13" t="s">
        <v>112</v>
      </c>
      <c r="L107">
        <f>IF(COUNTIF(A$2:A107, A107)=1, IF(COUNTIF(A$2:A$2001, A107)&gt;1, 1, 0), 0)</f>
        <v>0</v>
      </c>
      <c r="M107" t="b">
        <f>VLOOKUP(D107, Products!A$2:F$61, 6, FALSE)</f>
        <v>1</v>
      </c>
      <c r="N107" t="str">
        <f>VLOOKUP(D107, Products!A$2:C$61, 3, FALSE)</f>
        <v>Grocery</v>
      </c>
      <c r="O107" t="str">
        <f>VLOOKUP(C107, Customers!A$2:E$301, 5, FALSE)</f>
        <v>Retail</v>
      </c>
      <c r="P107">
        <f>VLOOKUP(C107, Customers!A$2:C$301, 3, FALSE)</f>
        <v>25</v>
      </c>
      <c r="Q107" t="str">
        <f>VLOOKUP(E107, Sales_Reps!A$2:C$31, 3, FALSE)</f>
        <v>East</v>
      </c>
      <c r="R107">
        <f>VLOOKUP(D107, Products!A$2:D$61, 4, FALSE)</f>
        <v>1182</v>
      </c>
    </row>
    <row r="108" spans="1:18" x14ac:dyDescent="0.3">
      <c r="A108" s="13" t="s">
        <v>368</v>
      </c>
      <c r="B108" s="14">
        <v>45322</v>
      </c>
      <c r="C108" s="13" t="s">
        <v>369</v>
      </c>
      <c r="D108" s="13" t="s">
        <v>182</v>
      </c>
      <c r="E108" s="13" t="s">
        <v>343</v>
      </c>
      <c r="F108" s="15">
        <v>1</v>
      </c>
      <c r="G108" s="15">
        <v>1010</v>
      </c>
      <c r="H108" s="15">
        <v>19.5</v>
      </c>
      <c r="I108" s="15">
        <v>813.05</v>
      </c>
      <c r="J108" s="13" t="s">
        <v>140</v>
      </c>
      <c r="K108" s="13" t="s">
        <v>94</v>
      </c>
      <c r="L108">
        <f>IF(COUNTIF(A$2:A108, A108)=1, IF(COUNTIF(A$2:A$2001, A108)&gt;1, 1, 0), 0)</f>
        <v>0</v>
      </c>
      <c r="M108" t="b">
        <f>VLOOKUP(D108, Products!A$2:F$61, 6, FALSE)</f>
        <v>1</v>
      </c>
      <c r="N108" t="str">
        <f>VLOOKUP(D108, Products!A$2:C$61, 3, FALSE)</f>
        <v>Sports</v>
      </c>
      <c r="O108" t="str">
        <f>VLOOKUP(C108, Customers!A$2:E$301, 5, FALSE)</f>
        <v>SMB</v>
      </c>
      <c r="P108">
        <f>VLOOKUP(C108, Customers!A$2:C$301, 3, FALSE)</f>
        <v>62</v>
      </c>
      <c r="Q108" t="str">
        <f>VLOOKUP(E108, Sales_Reps!A$2:C$31, 3, FALSE)</f>
        <v>West</v>
      </c>
      <c r="R108">
        <f>VLOOKUP(D108, Products!A$2:D$61, 4, FALSE)</f>
        <v>516</v>
      </c>
    </row>
    <row r="109" spans="1:18" x14ac:dyDescent="0.3">
      <c r="A109" s="13" t="s">
        <v>370</v>
      </c>
      <c r="B109" s="14">
        <v>45414</v>
      </c>
      <c r="C109" s="13" t="s">
        <v>371</v>
      </c>
      <c r="D109" s="13" t="s">
        <v>102</v>
      </c>
      <c r="E109" s="13" t="s">
        <v>111</v>
      </c>
      <c r="F109" s="15">
        <v>1</v>
      </c>
      <c r="G109" s="15">
        <v>3660</v>
      </c>
      <c r="H109" s="15">
        <v>1.3</v>
      </c>
      <c r="I109" s="15">
        <v>3612.42</v>
      </c>
      <c r="J109" s="13" t="s">
        <v>87</v>
      </c>
      <c r="K109" s="13" t="s">
        <v>112</v>
      </c>
      <c r="L109">
        <f>IF(COUNTIF(A$2:A109, A109)=1, IF(COUNTIF(A$2:A$2001, A109)&gt;1, 1, 0), 0)</f>
        <v>0</v>
      </c>
      <c r="M109" t="b">
        <f>VLOOKUP(D109, Products!A$2:F$61, 6, FALSE)</f>
        <v>0</v>
      </c>
      <c r="N109" t="str">
        <f>VLOOKUP(D109, Products!A$2:C$61, 3, FALSE)</f>
        <v>Grocery</v>
      </c>
      <c r="O109" t="str">
        <f>VLOOKUP(C109, Customers!A$2:E$301, 5, FALSE)</f>
        <v>Retail</v>
      </c>
      <c r="P109">
        <f>VLOOKUP(C109, Customers!A$2:C$301, 3, FALSE)</f>
        <v>42</v>
      </c>
      <c r="Q109" t="str">
        <f>VLOOKUP(E109, Sales_Reps!A$2:C$31, 3, FALSE)</f>
        <v>West</v>
      </c>
      <c r="R109">
        <f>VLOOKUP(D109, Products!A$2:D$61, 4, FALSE)</f>
        <v>2214</v>
      </c>
    </row>
    <row r="110" spans="1:18" x14ac:dyDescent="0.3">
      <c r="A110" s="13" t="s">
        <v>372</v>
      </c>
      <c r="B110" s="14">
        <v>45592</v>
      </c>
      <c r="C110" s="13" t="s">
        <v>373</v>
      </c>
      <c r="D110" s="13" t="s">
        <v>264</v>
      </c>
      <c r="E110" s="13" t="s">
        <v>252</v>
      </c>
      <c r="F110" s="15">
        <v>2</v>
      </c>
      <c r="G110" s="15">
        <v>4070</v>
      </c>
      <c r="H110" s="15">
        <v>29</v>
      </c>
      <c r="I110" s="15">
        <v>5779.4</v>
      </c>
      <c r="J110" s="13" t="s">
        <v>140</v>
      </c>
      <c r="K110" s="13" t="s">
        <v>88</v>
      </c>
      <c r="L110">
        <f>IF(COUNTIF(A$2:A110, A110)=1, IF(COUNTIF(A$2:A$2001, A110)&gt;1, 1, 0), 0)</f>
        <v>0</v>
      </c>
      <c r="M110" t="b">
        <f>VLOOKUP(D110, Products!A$2:F$61, 6, FALSE)</f>
        <v>1</v>
      </c>
      <c r="N110" t="str">
        <f>VLOOKUP(D110, Products!A$2:C$61, 3, FALSE)</f>
        <v>Grocery</v>
      </c>
      <c r="O110" t="str">
        <f>VLOOKUP(C110, Customers!A$2:E$301, 5, FALSE)</f>
        <v>Retail</v>
      </c>
      <c r="P110">
        <f>VLOOKUP(C110, Customers!A$2:C$301, 3, FALSE)</f>
        <v>43</v>
      </c>
      <c r="Q110" t="str">
        <f>VLOOKUP(E110, Sales_Reps!A$2:C$31, 3, FALSE)</f>
        <v>South</v>
      </c>
      <c r="R110">
        <f>VLOOKUP(D110, Products!A$2:D$61, 4, FALSE)</f>
        <v>2027</v>
      </c>
    </row>
    <row r="111" spans="1:18" x14ac:dyDescent="0.3">
      <c r="A111" s="13" t="s">
        <v>374</v>
      </c>
      <c r="B111" s="14">
        <v>45439</v>
      </c>
      <c r="C111" s="13" t="s">
        <v>190</v>
      </c>
      <c r="D111" s="13" t="s">
        <v>203</v>
      </c>
      <c r="E111" s="13" t="s">
        <v>229</v>
      </c>
      <c r="F111" s="15">
        <v>6</v>
      </c>
      <c r="G111" s="15">
        <v>660</v>
      </c>
      <c r="H111" s="15">
        <v>20.2</v>
      </c>
      <c r="I111" s="15">
        <v>3160.08</v>
      </c>
      <c r="J111" s="13" t="s">
        <v>93</v>
      </c>
      <c r="K111" s="13" t="s">
        <v>133</v>
      </c>
      <c r="L111">
        <f>IF(COUNTIF(A$2:A111, A111)=1, IF(COUNTIF(A$2:A$2001, A111)&gt;1, 1, 0), 0)</f>
        <v>0</v>
      </c>
      <c r="M111" t="b">
        <f>VLOOKUP(D111, Products!A$2:F$61, 6, FALSE)</f>
        <v>1</v>
      </c>
      <c r="N111" t="str">
        <f>VLOOKUP(D111, Products!A$2:C$61, 3, FALSE)</f>
        <v>Home</v>
      </c>
      <c r="O111" t="str">
        <f>VLOOKUP(C111, Customers!A$2:E$301, 5, FALSE)</f>
        <v>Corporate</v>
      </c>
      <c r="P111">
        <f>VLOOKUP(C111, Customers!A$2:C$301, 3, FALSE)</f>
        <v>56</v>
      </c>
      <c r="Q111" t="str">
        <f>VLOOKUP(E111, Sales_Reps!A$2:C$31, 3, FALSE)</f>
        <v>West</v>
      </c>
      <c r="R111">
        <f>VLOOKUP(D111, Products!A$2:D$61, 4, FALSE)</f>
        <v>329</v>
      </c>
    </row>
    <row r="112" spans="1:18" x14ac:dyDescent="0.3">
      <c r="A112" s="13" t="s">
        <v>375</v>
      </c>
      <c r="B112" s="14">
        <v>45486</v>
      </c>
      <c r="C112" s="13" t="s">
        <v>376</v>
      </c>
      <c r="D112" s="13" t="s">
        <v>164</v>
      </c>
      <c r="E112" s="13" t="s">
        <v>116</v>
      </c>
      <c r="F112" s="15">
        <v>3</v>
      </c>
      <c r="G112" s="15">
        <v>1080</v>
      </c>
      <c r="H112" s="15">
        <v>29.7</v>
      </c>
      <c r="I112" s="15">
        <v>2277.7199999999998</v>
      </c>
      <c r="J112" s="13" t="s">
        <v>87</v>
      </c>
      <c r="K112" s="13" t="s">
        <v>117</v>
      </c>
      <c r="L112">
        <f>IF(COUNTIF(A$2:A112, A112)=1, IF(COUNTIF(A$2:A$2001, A112)&gt;1, 1, 0), 0)</f>
        <v>0</v>
      </c>
      <c r="M112" t="b">
        <f>VLOOKUP(D112, Products!A$2:F$61, 6, FALSE)</f>
        <v>1</v>
      </c>
      <c r="N112" t="str">
        <f>VLOOKUP(D112, Products!A$2:C$61, 3, FALSE)</f>
        <v>Home</v>
      </c>
      <c r="O112" t="str">
        <f>VLOOKUP(C112, Customers!A$2:E$301, 5, FALSE)</f>
        <v>SMB</v>
      </c>
      <c r="P112">
        <f>VLOOKUP(C112, Customers!A$2:C$301, 3, FALSE)</f>
        <v>44</v>
      </c>
      <c r="Q112" t="str">
        <f>VLOOKUP(E112, Sales_Reps!A$2:C$31, 3, FALSE)</f>
        <v>West</v>
      </c>
      <c r="R112">
        <f>VLOOKUP(D112, Products!A$2:D$61, 4, FALSE)</f>
        <v>519</v>
      </c>
    </row>
    <row r="113" spans="1:18" x14ac:dyDescent="0.3">
      <c r="A113" s="13" t="s">
        <v>377</v>
      </c>
      <c r="B113" s="14">
        <v>45629</v>
      </c>
      <c r="C113" s="13" t="s">
        <v>378</v>
      </c>
      <c r="D113" s="13" t="s">
        <v>91</v>
      </c>
      <c r="E113" s="13" t="s">
        <v>103</v>
      </c>
      <c r="F113" s="15">
        <v>7</v>
      </c>
      <c r="G113" s="15">
        <v>820</v>
      </c>
      <c r="H113" s="15">
        <v>13.5</v>
      </c>
      <c r="I113" s="15">
        <v>4965.1000000000004</v>
      </c>
      <c r="J113" s="13" t="s">
        <v>140</v>
      </c>
      <c r="K113" s="13" t="s">
        <v>94</v>
      </c>
      <c r="L113">
        <f>IF(COUNTIF(A$2:A113, A113)=1, IF(COUNTIF(A$2:A$2001, A113)&gt;1, 1, 0), 0)</f>
        <v>0</v>
      </c>
      <c r="M113" t="b">
        <f>VLOOKUP(D113, Products!A$2:F$61, 6, FALSE)</f>
        <v>1</v>
      </c>
      <c r="N113" t="str">
        <f>VLOOKUP(D113, Products!A$2:C$61, 3, FALSE)</f>
        <v>Apparel</v>
      </c>
      <c r="O113" t="str">
        <f>VLOOKUP(C113, Customers!A$2:E$301, 5, FALSE)</f>
        <v>SMB</v>
      </c>
      <c r="P113">
        <f>VLOOKUP(C113, Customers!A$2:C$301, 3, FALSE)</f>
        <v>53</v>
      </c>
      <c r="Q113" t="str">
        <f>VLOOKUP(E113, Sales_Reps!A$2:C$31, 3, FALSE)</f>
        <v>North</v>
      </c>
      <c r="R113">
        <f>VLOOKUP(D113, Products!A$2:D$61, 4, FALSE)</f>
        <v>391</v>
      </c>
    </row>
    <row r="114" spans="1:18" x14ac:dyDescent="0.3">
      <c r="A114" s="13" t="s">
        <v>379</v>
      </c>
      <c r="B114" s="14">
        <v>45394</v>
      </c>
      <c r="C114" s="13" t="s">
        <v>137</v>
      </c>
      <c r="D114" s="13" t="s">
        <v>380</v>
      </c>
      <c r="E114" s="13" t="s">
        <v>343</v>
      </c>
      <c r="F114" s="15">
        <v>4</v>
      </c>
      <c r="G114" s="15">
        <v>960</v>
      </c>
      <c r="H114" s="15">
        <v>26</v>
      </c>
      <c r="I114" s="15">
        <v>2841.6</v>
      </c>
      <c r="J114" s="13" t="s">
        <v>87</v>
      </c>
      <c r="K114" s="13" t="s">
        <v>99</v>
      </c>
      <c r="L114">
        <f>IF(COUNTIF(A$2:A114, A114)=1, IF(COUNTIF(A$2:A$2001, A114)&gt;1, 1, 0), 0)</f>
        <v>0</v>
      </c>
      <c r="M114" t="b">
        <f>VLOOKUP(D114, Products!A$2:F$61, 6, FALSE)</f>
        <v>1</v>
      </c>
      <c r="N114" t="str">
        <f>VLOOKUP(D114, Products!A$2:C$61, 3, FALSE)</f>
        <v>Beauty</v>
      </c>
      <c r="O114" t="str">
        <f>VLOOKUP(C114, Customers!A$2:E$301, 5, FALSE)</f>
        <v>SMB</v>
      </c>
      <c r="P114">
        <f>VLOOKUP(C114, Customers!A$2:C$301, 3, FALSE)</f>
        <v>27</v>
      </c>
      <c r="Q114" t="str">
        <f>VLOOKUP(E114, Sales_Reps!A$2:C$31, 3, FALSE)</f>
        <v>West</v>
      </c>
      <c r="R114">
        <f>VLOOKUP(D114, Products!A$2:D$61, 4, FALSE)</f>
        <v>675</v>
      </c>
    </row>
    <row r="115" spans="1:18" x14ac:dyDescent="0.3">
      <c r="A115" s="13" t="s">
        <v>381</v>
      </c>
      <c r="B115" s="14">
        <v>45453</v>
      </c>
      <c r="C115" s="13" t="s">
        <v>382</v>
      </c>
      <c r="D115" s="13" t="s">
        <v>138</v>
      </c>
      <c r="E115" s="13" t="s">
        <v>98</v>
      </c>
      <c r="F115" s="15">
        <v>3</v>
      </c>
      <c r="G115" s="15">
        <v>2600</v>
      </c>
      <c r="H115" s="15">
        <v>18.2</v>
      </c>
      <c r="I115" s="15">
        <v>6380.4</v>
      </c>
      <c r="J115" s="13" t="s">
        <v>87</v>
      </c>
      <c r="K115" s="13" t="s">
        <v>99</v>
      </c>
      <c r="L115">
        <f>IF(COUNTIF(A$2:A115, A115)=1, IF(COUNTIF(A$2:A$2001, A115)&gt;1, 1, 0), 0)</f>
        <v>0</v>
      </c>
      <c r="M115" t="b">
        <f>VLOOKUP(D115, Products!A$2:F$61, 6, FALSE)</f>
        <v>1</v>
      </c>
      <c r="N115" t="str">
        <f>VLOOKUP(D115, Products!A$2:C$61, 3, FALSE)</f>
        <v>Electronics</v>
      </c>
      <c r="O115" t="str">
        <f>VLOOKUP(C115, Customers!A$2:E$301, 5, FALSE)</f>
        <v>Corporate</v>
      </c>
      <c r="P115">
        <f>VLOOKUP(C115, Customers!A$2:C$301, 3, FALSE)</f>
        <v>27</v>
      </c>
      <c r="Q115" t="str">
        <f>VLOOKUP(E115, Sales_Reps!A$2:C$31, 3, FALSE)</f>
        <v>South</v>
      </c>
      <c r="R115">
        <f>VLOOKUP(D115, Products!A$2:D$61, 4, FALSE)</f>
        <v>1052</v>
      </c>
    </row>
    <row r="116" spans="1:18" x14ac:dyDescent="0.3">
      <c r="A116" s="13" t="s">
        <v>383</v>
      </c>
      <c r="B116" s="14">
        <v>45370</v>
      </c>
      <c r="C116" s="13" t="s">
        <v>150</v>
      </c>
      <c r="D116" s="13" t="s">
        <v>295</v>
      </c>
      <c r="E116" s="13" t="s">
        <v>229</v>
      </c>
      <c r="F116" s="15">
        <v>9</v>
      </c>
      <c r="G116" s="15">
        <v>2030</v>
      </c>
      <c r="H116" s="15">
        <v>26.1</v>
      </c>
      <c r="I116" s="15">
        <v>13501.53</v>
      </c>
      <c r="J116" s="13" t="s">
        <v>87</v>
      </c>
      <c r="K116" s="13" t="s">
        <v>88</v>
      </c>
      <c r="L116">
        <f>IF(COUNTIF(A$2:A116, A116)=1, IF(COUNTIF(A$2:A$2001, A116)&gt;1, 1, 0), 0)</f>
        <v>0</v>
      </c>
      <c r="M116" t="b">
        <f>VLOOKUP(D116, Products!A$2:F$61, 6, FALSE)</f>
        <v>1</v>
      </c>
      <c r="N116" t="str">
        <f>VLOOKUP(D116, Products!A$2:C$61, 3, FALSE)</f>
        <v>Home</v>
      </c>
      <c r="O116" t="str">
        <f>VLOOKUP(C116, Customers!A$2:E$301, 5, FALSE)</f>
        <v>Retail</v>
      </c>
      <c r="P116">
        <f>VLOOKUP(C116, Customers!A$2:C$301, 3, FALSE)</f>
        <v>63</v>
      </c>
      <c r="Q116" t="str">
        <f>VLOOKUP(E116, Sales_Reps!A$2:C$31, 3, FALSE)</f>
        <v>West</v>
      </c>
      <c r="R116">
        <f>VLOOKUP(D116, Products!A$2:D$61, 4, FALSE)</f>
        <v>1143</v>
      </c>
    </row>
    <row r="117" spans="1:18" x14ac:dyDescent="0.3">
      <c r="A117" s="13" t="s">
        <v>384</v>
      </c>
      <c r="B117" s="14">
        <v>45597</v>
      </c>
      <c r="C117" s="13" t="s">
        <v>385</v>
      </c>
      <c r="D117" s="13" t="s">
        <v>386</v>
      </c>
      <c r="E117" s="13" t="s">
        <v>128</v>
      </c>
      <c r="F117" s="15">
        <v>8</v>
      </c>
      <c r="G117" s="15">
        <v>2290</v>
      </c>
      <c r="H117" s="15">
        <v>20.8</v>
      </c>
      <c r="I117" s="15">
        <v>14509.44</v>
      </c>
      <c r="J117" s="13" t="s">
        <v>87</v>
      </c>
      <c r="K117" s="13" t="s">
        <v>117</v>
      </c>
      <c r="L117">
        <f>IF(COUNTIF(A$2:A117, A117)=1, IF(COUNTIF(A$2:A$2001, A117)&gt;1, 1, 0), 0)</f>
        <v>0</v>
      </c>
      <c r="M117" t="b">
        <f>VLOOKUP(D117, Products!A$2:F$61, 6, FALSE)</f>
        <v>1</v>
      </c>
      <c r="N117" t="str">
        <f>VLOOKUP(D117, Products!A$2:C$61, 3, FALSE)</f>
        <v>Beauty</v>
      </c>
      <c r="O117" t="str">
        <f>VLOOKUP(C117, Customers!A$2:E$301, 5, FALSE)</f>
        <v>Retail</v>
      </c>
      <c r="P117">
        <f>VLOOKUP(C117, Customers!A$2:C$301, 3, FALSE)</f>
        <v>23</v>
      </c>
      <c r="Q117" t="str">
        <f>VLOOKUP(E117, Sales_Reps!A$2:C$31, 3, FALSE)</f>
        <v>West</v>
      </c>
      <c r="R117">
        <f>VLOOKUP(D117, Products!A$2:D$61, 4, FALSE)</f>
        <v>1219</v>
      </c>
    </row>
    <row r="118" spans="1:18" x14ac:dyDescent="0.3">
      <c r="A118" s="13" t="s">
        <v>387</v>
      </c>
      <c r="B118" s="14">
        <v>45531</v>
      </c>
      <c r="C118" s="13" t="s">
        <v>388</v>
      </c>
      <c r="D118" s="13" t="s">
        <v>226</v>
      </c>
      <c r="E118" s="13" t="s">
        <v>229</v>
      </c>
      <c r="F118" s="15">
        <v>3</v>
      </c>
      <c r="G118" s="15">
        <v>3730</v>
      </c>
      <c r="H118" s="15">
        <v>7.9</v>
      </c>
      <c r="I118" s="15">
        <v>10305.99</v>
      </c>
      <c r="J118" s="13" t="s">
        <v>87</v>
      </c>
      <c r="K118" s="13" t="s">
        <v>133</v>
      </c>
      <c r="L118">
        <f>IF(COUNTIF(A$2:A118, A118)=1, IF(COUNTIF(A$2:A$2001, A118)&gt;1, 1, 0), 0)</f>
        <v>0</v>
      </c>
      <c r="M118" t="b">
        <f>VLOOKUP(D118, Products!A$2:F$61, 6, FALSE)</f>
        <v>1</v>
      </c>
      <c r="N118" t="str">
        <f>VLOOKUP(D118, Products!A$2:C$61, 3, FALSE)</f>
        <v>Home</v>
      </c>
      <c r="O118" t="str">
        <f>VLOOKUP(C118, Customers!A$2:E$301, 5, FALSE)</f>
        <v>Retail</v>
      </c>
      <c r="P118">
        <f>VLOOKUP(C118, Customers!A$2:C$301, 3, FALSE)</f>
        <v>44</v>
      </c>
      <c r="Q118" t="str">
        <f>VLOOKUP(E118, Sales_Reps!A$2:C$31, 3, FALSE)</f>
        <v>West</v>
      </c>
      <c r="R118">
        <f>VLOOKUP(D118, Products!A$2:D$61, 4, FALSE)</f>
        <v>2135</v>
      </c>
    </row>
    <row r="119" spans="1:18" x14ac:dyDescent="0.3">
      <c r="A119" s="13" t="s">
        <v>389</v>
      </c>
      <c r="B119" s="14">
        <v>45596</v>
      </c>
      <c r="C119" s="13" t="s">
        <v>390</v>
      </c>
      <c r="D119" s="13" t="s">
        <v>282</v>
      </c>
      <c r="E119" s="13" t="s">
        <v>98</v>
      </c>
      <c r="F119" s="15">
        <v>1</v>
      </c>
      <c r="G119" s="15">
        <v>300</v>
      </c>
      <c r="H119" s="15">
        <v>16.899999999999999</v>
      </c>
      <c r="I119" s="15">
        <v>249.3</v>
      </c>
      <c r="J119" s="13" t="s">
        <v>93</v>
      </c>
      <c r="K119" s="13" t="s">
        <v>88</v>
      </c>
      <c r="L119">
        <f>IF(COUNTIF(A$2:A119, A119)=1, IF(COUNTIF(A$2:A$2001, A119)&gt;1, 1, 0), 0)</f>
        <v>0</v>
      </c>
      <c r="M119" t="b">
        <f>VLOOKUP(D119, Products!A$2:F$61, 6, FALSE)</f>
        <v>1</v>
      </c>
      <c r="N119" t="str">
        <f>VLOOKUP(D119, Products!A$2:C$61, 3, FALSE)</f>
        <v>Electronics</v>
      </c>
      <c r="O119" t="str">
        <f>VLOOKUP(C119, Customers!A$2:E$301, 5, FALSE)</f>
        <v>SMB</v>
      </c>
      <c r="P119">
        <f>VLOOKUP(C119, Customers!A$2:C$301, 3, FALSE)</f>
        <v>54</v>
      </c>
      <c r="Q119" t="str">
        <f>VLOOKUP(E119, Sales_Reps!A$2:C$31, 3, FALSE)</f>
        <v>South</v>
      </c>
      <c r="R119">
        <f>VLOOKUP(D119, Products!A$2:D$61, 4, FALSE)</f>
        <v>128</v>
      </c>
    </row>
    <row r="120" spans="1:18" x14ac:dyDescent="0.3">
      <c r="A120" s="13" t="s">
        <v>391</v>
      </c>
      <c r="B120" s="14">
        <v>45420</v>
      </c>
      <c r="C120" s="13" t="s">
        <v>392</v>
      </c>
      <c r="D120" s="13" t="s">
        <v>282</v>
      </c>
      <c r="E120" s="13" t="s">
        <v>325</v>
      </c>
      <c r="F120" s="15">
        <v>3</v>
      </c>
      <c r="G120" s="15">
        <v>300</v>
      </c>
      <c r="H120" s="15">
        <v>0.6</v>
      </c>
      <c r="I120" s="15">
        <v>894.6</v>
      </c>
      <c r="J120" s="13" t="s">
        <v>87</v>
      </c>
      <c r="K120" s="13" t="s">
        <v>112</v>
      </c>
      <c r="L120">
        <f>IF(COUNTIF(A$2:A120, A120)=1, IF(COUNTIF(A$2:A$2001, A120)&gt;1, 1, 0), 0)</f>
        <v>0</v>
      </c>
      <c r="M120" t="b">
        <f>VLOOKUP(D120, Products!A$2:F$61, 6, FALSE)</f>
        <v>1</v>
      </c>
      <c r="N120" t="str">
        <f>VLOOKUP(D120, Products!A$2:C$61, 3, FALSE)</f>
        <v>Electronics</v>
      </c>
      <c r="O120" t="str">
        <f>VLOOKUP(C120, Customers!A$2:E$301, 5, FALSE)</f>
        <v>Retail</v>
      </c>
      <c r="P120">
        <f>VLOOKUP(C120, Customers!A$2:C$301, 3, FALSE)</f>
        <v>50</v>
      </c>
      <c r="Q120" t="str">
        <f>VLOOKUP(E120, Sales_Reps!A$2:C$31, 3, FALSE)</f>
        <v>South</v>
      </c>
      <c r="R120">
        <f>VLOOKUP(D120, Products!A$2:D$61, 4, FALSE)</f>
        <v>128</v>
      </c>
    </row>
    <row r="121" spans="1:18" x14ac:dyDescent="0.3">
      <c r="A121" s="13" t="s">
        <v>393</v>
      </c>
      <c r="B121" s="14">
        <v>45329</v>
      </c>
      <c r="C121" s="13" t="s">
        <v>394</v>
      </c>
      <c r="D121" s="13" t="s">
        <v>179</v>
      </c>
      <c r="E121" s="13" t="s">
        <v>86</v>
      </c>
      <c r="F121" s="15">
        <v>6</v>
      </c>
      <c r="G121" s="15">
        <v>3350</v>
      </c>
      <c r="H121" s="15">
        <v>2.2999999999999998</v>
      </c>
      <c r="I121" s="15">
        <v>19637.7</v>
      </c>
      <c r="J121" s="13" t="s">
        <v>140</v>
      </c>
      <c r="K121" s="13" t="s">
        <v>117</v>
      </c>
      <c r="L121">
        <f>IF(COUNTIF(A$2:A121, A121)=1, IF(COUNTIF(A$2:A$2001, A121)&gt;1, 1, 0), 0)</f>
        <v>0</v>
      </c>
      <c r="M121" t="b">
        <f>VLOOKUP(D121, Products!A$2:F$61, 6, FALSE)</f>
        <v>1</v>
      </c>
      <c r="N121" t="str">
        <f>VLOOKUP(D121, Products!A$2:C$61, 3, FALSE)</f>
        <v>Beauty</v>
      </c>
      <c r="O121" t="str">
        <f>VLOOKUP(C121, Customers!A$2:E$301, 5, FALSE)</f>
        <v>SMB</v>
      </c>
      <c r="P121">
        <f>VLOOKUP(C121, Customers!A$2:C$301, 3, FALSE)</f>
        <v>28</v>
      </c>
      <c r="Q121" t="str">
        <f>VLOOKUP(E121, Sales_Reps!A$2:C$31, 3, FALSE)</f>
        <v>North</v>
      </c>
      <c r="R121">
        <f>VLOOKUP(D121, Products!A$2:D$61, 4, FALSE)</f>
        <v>1728</v>
      </c>
    </row>
    <row r="122" spans="1:18" x14ac:dyDescent="0.3">
      <c r="A122" s="13" t="s">
        <v>395</v>
      </c>
      <c r="B122" s="14">
        <v>45416</v>
      </c>
      <c r="C122" s="13" t="s">
        <v>153</v>
      </c>
      <c r="D122" s="13" t="s">
        <v>364</v>
      </c>
      <c r="E122" s="13" t="s">
        <v>148</v>
      </c>
      <c r="F122" s="15">
        <v>4</v>
      </c>
      <c r="G122" s="15">
        <v>5330</v>
      </c>
      <c r="H122" s="15">
        <v>29.3</v>
      </c>
      <c r="I122" s="15">
        <v>15073.24</v>
      </c>
      <c r="J122" s="13" t="s">
        <v>87</v>
      </c>
      <c r="K122" s="13" t="s">
        <v>117</v>
      </c>
      <c r="L122">
        <f>IF(COUNTIF(A$2:A122, A122)=1, IF(COUNTIF(A$2:A$2001, A122)&gt;1, 1, 0), 0)</f>
        <v>0</v>
      </c>
      <c r="M122" t="b">
        <f>VLOOKUP(D122, Products!A$2:F$61, 6, FALSE)</f>
        <v>1</v>
      </c>
      <c r="N122" t="str">
        <f>VLOOKUP(D122, Products!A$2:C$61, 3, FALSE)</f>
        <v>Electronics</v>
      </c>
      <c r="O122" t="str">
        <f>VLOOKUP(C122, Customers!A$2:E$301, 5, FALSE)</f>
        <v>SMB</v>
      </c>
      <c r="P122">
        <f>VLOOKUP(C122, Customers!A$2:C$301, 3, FALSE)</f>
        <v>46</v>
      </c>
      <c r="Q122" t="str">
        <f>VLOOKUP(E122, Sales_Reps!A$2:C$31, 3, FALSE)</f>
        <v>North</v>
      </c>
      <c r="R122">
        <f>VLOOKUP(D122, Products!A$2:D$61, 4, FALSE)</f>
        <v>2405</v>
      </c>
    </row>
    <row r="123" spans="1:18" x14ac:dyDescent="0.3">
      <c r="A123" s="13" t="s">
        <v>396</v>
      </c>
      <c r="B123" s="14">
        <v>45614</v>
      </c>
      <c r="C123" s="13" t="s">
        <v>397</v>
      </c>
      <c r="D123" s="13" t="s">
        <v>85</v>
      </c>
      <c r="E123" s="13" t="s">
        <v>297</v>
      </c>
      <c r="F123" s="15">
        <v>6</v>
      </c>
      <c r="G123" s="15">
        <v>3620</v>
      </c>
      <c r="H123" s="15">
        <v>10.8</v>
      </c>
      <c r="I123" s="15">
        <v>19374.240000000002</v>
      </c>
      <c r="J123" s="13" t="s">
        <v>87</v>
      </c>
      <c r="K123" s="13" t="s">
        <v>99</v>
      </c>
      <c r="L123">
        <f>IF(COUNTIF(A$2:A123, A123)=1, IF(COUNTIF(A$2:A$2001, A123)&gt;1, 1, 0), 0)</f>
        <v>0</v>
      </c>
      <c r="M123" t="b">
        <f>VLOOKUP(D123, Products!A$2:F$61, 6, FALSE)</f>
        <v>1</v>
      </c>
      <c r="N123" t="str">
        <f>VLOOKUP(D123, Products!A$2:C$61, 3, FALSE)</f>
        <v>Apparel</v>
      </c>
      <c r="O123" t="str">
        <f>VLOOKUP(C123, Customers!A$2:E$301, 5, FALSE)</f>
        <v>Retail</v>
      </c>
      <c r="P123">
        <f>VLOOKUP(C123, Customers!A$2:C$301, 3, FALSE)</f>
        <v>30</v>
      </c>
      <c r="Q123" t="str">
        <f>VLOOKUP(E123, Sales_Reps!A$2:C$31, 3, FALSE)</f>
        <v>North</v>
      </c>
      <c r="R123">
        <f>VLOOKUP(D123, Products!A$2:D$61, 4, FALSE)</f>
        <v>2509</v>
      </c>
    </row>
    <row r="124" spans="1:18" x14ac:dyDescent="0.3">
      <c r="A124" s="13" t="s">
        <v>398</v>
      </c>
      <c r="B124" s="14">
        <v>45593</v>
      </c>
      <c r="C124" s="13" t="s">
        <v>399</v>
      </c>
      <c r="D124" s="13" t="s">
        <v>85</v>
      </c>
      <c r="E124" s="13" t="s">
        <v>92</v>
      </c>
      <c r="F124" s="15">
        <v>6</v>
      </c>
      <c r="G124" s="15">
        <v>3620</v>
      </c>
      <c r="H124" s="15">
        <v>21.7</v>
      </c>
      <c r="I124" s="15">
        <v>17006.759999999998</v>
      </c>
      <c r="J124" s="13" t="s">
        <v>87</v>
      </c>
      <c r="K124" s="13" t="s">
        <v>99</v>
      </c>
      <c r="L124">
        <f>IF(COUNTIF(A$2:A124, A124)=1, IF(COUNTIF(A$2:A$2001, A124)&gt;1, 1, 0), 0)</f>
        <v>0</v>
      </c>
      <c r="M124" t="b">
        <f>VLOOKUP(D124, Products!A$2:F$61, 6, FALSE)</f>
        <v>1</v>
      </c>
      <c r="N124" t="str">
        <f>VLOOKUP(D124, Products!A$2:C$61, 3, FALSE)</f>
        <v>Apparel</v>
      </c>
      <c r="O124" t="str">
        <f>VLOOKUP(C124, Customers!A$2:E$301, 5, FALSE)</f>
        <v>SMB</v>
      </c>
      <c r="P124">
        <f>VLOOKUP(C124, Customers!A$2:C$301, 3, FALSE)</f>
        <v>53</v>
      </c>
      <c r="Q124" t="str">
        <f>VLOOKUP(E124, Sales_Reps!A$2:C$31, 3, FALSE)</f>
        <v>North</v>
      </c>
      <c r="R124">
        <f>VLOOKUP(D124, Products!A$2:D$61, 4, FALSE)</f>
        <v>2509</v>
      </c>
    </row>
    <row r="125" spans="1:18" x14ac:dyDescent="0.3">
      <c r="A125" s="13" t="s">
        <v>400</v>
      </c>
      <c r="B125" s="14">
        <v>45360</v>
      </c>
      <c r="C125" s="13" t="s">
        <v>401</v>
      </c>
      <c r="D125" s="13" t="s">
        <v>115</v>
      </c>
      <c r="E125" s="13" t="s">
        <v>107</v>
      </c>
      <c r="F125" s="15">
        <v>8</v>
      </c>
      <c r="G125" s="15">
        <v>960</v>
      </c>
      <c r="H125" s="15">
        <v>27.9</v>
      </c>
      <c r="I125" s="15">
        <v>5537.28</v>
      </c>
      <c r="J125" s="13" t="s">
        <v>87</v>
      </c>
      <c r="K125" s="13" t="s">
        <v>94</v>
      </c>
      <c r="L125">
        <f>IF(COUNTIF(A$2:A125, A125)=1, IF(COUNTIF(A$2:A$2001, A125)&gt;1, 1, 0), 0)</f>
        <v>0</v>
      </c>
      <c r="M125" t="b">
        <f>VLOOKUP(D125, Products!A$2:F$61, 6, FALSE)</f>
        <v>1</v>
      </c>
      <c r="N125" t="str">
        <f>VLOOKUP(D125, Products!A$2:C$61, 3, FALSE)</f>
        <v>Sports</v>
      </c>
      <c r="O125" t="str">
        <f>VLOOKUP(C125, Customers!A$2:E$301, 5, FALSE)</f>
        <v>SMB</v>
      </c>
      <c r="P125">
        <f>VLOOKUP(C125, Customers!A$2:C$301, 3, FALSE)</f>
        <v>51</v>
      </c>
      <c r="Q125" t="str">
        <f>VLOOKUP(E125, Sales_Reps!A$2:C$31, 3, FALSE)</f>
        <v>North</v>
      </c>
      <c r="R125">
        <f>VLOOKUP(D125, Products!A$2:D$61, 4, FALSE)</f>
        <v>705</v>
      </c>
    </row>
    <row r="126" spans="1:18" x14ac:dyDescent="0.3">
      <c r="A126" s="13" t="s">
        <v>402</v>
      </c>
      <c r="B126" s="14">
        <v>45628</v>
      </c>
      <c r="C126" s="13" t="s">
        <v>403</v>
      </c>
      <c r="D126" s="13" t="s">
        <v>176</v>
      </c>
      <c r="E126" s="13" t="s">
        <v>111</v>
      </c>
      <c r="F126" s="15">
        <v>5</v>
      </c>
      <c r="G126" s="15">
        <v>1650</v>
      </c>
      <c r="H126" s="15">
        <v>4.9000000000000004</v>
      </c>
      <c r="I126" s="15">
        <v>7845.75</v>
      </c>
      <c r="J126" s="13" t="s">
        <v>87</v>
      </c>
      <c r="K126" s="13" t="s">
        <v>117</v>
      </c>
      <c r="L126">
        <f>IF(COUNTIF(A$2:A126, A126)=1, IF(COUNTIF(A$2:A$2001, A126)&gt;1, 1, 0), 0)</f>
        <v>0</v>
      </c>
      <c r="M126" t="b">
        <f>VLOOKUP(D126, Products!A$2:F$61, 6, FALSE)</f>
        <v>1</v>
      </c>
      <c r="N126" t="str">
        <f>VLOOKUP(D126, Products!A$2:C$61, 3, FALSE)</f>
        <v>Beauty</v>
      </c>
      <c r="O126" t="str">
        <f>VLOOKUP(C126, Customers!A$2:E$301, 5, FALSE)</f>
        <v>Retail</v>
      </c>
      <c r="P126">
        <f>VLOOKUP(C126, Customers!A$2:C$301, 3, FALSE)</f>
        <v>59</v>
      </c>
      <c r="Q126" t="str">
        <f>VLOOKUP(E126, Sales_Reps!A$2:C$31, 3, FALSE)</f>
        <v>West</v>
      </c>
      <c r="R126">
        <f>VLOOKUP(D126, Products!A$2:D$61, 4, FALSE)</f>
        <v>1222</v>
      </c>
    </row>
    <row r="127" spans="1:18" x14ac:dyDescent="0.3">
      <c r="A127" s="13" t="s">
        <v>404</v>
      </c>
      <c r="B127" s="14">
        <v>45592</v>
      </c>
      <c r="C127" s="13" t="s">
        <v>405</v>
      </c>
      <c r="D127" s="13" t="s">
        <v>380</v>
      </c>
      <c r="E127" s="13" t="s">
        <v>132</v>
      </c>
      <c r="F127" s="15">
        <v>9</v>
      </c>
      <c r="G127" s="15">
        <v>960</v>
      </c>
      <c r="H127" s="15">
        <v>25.1</v>
      </c>
      <c r="I127" s="15">
        <v>6471.36</v>
      </c>
      <c r="J127" s="13" t="s">
        <v>144</v>
      </c>
      <c r="K127" s="13" t="s">
        <v>94</v>
      </c>
      <c r="L127">
        <f>IF(COUNTIF(A$2:A127, A127)=1, IF(COUNTIF(A$2:A$2001, A127)&gt;1, 1, 0), 0)</f>
        <v>0</v>
      </c>
      <c r="M127" t="b">
        <f>VLOOKUP(D127, Products!A$2:F$61, 6, FALSE)</f>
        <v>1</v>
      </c>
      <c r="N127" t="str">
        <f>VLOOKUP(D127, Products!A$2:C$61, 3, FALSE)</f>
        <v>Beauty</v>
      </c>
      <c r="O127" t="str">
        <f>VLOOKUP(C127, Customers!A$2:E$301, 5, FALSE)</f>
        <v>Corporate</v>
      </c>
      <c r="P127">
        <f>VLOOKUP(C127, Customers!A$2:C$301, 3, FALSE)</f>
        <v>24</v>
      </c>
      <c r="Q127" t="str">
        <f>VLOOKUP(E127, Sales_Reps!A$2:C$31, 3, FALSE)</f>
        <v>South</v>
      </c>
      <c r="R127">
        <f>VLOOKUP(D127, Products!A$2:D$61, 4, FALSE)</f>
        <v>675</v>
      </c>
    </row>
    <row r="128" spans="1:18" x14ac:dyDescent="0.3">
      <c r="A128" s="13" t="s">
        <v>406</v>
      </c>
      <c r="B128" s="14">
        <v>45453</v>
      </c>
      <c r="C128" s="13" t="s">
        <v>407</v>
      </c>
      <c r="D128" s="13" t="s">
        <v>408</v>
      </c>
      <c r="E128" s="13" t="s">
        <v>148</v>
      </c>
      <c r="F128" s="15">
        <v>7</v>
      </c>
      <c r="G128" s="15">
        <v>3970</v>
      </c>
      <c r="H128" s="15">
        <v>13.8</v>
      </c>
      <c r="I128" s="15">
        <v>23954.98</v>
      </c>
      <c r="J128" s="13" t="s">
        <v>93</v>
      </c>
      <c r="K128" s="13" t="s">
        <v>88</v>
      </c>
      <c r="L128">
        <f>IF(COUNTIF(A$2:A128, A128)=1, IF(COUNTIF(A$2:A$2001, A128)&gt;1, 1, 0), 0)</f>
        <v>0</v>
      </c>
      <c r="M128" t="b">
        <f>VLOOKUP(D128, Products!A$2:F$61, 6, FALSE)</f>
        <v>1</v>
      </c>
      <c r="N128" t="str">
        <f>VLOOKUP(D128, Products!A$2:C$61, 3, FALSE)</f>
        <v>Electronics</v>
      </c>
      <c r="O128" t="str">
        <f>VLOOKUP(C128, Customers!A$2:E$301, 5, FALSE)</f>
        <v>SMB</v>
      </c>
      <c r="P128">
        <f>VLOOKUP(C128, Customers!A$2:C$301, 3, FALSE)</f>
        <v>53</v>
      </c>
      <c r="Q128" t="str">
        <f>VLOOKUP(E128, Sales_Reps!A$2:C$31, 3, FALSE)</f>
        <v>North</v>
      </c>
      <c r="R128">
        <f>VLOOKUP(D128, Products!A$2:D$61, 4, FALSE)</f>
        <v>2865</v>
      </c>
    </row>
    <row r="129" spans="1:18" x14ac:dyDescent="0.3">
      <c r="A129" s="13" t="s">
        <v>409</v>
      </c>
      <c r="B129" s="14">
        <v>45612</v>
      </c>
      <c r="C129" s="13" t="s">
        <v>299</v>
      </c>
      <c r="D129" s="13" t="s">
        <v>127</v>
      </c>
      <c r="E129" s="13" t="s">
        <v>92</v>
      </c>
      <c r="F129" s="15">
        <v>7</v>
      </c>
      <c r="G129" s="15">
        <v>970</v>
      </c>
      <c r="H129" s="15">
        <v>21.6</v>
      </c>
      <c r="I129" s="15">
        <v>5323.36</v>
      </c>
      <c r="J129" s="13" t="s">
        <v>93</v>
      </c>
      <c r="K129" s="13" t="s">
        <v>133</v>
      </c>
      <c r="L129">
        <f>IF(COUNTIF(A$2:A129, A129)=1, IF(COUNTIF(A$2:A$2001, A129)&gt;1, 1, 0), 0)</f>
        <v>0</v>
      </c>
      <c r="M129" t="b">
        <f>VLOOKUP(D129, Products!A$2:F$61, 6, FALSE)</f>
        <v>1</v>
      </c>
      <c r="N129" t="str">
        <f>VLOOKUP(D129, Products!A$2:C$61, 3, FALSE)</f>
        <v>Grocery</v>
      </c>
      <c r="O129" t="str">
        <f>VLOOKUP(C129, Customers!A$2:E$301, 5, FALSE)</f>
        <v>Retail</v>
      </c>
      <c r="P129">
        <f>VLOOKUP(C129, Customers!A$2:C$301, 3, FALSE)</f>
        <v>29</v>
      </c>
      <c r="Q129" t="str">
        <f>VLOOKUP(E129, Sales_Reps!A$2:C$31, 3, FALSE)</f>
        <v>North</v>
      </c>
      <c r="R129">
        <f>VLOOKUP(D129, Products!A$2:D$61, 4, FALSE)</f>
        <v>434</v>
      </c>
    </row>
    <row r="130" spans="1:18" x14ac:dyDescent="0.3">
      <c r="A130" s="13" t="s">
        <v>410</v>
      </c>
      <c r="B130" s="14">
        <v>45541</v>
      </c>
      <c r="C130" s="13" t="s">
        <v>411</v>
      </c>
      <c r="D130" s="13" t="s">
        <v>295</v>
      </c>
      <c r="E130" s="13" t="s">
        <v>215</v>
      </c>
      <c r="F130" s="15">
        <v>10</v>
      </c>
      <c r="G130" s="15">
        <v>2030</v>
      </c>
      <c r="H130" s="15">
        <v>1.2</v>
      </c>
      <c r="I130" s="15">
        <v>20056.400000000001</v>
      </c>
      <c r="J130" s="13" t="s">
        <v>87</v>
      </c>
      <c r="K130" s="13" t="s">
        <v>112</v>
      </c>
      <c r="L130">
        <f>IF(COUNTIF(A$2:A130, A130)=1, IF(COUNTIF(A$2:A$2001, A130)&gt;1, 1, 0), 0)</f>
        <v>0</v>
      </c>
      <c r="M130" t="b">
        <f>VLOOKUP(D130, Products!A$2:F$61, 6, FALSE)</f>
        <v>1</v>
      </c>
      <c r="N130" t="str">
        <f>VLOOKUP(D130, Products!A$2:C$61, 3, FALSE)</f>
        <v>Home</v>
      </c>
      <c r="O130" t="str">
        <f>VLOOKUP(C130, Customers!A$2:E$301, 5, FALSE)</f>
        <v>Retail</v>
      </c>
      <c r="P130">
        <f>VLOOKUP(C130, Customers!A$2:C$301, 3, FALSE)</f>
        <v>61</v>
      </c>
      <c r="Q130" t="str">
        <f>VLOOKUP(E130, Sales_Reps!A$2:C$31, 3, FALSE)</f>
        <v>North</v>
      </c>
      <c r="R130">
        <f>VLOOKUP(D130, Products!A$2:D$61, 4, FALSE)</f>
        <v>1143</v>
      </c>
    </row>
    <row r="131" spans="1:18" x14ac:dyDescent="0.3">
      <c r="A131" s="13" t="s">
        <v>412</v>
      </c>
      <c r="B131" s="14">
        <v>45640</v>
      </c>
      <c r="C131" s="13" t="s">
        <v>413</v>
      </c>
      <c r="D131" s="13" t="s">
        <v>131</v>
      </c>
      <c r="E131" s="13" t="s">
        <v>158</v>
      </c>
      <c r="F131" s="15">
        <v>9</v>
      </c>
      <c r="G131" s="15">
        <v>2270</v>
      </c>
      <c r="H131" s="15">
        <v>13.2</v>
      </c>
      <c r="I131" s="15">
        <v>17733.240000000002</v>
      </c>
      <c r="J131" s="13" t="s">
        <v>93</v>
      </c>
      <c r="K131" s="13" t="s">
        <v>88</v>
      </c>
      <c r="L131">
        <f>IF(COUNTIF(A$2:A131, A131)=1, IF(COUNTIF(A$2:A$2001, A131)&gt;1, 1, 0), 0)</f>
        <v>0</v>
      </c>
      <c r="M131" t="b">
        <f>VLOOKUP(D131, Products!A$2:F$61, 6, FALSE)</f>
        <v>1</v>
      </c>
      <c r="N131" t="str">
        <f>VLOOKUP(D131, Products!A$2:C$61, 3, FALSE)</f>
        <v>Grocery</v>
      </c>
      <c r="O131" t="str">
        <f>VLOOKUP(C131, Customers!A$2:E$301, 5, FALSE)</f>
        <v>Retail</v>
      </c>
      <c r="P131">
        <f>VLOOKUP(C131, Customers!A$2:C$301, 3, FALSE)</f>
        <v>22</v>
      </c>
      <c r="Q131" t="str">
        <f>VLOOKUP(E131, Sales_Reps!A$2:C$31, 3, FALSE)</f>
        <v>East</v>
      </c>
      <c r="R131">
        <f>VLOOKUP(D131, Products!A$2:D$61, 4, FALSE)</f>
        <v>1203</v>
      </c>
    </row>
    <row r="132" spans="1:18" x14ac:dyDescent="0.3">
      <c r="A132" s="13" t="s">
        <v>414</v>
      </c>
      <c r="B132" s="14">
        <v>45524</v>
      </c>
      <c r="C132" s="13" t="s">
        <v>156</v>
      </c>
      <c r="D132" s="13" t="s">
        <v>184</v>
      </c>
      <c r="E132" s="13" t="s">
        <v>148</v>
      </c>
      <c r="F132" s="15">
        <v>8</v>
      </c>
      <c r="G132" s="15">
        <v>4880</v>
      </c>
      <c r="H132" s="15">
        <v>13.4</v>
      </c>
      <c r="I132" s="15">
        <v>33808.639999999999</v>
      </c>
      <c r="J132" s="13" t="s">
        <v>87</v>
      </c>
      <c r="K132" s="13" t="s">
        <v>133</v>
      </c>
      <c r="L132">
        <f>IF(COUNTIF(A$2:A132, A132)=1, IF(COUNTIF(A$2:A$2001, A132)&gt;1, 1, 0), 0)</f>
        <v>0</v>
      </c>
      <c r="M132" t="b">
        <f>VLOOKUP(D132, Products!A$2:F$61, 6, FALSE)</f>
        <v>1</v>
      </c>
      <c r="N132" t="str">
        <f>VLOOKUP(D132, Products!A$2:C$61, 3, FALSE)</f>
        <v>Beauty</v>
      </c>
      <c r="O132" t="str">
        <f>VLOOKUP(C132, Customers!A$2:E$301, 5, FALSE)</f>
        <v>Corporate</v>
      </c>
      <c r="P132">
        <f>VLOOKUP(C132, Customers!A$2:C$301, 3, FALSE)</f>
        <v>32</v>
      </c>
      <c r="Q132" t="str">
        <f>VLOOKUP(E132, Sales_Reps!A$2:C$31, 3, FALSE)</f>
        <v>North</v>
      </c>
      <c r="R132">
        <f>VLOOKUP(D132, Products!A$2:D$61, 4, FALSE)</f>
        <v>2768</v>
      </c>
    </row>
    <row r="133" spans="1:18" x14ac:dyDescent="0.3">
      <c r="A133" s="13" t="s">
        <v>415</v>
      </c>
      <c r="B133" s="14">
        <v>45344</v>
      </c>
      <c r="C133" s="13" t="s">
        <v>416</v>
      </c>
      <c r="D133" s="13" t="s">
        <v>248</v>
      </c>
      <c r="E133" s="13" t="s">
        <v>273</v>
      </c>
      <c r="F133" s="15">
        <v>10</v>
      </c>
      <c r="G133" s="15">
        <v>3870</v>
      </c>
      <c r="H133" s="15">
        <v>23.9</v>
      </c>
      <c r="I133" s="15">
        <v>29450.7</v>
      </c>
      <c r="J133" s="13" t="s">
        <v>87</v>
      </c>
      <c r="K133" s="13" t="s">
        <v>117</v>
      </c>
      <c r="L133">
        <f>IF(COUNTIF(A$2:A133, A133)=1, IF(COUNTIF(A$2:A$2001, A133)&gt;1, 1, 0), 0)</f>
        <v>0</v>
      </c>
      <c r="M133" t="b">
        <f>VLOOKUP(D133, Products!A$2:F$61, 6, FALSE)</f>
        <v>1</v>
      </c>
      <c r="N133" t="str">
        <f>VLOOKUP(D133, Products!A$2:C$61, 3, FALSE)</f>
        <v>Electronics</v>
      </c>
      <c r="O133" t="str">
        <f>VLOOKUP(C133, Customers!A$2:E$301, 5, FALSE)</f>
        <v>Corporate</v>
      </c>
      <c r="P133">
        <f>VLOOKUP(C133, Customers!A$2:C$301, 3, FALSE)</f>
        <v>42</v>
      </c>
      <c r="Q133" t="str">
        <f>VLOOKUP(E133, Sales_Reps!A$2:C$31, 3, FALSE)</f>
        <v>South</v>
      </c>
      <c r="R133">
        <f>VLOOKUP(D133, Products!A$2:D$61, 4, FALSE)</f>
        <v>1559</v>
      </c>
    </row>
    <row r="134" spans="1:18" x14ac:dyDescent="0.3">
      <c r="A134" s="13" t="s">
        <v>417</v>
      </c>
      <c r="B134" s="14">
        <v>45463</v>
      </c>
      <c r="C134" s="13" t="s">
        <v>418</v>
      </c>
      <c r="D134" s="13" t="s">
        <v>386</v>
      </c>
      <c r="E134" s="13" t="s">
        <v>297</v>
      </c>
      <c r="F134" s="15">
        <v>4</v>
      </c>
      <c r="G134" s="15">
        <v>2290</v>
      </c>
      <c r="H134" s="15">
        <v>15.2</v>
      </c>
      <c r="I134" s="15">
        <v>7767.68</v>
      </c>
      <c r="J134" s="13" t="s">
        <v>87</v>
      </c>
      <c r="K134" s="13" t="s">
        <v>133</v>
      </c>
      <c r="L134">
        <f>IF(COUNTIF(A$2:A134, A134)=1, IF(COUNTIF(A$2:A$2001, A134)&gt;1, 1, 0), 0)</f>
        <v>0</v>
      </c>
      <c r="M134" t="b">
        <f>VLOOKUP(D134, Products!A$2:F$61, 6, FALSE)</f>
        <v>1</v>
      </c>
      <c r="N134" t="str">
        <f>VLOOKUP(D134, Products!A$2:C$61, 3, FALSE)</f>
        <v>Beauty</v>
      </c>
      <c r="O134" t="str">
        <f>VLOOKUP(C134, Customers!A$2:E$301, 5, FALSE)</f>
        <v>Retail</v>
      </c>
      <c r="P134">
        <f>VLOOKUP(C134, Customers!A$2:C$301, 3, FALSE)</f>
        <v>22</v>
      </c>
      <c r="Q134" t="str">
        <f>VLOOKUP(E134, Sales_Reps!A$2:C$31, 3, FALSE)</f>
        <v>North</v>
      </c>
      <c r="R134">
        <f>VLOOKUP(D134, Products!A$2:D$61, 4, FALSE)</f>
        <v>1219</v>
      </c>
    </row>
    <row r="135" spans="1:18" x14ac:dyDescent="0.3">
      <c r="A135" s="13" t="s">
        <v>419</v>
      </c>
      <c r="B135" s="14">
        <v>45443</v>
      </c>
      <c r="C135" s="13" t="s">
        <v>420</v>
      </c>
      <c r="D135" s="13" t="s">
        <v>367</v>
      </c>
      <c r="E135" s="13" t="s">
        <v>192</v>
      </c>
      <c r="F135" s="15">
        <v>8</v>
      </c>
      <c r="G135" s="15">
        <v>2380</v>
      </c>
      <c r="H135" s="15">
        <v>4.2</v>
      </c>
      <c r="I135" s="15">
        <v>18240.32</v>
      </c>
      <c r="J135" s="13" t="s">
        <v>87</v>
      </c>
      <c r="K135" s="13" t="s">
        <v>99</v>
      </c>
      <c r="L135">
        <f>IF(COUNTIF(A$2:A135, A135)=1, IF(COUNTIF(A$2:A$2001, A135)&gt;1, 1, 0), 0)</f>
        <v>0</v>
      </c>
      <c r="M135" t="b">
        <f>VLOOKUP(D135, Products!A$2:F$61, 6, FALSE)</f>
        <v>1</v>
      </c>
      <c r="N135" t="str">
        <f>VLOOKUP(D135, Products!A$2:C$61, 3, FALSE)</f>
        <v>Grocery</v>
      </c>
      <c r="O135" t="str">
        <f>VLOOKUP(C135, Customers!A$2:E$301, 5, FALSE)</f>
        <v>Retail</v>
      </c>
      <c r="P135">
        <f>VLOOKUP(C135, Customers!A$2:C$301, 3, FALSE)</f>
        <v>44</v>
      </c>
      <c r="Q135" t="str">
        <f>VLOOKUP(E135, Sales_Reps!A$2:C$31, 3, FALSE)</f>
        <v>East</v>
      </c>
      <c r="R135">
        <f>VLOOKUP(D135, Products!A$2:D$61, 4, FALSE)</f>
        <v>1182</v>
      </c>
    </row>
    <row r="136" spans="1:18" x14ac:dyDescent="0.3">
      <c r="A136" s="13" t="s">
        <v>421</v>
      </c>
      <c r="B136" s="14">
        <v>45301</v>
      </c>
      <c r="C136" s="13" t="s">
        <v>422</v>
      </c>
      <c r="D136" s="13" t="s">
        <v>338</v>
      </c>
      <c r="E136" s="13" t="s">
        <v>252</v>
      </c>
      <c r="F136" s="15">
        <v>8</v>
      </c>
      <c r="G136" s="15">
        <v>2210</v>
      </c>
      <c r="H136" s="15">
        <v>11.5</v>
      </c>
      <c r="I136" s="15">
        <v>15646.8</v>
      </c>
      <c r="J136" s="13" t="s">
        <v>87</v>
      </c>
      <c r="K136" s="13" t="s">
        <v>94</v>
      </c>
      <c r="L136">
        <f>IF(COUNTIF(A$2:A136, A136)=1, IF(COUNTIF(A$2:A$2001, A136)&gt;1, 1, 0), 0)</f>
        <v>1</v>
      </c>
      <c r="M136" t="b">
        <f>VLOOKUP(D136, Products!A$2:F$61, 6, FALSE)</f>
        <v>1</v>
      </c>
      <c r="N136" t="str">
        <f>VLOOKUP(D136, Products!A$2:C$61, 3, FALSE)</f>
        <v>Grocery</v>
      </c>
      <c r="O136" t="str">
        <f>VLOOKUP(C136, Customers!A$2:E$301, 5, FALSE)</f>
        <v>SMB</v>
      </c>
      <c r="P136">
        <f>VLOOKUP(C136, Customers!A$2:C$301, 3, FALSE)</f>
        <v>64</v>
      </c>
      <c r="Q136" t="str">
        <f>VLOOKUP(E136, Sales_Reps!A$2:C$31, 3, FALSE)</f>
        <v>South</v>
      </c>
      <c r="R136">
        <f>VLOOKUP(D136, Products!A$2:D$61, 4, FALSE)</f>
        <v>1010</v>
      </c>
    </row>
    <row r="137" spans="1:18" x14ac:dyDescent="0.3">
      <c r="A137" s="13" t="s">
        <v>423</v>
      </c>
      <c r="B137" s="14">
        <v>45360</v>
      </c>
      <c r="C137" s="13" t="s">
        <v>233</v>
      </c>
      <c r="D137" s="13" t="s">
        <v>364</v>
      </c>
      <c r="E137" s="13" t="s">
        <v>285</v>
      </c>
      <c r="F137" s="15">
        <v>4</v>
      </c>
      <c r="G137" s="15">
        <v>5330</v>
      </c>
      <c r="H137" s="15">
        <v>22.6</v>
      </c>
      <c r="I137" s="15">
        <v>16501.68</v>
      </c>
      <c r="J137" s="13" t="s">
        <v>93</v>
      </c>
      <c r="K137" s="13" t="s">
        <v>88</v>
      </c>
      <c r="L137">
        <f>IF(COUNTIF(A$2:A137, A137)=1, IF(COUNTIF(A$2:A$2001, A137)&gt;1, 1, 0), 0)</f>
        <v>1</v>
      </c>
      <c r="M137" t="b">
        <f>VLOOKUP(D137, Products!A$2:F$61, 6, FALSE)</f>
        <v>1</v>
      </c>
      <c r="N137" t="str">
        <f>VLOOKUP(D137, Products!A$2:C$61, 3, FALSE)</f>
        <v>Electronics</v>
      </c>
      <c r="O137" t="str">
        <f>VLOOKUP(C137, Customers!A$2:E$301, 5, FALSE)</f>
        <v>SMB</v>
      </c>
      <c r="P137">
        <f>VLOOKUP(C137, Customers!A$2:C$301, 3, FALSE)</f>
        <v>29</v>
      </c>
      <c r="Q137" t="str">
        <f>VLOOKUP(E137, Sales_Reps!A$2:C$31, 3, FALSE)</f>
        <v>East</v>
      </c>
      <c r="R137">
        <f>VLOOKUP(D137, Products!A$2:D$61, 4, FALSE)</f>
        <v>2405</v>
      </c>
    </row>
    <row r="138" spans="1:18" x14ac:dyDescent="0.3">
      <c r="A138" s="13" t="s">
        <v>424</v>
      </c>
      <c r="B138" s="14">
        <v>45559</v>
      </c>
      <c r="C138" s="13" t="s">
        <v>425</v>
      </c>
      <c r="D138" s="13" t="s">
        <v>408</v>
      </c>
      <c r="E138" s="13" t="s">
        <v>285</v>
      </c>
      <c r="F138" s="15">
        <v>8</v>
      </c>
      <c r="G138" s="15">
        <v>3970</v>
      </c>
      <c r="H138" s="15">
        <v>21.8</v>
      </c>
      <c r="I138" s="15">
        <v>24836.32</v>
      </c>
      <c r="J138" s="13" t="s">
        <v>87</v>
      </c>
      <c r="K138" s="13" t="s">
        <v>94</v>
      </c>
      <c r="L138">
        <f>IF(COUNTIF(A$2:A138, A138)=1, IF(COUNTIF(A$2:A$2001, A138)&gt;1, 1, 0), 0)</f>
        <v>0</v>
      </c>
      <c r="M138" t="b">
        <f>VLOOKUP(D138, Products!A$2:F$61, 6, FALSE)</f>
        <v>1</v>
      </c>
      <c r="N138" t="str">
        <f>VLOOKUP(D138, Products!A$2:C$61, 3, FALSE)</f>
        <v>Electronics</v>
      </c>
      <c r="O138" t="str">
        <f>VLOOKUP(C138, Customers!A$2:E$301, 5, FALSE)</f>
        <v>SMB</v>
      </c>
      <c r="P138">
        <f>VLOOKUP(C138, Customers!A$2:C$301, 3, FALSE)</f>
        <v>64</v>
      </c>
      <c r="Q138" t="str">
        <f>VLOOKUP(E138, Sales_Reps!A$2:C$31, 3, FALSE)</f>
        <v>East</v>
      </c>
      <c r="R138">
        <f>VLOOKUP(D138, Products!A$2:D$61, 4, FALSE)</f>
        <v>2865</v>
      </c>
    </row>
    <row r="139" spans="1:18" x14ac:dyDescent="0.3">
      <c r="A139" s="13" t="s">
        <v>426</v>
      </c>
      <c r="B139" s="14">
        <v>45546</v>
      </c>
      <c r="C139" s="13" t="s">
        <v>427</v>
      </c>
      <c r="D139" s="13" t="s">
        <v>106</v>
      </c>
      <c r="E139" s="13" t="s">
        <v>192</v>
      </c>
      <c r="F139" s="15">
        <v>10</v>
      </c>
      <c r="G139" s="15">
        <v>3160</v>
      </c>
      <c r="H139" s="15">
        <v>16.100000000000001</v>
      </c>
      <c r="I139" s="15">
        <v>26512.400000000001</v>
      </c>
      <c r="J139" s="13" t="s">
        <v>140</v>
      </c>
      <c r="K139" s="13" t="s">
        <v>88</v>
      </c>
      <c r="L139">
        <f>IF(COUNTIF(A$2:A139, A139)=1, IF(COUNTIF(A$2:A$2001, A139)&gt;1, 1, 0), 0)</f>
        <v>0</v>
      </c>
      <c r="M139" t="b">
        <f>VLOOKUP(D139, Products!A$2:F$61, 6, FALSE)</f>
        <v>1</v>
      </c>
      <c r="N139" t="str">
        <f>VLOOKUP(D139, Products!A$2:C$61, 3, FALSE)</f>
        <v>Apparel</v>
      </c>
      <c r="O139" t="str">
        <f>VLOOKUP(C139, Customers!A$2:E$301, 5, FALSE)</f>
        <v>Corporate</v>
      </c>
      <c r="P139">
        <f>VLOOKUP(C139, Customers!A$2:C$301, 3, FALSE)</f>
        <v>48</v>
      </c>
      <c r="Q139" t="str">
        <f>VLOOKUP(E139, Sales_Reps!A$2:C$31, 3, FALSE)</f>
        <v>East</v>
      </c>
      <c r="R139">
        <f>VLOOKUP(D139, Products!A$2:D$61, 4, FALSE)</f>
        <v>1886</v>
      </c>
    </row>
    <row r="140" spans="1:18" x14ac:dyDescent="0.3">
      <c r="A140" s="13" t="s">
        <v>428</v>
      </c>
      <c r="B140" s="14">
        <v>45425</v>
      </c>
      <c r="C140" s="13" t="s">
        <v>429</v>
      </c>
      <c r="D140" s="13" t="s">
        <v>147</v>
      </c>
      <c r="E140" s="13" t="s">
        <v>204</v>
      </c>
      <c r="F140" s="15">
        <v>5</v>
      </c>
      <c r="G140" s="15">
        <v>190</v>
      </c>
      <c r="H140" s="15">
        <v>14.8</v>
      </c>
      <c r="I140" s="15">
        <v>809.4</v>
      </c>
      <c r="J140" s="13" t="s">
        <v>87</v>
      </c>
      <c r="K140" s="13" t="s">
        <v>117</v>
      </c>
      <c r="L140">
        <f>IF(COUNTIF(A$2:A140, A140)=1, IF(COUNTIF(A$2:A$2001, A140)&gt;1, 1, 0), 0)</f>
        <v>0</v>
      </c>
      <c r="M140" t="b">
        <f>VLOOKUP(D140, Products!A$2:F$61, 6, FALSE)</f>
        <v>1</v>
      </c>
      <c r="N140" t="str">
        <f>VLOOKUP(D140, Products!A$2:C$61, 3, FALSE)</f>
        <v>Sports</v>
      </c>
      <c r="O140" t="str">
        <f>VLOOKUP(C140, Customers!A$2:E$301, 5, FALSE)</f>
        <v>Retail</v>
      </c>
      <c r="P140">
        <f>VLOOKUP(C140, Customers!A$2:C$301, 3, FALSE)</f>
        <v>55</v>
      </c>
      <c r="Q140" t="str">
        <f>VLOOKUP(E140, Sales_Reps!A$2:C$31, 3, FALSE)</f>
        <v>South</v>
      </c>
      <c r="R140">
        <f>VLOOKUP(D140, Products!A$2:D$61, 4, FALSE)</f>
        <v>147</v>
      </c>
    </row>
    <row r="141" spans="1:18" x14ac:dyDescent="0.3">
      <c r="A141" s="13" t="s">
        <v>430</v>
      </c>
      <c r="B141" s="14">
        <v>45351</v>
      </c>
      <c r="C141" s="13" t="s">
        <v>322</v>
      </c>
      <c r="D141" s="13" t="s">
        <v>200</v>
      </c>
      <c r="E141" s="13" t="s">
        <v>86</v>
      </c>
      <c r="F141" s="15">
        <v>6</v>
      </c>
      <c r="G141" s="15">
        <v>2760</v>
      </c>
      <c r="H141" s="15">
        <v>19.8</v>
      </c>
      <c r="I141" s="15">
        <v>13281.12</v>
      </c>
      <c r="J141" s="13" t="s">
        <v>87</v>
      </c>
      <c r="K141" s="13" t="s">
        <v>99</v>
      </c>
      <c r="L141">
        <f>IF(COUNTIF(A$2:A141, A141)=1, IF(COUNTIF(A$2:A$2001, A141)&gt;1, 1, 0), 0)</f>
        <v>0</v>
      </c>
      <c r="M141" t="b">
        <f>VLOOKUP(D141, Products!A$2:F$61, 6, FALSE)</f>
        <v>1</v>
      </c>
      <c r="N141" t="str">
        <f>VLOOKUP(D141, Products!A$2:C$61, 3, FALSE)</f>
        <v>Grocery</v>
      </c>
      <c r="O141" t="str">
        <f>VLOOKUP(C141, Customers!A$2:E$301, 5, FALSE)</f>
        <v>Retail</v>
      </c>
      <c r="P141">
        <f>VLOOKUP(C141, Customers!A$2:C$301, 3, FALSE)</f>
        <v>31</v>
      </c>
      <c r="Q141" t="str">
        <f>VLOOKUP(E141, Sales_Reps!A$2:C$31, 3, FALSE)</f>
        <v>North</v>
      </c>
      <c r="R141">
        <f>VLOOKUP(D141, Products!A$2:D$61, 4, FALSE)</f>
        <v>1435</v>
      </c>
    </row>
    <row r="142" spans="1:18" x14ac:dyDescent="0.3">
      <c r="A142" s="13" t="s">
        <v>431</v>
      </c>
      <c r="B142" s="14">
        <v>45604</v>
      </c>
      <c r="C142" s="13" t="s">
        <v>371</v>
      </c>
      <c r="D142" s="13" t="s">
        <v>245</v>
      </c>
      <c r="E142" s="13" t="s">
        <v>121</v>
      </c>
      <c r="F142" s="15">
        <v>9</v>
      </c>
      <c r="G142" s="15">
        <v>2270</v>
      </c>
      <c r="H142" s="15">
        <v>20.8</v>
      </c>
      <c r="I142" s="15">
        <v>16180.56</v>
      </c>
      <c r="J142" s="13" t="s">
        <v>140</v>
      </c>
      <c r="K142" s="13" t="s">
        <v>112</v>
      </c>
      <c r="L142">
        <f>IF(COUNTIF(A$2:A142, A142)=1, IF(COUNTIF(A$2:A$2001, A142)&gt;1, 1, 0), 0)</f>
        <v>0</v>
      </c>
      <c r="M142" t="b">
        <f>VLOOKUP(D142, Products!A$2:F$61, 6, FALSE)</f>
        <v>1</v>
      </c>
      <c r="N142" t="str">
        <f>VLOOKUP(D142, Products!A$2:C$61, 3, FALSE)</f>
        <v>Grocery</v>
      </c>
      <c r="O142" t="str">
        <f>VLOOKUP(C142, Customers!A$2:E$301, 5, FALSE)</f>
        <v>Retail</v>
      </c>
      <c r="P142">
        <f>VLOOKUP(C142, Customers!A$2:C$301, 3, FALSE)</f>
        <v>42</v>
      </c>
      <c r="Q142" t="str">
        <f>VLOOKUP(E142, Sales_Reps!A$2:C$31, 3, FALSE)</f>
        <v>East</v>
      </c>
      <c r="R142">
        <f>VLOOKUP(D142, Products!A$2:D$61, 4, FALSE)</f>
        <v>1412</v>
      </c>
    </row>
    <row r="143" spans="1:18" x14ac:dyDescent="0.3">
      <c r="A143" s="13" t="s">
        <v>432</v>
      </c>
      <c r="B143" s="14">
        <v>45328</v>
      </c>
      <c r="C143" s="13" t="s">
        <v>166</v>
      </c>
      <c r="D143" s="13" t="s">
        <v>360</v>
      </c>
      <c r="E143" s="13" t="s">
        <v>215</v>
      </c>
      <c r="F143" s="15">
        <v>8</v>
      </c>
      <c r="G143" s="15">
        <v>5410</v>
      </c>
      <c r="H143" s="15">
        <v>12.9</v>
      </c>
      <c r="I143" s="15">
        <v>37696.879999999997</v>
      </c>
      <c r="J143" s="13" t="s">
        <v>87</v>
      </c>
      <c r="K143" s="13" t="s">
        <v>133</v>
      </c>
      <c r="L143">
        <f>IF(COUNTIF(A$2:A143, A143)=1, IF(COUNTIF(A$2:A$2001, A143)&gt;1, 1, 0), 0)</f>
        <v>0</v>
      </c>
      <c r="M143" t="b">
        <f>VLOOKUP(D143, Products!A$2:F$61, 6, FALSE)</f>
        <v>1</v>
      </c>
      <c r="N143" t="str">
        <f>VLOOKUP(D143, Products!A$2:C$61, 3, FALSE)</f>
        <v>Sports</v>
      </c>
      <c r="O143" t="str">
        <f>VLOOKUP(C143, Customers!A$2:E$301, 5, FALSE)</f>
        <v>Retail</v>
      </c>
      <c r="P143">
        <f>VLOOKUP(C143, Customers!A$2:C$301, 3, FALSE)</f>
        <v>32</v>
      </c>
      <c r="Q143" t="str">
        <f>VLOOKUP(E143, Sales_Reps!A$2:C$31, 3, FALSE)</f>
        <v>North</v>
      </c>
      <c r="R143">
        <f>VLOOKUP(D143, Products!A$2:D$61, 4, FALSE)</f>
        <v>2265</v>
      </c>
    </row>
    <row r="144" spans="1:18" x14ac:dyDescent="0.3">
      <c r="A144" s="13" t="s">
        <v>433</v>
      </c>
      <c r="B144" s="14">
        <v>45508</v>
      </c>
      <c r="C144" s="13" t="s">
        <v>434</v>
      </c>
      <c r="D144" s="13" t="s">
        <v>131</v>
      </c>
      <c r="E144" s="13" t="s">
        <v>204</v>
      </c>
      <c r="F144" s="15">
        <v>9</v>
      </c>
      <c r="G144" s="15">
        <v>2270</v>
      </c>
      <c r="H144" s="15">
        <v>6.8</v>
      </c>
      <c r="I144" s="15">
        <v>19040.759999999998</v>
      </c>
      <c r="J144" s="13" t="s">
        <v>87</v>
      </c>
      <c r="K144" s="13" t="s">
        <v>99</v>
      </c>
      <c r="L144">
        <f>IF(COUNTIF(A$2:A144, A144)=1, IF(COUNTIF(A$2:A$2001, A144)&gt;1, 1, 0), 0)</f>
        <v>0</v>
      </c>
      <c r="M144" t="b">
        <f>VLOOKUP(D144, Products!A$2:F$61, 6, FALSE)</f>
        <v>1</v>
      </c>
      <c r="N144" t="str">
        <f>VLOOKUP(D144, Products!A$2:C$61, 3, FALSE)</f>
        <v>Grocery</v>
      </c>
      <c r="O144" t="str">
        <f>VLOOKUP(C144, Customers!A$2:E$301, 5, FALSE)</f>
        <v>Corporate</v>
      </c>
      <c r="P144">
        <f>VLOOKUP(C144, Customers!A$2:C$301, 3, FALSE)</f>
        <v>31</v>
      </c>
      <c r="Q144" t="str">
        <f>VLOOKUP(E144, Sales_Reps!A$2:C$31, 3, FALSE)</f>
        <v>South</v>
      </c>
      <c r="R144">
        <f>VLOOKUP(D144, Products!A$2:D$61, 4, FALSE)</f>
        <v>1203</v>
      </c>
    </row>
    <row r="145" spans="1:18" x14ac:dyDescent="0.3">
      <c r="A145" s="13" t="s">
        <v>435</v>
      </c>
      <c r="B145" s="14">
        <v>45309</v>
      </c>
      <c r="C145" s="13" t="s">
        <v>137</v>
      </c>
      <c r="D145" s="13" t="s">
        <v>106</v>
      </c>
      <c r="E145" s="13" t="s">
        <v>215</v>
      </c>
      <c r="F145" s="15">
        <v>3</v>
      </c>
      <c r="G145" s="15">
        <v>3160</v>
      </c>
      <c r="H145" s="15">
        <v>12.8</v>
      </c>
      <c r="I145" s="15">
        <v>8266.56</v>
      </c>
      <c r="J145" s="13" t="s">
        <v>87</v>
      </c>
      <c r="K145" s="13" t="s">
        <v>99</v>
      </c>
      <c r="L145">
        <f>IF(COUNTIF(A$2:A145, A145)=1, IF(COUNTIF(A$2:A$2001, A145)&gt;1, 1, 0), 0)</f>
        <v>0</v>
      </c>
      <c r="M145" t="b">
        <f>VLOOKUP(D145, Products!A$2:F$61, 6, FALSE)</f>
        <v>1</v>
      </c>
      <c r="N145" t="str">
        <f>VLOOKUP(D145, Products!A$2:C$61, 3, FALSE)</f>
        <v>Apparel</v>
      </c>
      <c r="O145" t="str">
        <f>VLOOKUP(C145, Customers!A$2:E$301, 5, FALSE)</f>
        <v>SMB</v>
      </c>
      <c r="P145">
        <f>VLOOKUP(C145, Customers!A$2:C$301, 3, FALSE)</f>
        <v>27</v>
      </c>
      <c r="Q145" t="str">
        <f>VLOOKUP(E145, Sales_Reps!A$2:C$31, 3, FALSE)</f>
        <v>North</v>
      </c>
      <c r="R145">
        <f>VLOOKUP(D145, Products!A$2:D$61, 4, FALSE)</f>
        <v>1886</v>
      </c>
    </row>
    <row r="146" spans="1:18" x14ac:dyDescent="0.3">
      <c r="A146" s="13" t="s">
        <v>436</v>
      </c>
      <c r="B146" s="14">
        <v>45448</v>
      </c>
      <c r="C146" s="13" t="s">
        <v>233</v>
      </c>
      <c r="D146" s="13" t="s">
        <v>351</v>
      </c>
      <c r="E146" s="13" t="s">
        <v>128</v>
      </c>
      <c r="F146" s="15">
        <v>8</v>
      </c>
      <c r="G146" s="15">
        <v>4060</v>
      </c>
      <c r="H146" s="15">
        <v>20.9</v>
      </c>
      <c r="I146" s="15">
        <v>25691.68</v>
      </c>
      <c r="J146" s="13" t="s">
        <v>87</v>
      </c>
      <c r="K146" s="13" t="s">
        <v>88</v>
      </c>
      <c r="L146">
        <f>IF(COUNTIF(A$2:A146, A146)=1, IF(COUNTIF(A$2:A$2001, A146)&gt;1, 1, 0), 0)</f>
        <v>0</v>
      </c>
      <c r="M146" t="b">
        <f>VLOOKUP(D146, Products!A$2:F$61, 6, FALSE)</f>
        <v>1</v>
      </c>
      <c r="N146" t="str">
        <f>VLOOKUP(D146, Products!A$2:C$61, 3, FALSE)</f>
        <v>Grocery</v>
      </c>
      <c r="O146" t="str">
        <f>VLOOKUP(C146, Customers!A$2:E$301, 5, FALSE)</f>
        <v>SMB</v>
      </c>
      <c r="P146">
        <f>VLOOKUP(C146, Customers!A$2:C$301, 3, FALSE)</f>
        <v>29</v>
      </c>
      <c r="Q146" t="str">
        <f>VLOOKUP(E146, Sales_Reps!A$2:C$31, 3, FALSE)</f>
        <v>West</v>
      </c>
      <c r="R146">
        <f>VLOOKUP(D146, Products!A$2:D$61, 4, FALSE)</f>
        <v>2911</v>
      </c>
    </row>
    <row r="147" spans="1:18" x14ac:dyDescent="0.3">
      <c r="A147" s="13" t="s">
        <v>437</v>
      </c>
      <c r="B147" s="14">
        <v>45449</v>
      </c>
      <c r="C147" s="13" t="s">
        <v>438</v>
      </c>
      <c r="D147" s="13" t="s">
        <v>91</v>
      </c>
      <c r="E147" s="13" t="s">
        <v>303</v>
      </c>
      <c r="F147" s="15">
        <v>5</v>
      </c>
      <c r="G147" s="15">
        <v>820</v>
      </c>
      <c r="H147" s="15">
        <v>9.1</v>
      </c>
      <c r="I147" s="15">
        <v>3726.9</v>
      </c>
      <c r="J147" s="13" t="s">
        <v>144</v>
      </c>
      <c r="K147" s="13" t="s">
        <v>88</v>
      </c>
      <c r="L147">
        <f>IF(COUNTIF(A$2:A147, A147)=1, IF(COUNTIF(A$2:A$2001, A147)&gt;1, 1, 0), 0)</f>
        <v>0</v>
      </c>
      <c r="M147" t="b">
        <f>VLOOKUP(D147, Products!A$2:F$61, 6, FALSE)</f>
        <v>1</v>
      </c>
      <c r="N147" t="str">
        <f>VLOOKUP(D147, Products!A$2:C$61, 3, FALSE)</f>
        <v>Apparel</v>
      </c>
      <c r="O147" t="e">
        <f>VLOOKUP(C147, Customers!A$2:E$301, 5, FALSE)</f>
        <v>#N/A</v>
      </c>
      <c r="P147" t="e">
        <f>VLOOKUP(C147, Customers!A$2:C$301, 3, FALSE)</f>
        <v>#N/A</v>
      </c>
      <c r="Q147" t="str">
        <f>VLOOKUP(E147, Sales_Reps!A$2:C$31, 3, FALSE)</f>
        <v>East</v>
      </c>
      <c r="R147">
        <f>VLOOKUP(D147, Products!A$2:D$61, 4, FALSE)</f>
        <v>391</v>
      </c>
    </row>
    <row r="148" spans="1:18" x14ac:dyDescent="0.3">
      <c r="A148" s="13" t="s">
        <v>439</v>
      </c>
      <c r="B148" s="14">
        <v>45555</v>
      </c>
      <c r="C148" s="13" t="s">
        <v>440</v>
      </c>
      <c r="D148" s="13" t="s">
        <v>110</v>
      </c>
      <c r="E148" s="13" t="s">
        <v>86</v>
      </c>
      <c r="F148" s="15">
        <v>5</v>
      </c>
      <c r="G148" s="15">
        <v>370</v>
      </c>
      <c r="H148" s="15">
        <v>11.5</v>
      </c>
      <c r="I148" s="15">
        <v>1637.25</v>
      </c>
      <c r="J148" s="13" t="s">
        <v>87</v>
      </c>
      <c r="K148" s="13" t="s">
        <v>88</v>
      </c>
      <c r="L148">
        <f>IF(COUNTIF(A$2:A148, A148)=1, IF(COUNTIF(A$2:A$2001, A148)&gt;1, 1, 0), 0)</f>
        <v>0</v>
      </c>
      <c r="M148" t="b">
        <f>VLOOKUP(D148, Products!A$2:F$61, 6, FALSE)</f>
        <v>1</v>
      </c>
      <c r="N148" t="str">
        <f>VLOOKUP(D148, Products!A$2:C$61, 3, FALSE)</f>
        <v>Home</v>
      </c>
      <c r="O148" t="str">
        <f>VLOOKUP(C148, Customers!A$2:E$301, 5, FALSE)</f>
        <v>SMB</v>
      </c>
      <c r="P148">
        <f>VLOOKUP(C148, Customers!A$2:C$301, 3, FALSE)</f>
        <v>30</v>
      </c>
      <c r="Q148" t="str">
        <f>VLOOKUP(E148, Sales_Reps!A$2:C$31, 3, FALSE)</f>
        <v>North</v>
      </c>
      <c r="R148">
        <f>VLOOKUP(D148, Products!A$2:D$61, 4, FALSE)</f>
        <v>288</v>
      </c>
    </row>
    <row r="149" spans="1:18" x14ac:dyDescent="0.3">
      <c r="A149" s="13" t="s">
        <v>441</v>
      </c>
      <c r="B149" s="14">
        <v>45341</v>
      </c>
      <c r="C149" s="13" t="s">
        <v>442</v>
      </c>
      <c r="D149" s="13" t="s">
        <v>443</v>
      </c>
      <c r="E149" s="13" t="s">
        <v>297</v>
      </c>
      <c r="F149" s="15">
        <v>9</v>
      </c>
      <c r="G149" s="15">
        <v>5080</v>
      </c>
      <c r="H149" s="15">
        <v>27.5</v>
      </c>
      <c r="I149" s="15">
        <v>33147</v>
      </c>
      <c r="J149" s="13" t="s">
        <v>87</v>
      </c>
      <c r="K149" s="13" t="s">
        <v>88</v>
      </c>
      <c r="L149">
        <f>IF(COUNTIF(A$2:A149, A149)=1, IF(COUNTIF(A$2:A$2001, A149)&gt;1, 1, 0), 0)</f>
        <v>0</v>
      </c>
      <c r="M149" t="b">
        <f>VLOOKUP(D149, Products!A$2:F$61, 6, FALSE)</f>
        <v>1</v>
      </c>
      <c r="N149" t="str">
        <f>VLOOKUP(D149, Products!A$2:C$61, 3, FALSE)</f>
        <v>Home</v>
      </c>
      <c r="O149" t="str">
        <f>VLOOKUP(C149, Customers!A$2:E$301, 5, FALSE)</f>
        <v>Retail</v>
      </c>
      <c r="P149">
        <f>VLOOKUP(C149, Customers!A$2:C$301, 3, FALSE)</f>
        <v>65</v>
      </c>
      <c r="Q149" t="str">
        <f>VLOOKUP(E149, Sales_Reps!A$2:C$31, 3, FALSE)</f>
        <v>North</v>
      </c>
      <c r="R149">
        <f>VLOOKUP(D149, Products!A$2:D$61, 4, FALSE)</f>
        <v>2459</v>
      </c>
    </row>
    <row r="150" spans="1:18" x14ac:dyDescent="0.3">
      <c r="A150" s="13" t="s">
        <v>444</v>
      </c>
      <c r="B150" s="14">
        <v>45422</v>
      </c>
      <c r="C150" s="13" t="s">
        <v>308</v>
      </c>
      <c r="D150" s="13" t="s">
        <v>264</v>
      </c>
      <c r="E150" s="13" t="s">
        <v>325</v>
      </c>
      <c r="F150" s="15">
        <v>6</v>
      </c>
      <c r="G150" s="15">
        <v>4070</v>
      </c>
      <c r="H150" s="15">
        <v>12.5</v>
      </c>
      <c r="I150" s="15">
        <v>21367.5</v>
      </c>
      <c r="J150" s="13" t="s">
        <v>87</v>
      </c>
      <c r="K150" s="13" t="s">
        <v>88</v>
      </c>
      <c r="L150">
        <f>IF(COUNTIF(A$2:A150, A150)=1, IF(COUNTIF(A$2:A$2001, A150)&gt;1, 1, 0), 0)</f>
        <v>0</v>
      </c>
      <c r="M150" t="b">
        <f>VLOOKUP(D150, Products!A$2:F$61, 6, FALSE)</f>
        <v>1</v>
      </c>
      <c r="N150" t="str">
        <f>VLOOKUP(D150, Products!A$2:C$61, 3, FALSE)</f>
        <v>Grocery</v>
      </c>
      <c r="O150" t="str">
        <f>VLOOKUP(C150, Customers!A$2:E$301, 5, FALSE)</f>
        <v>SMB</v>
      </c>
      <c r="P150">
        <f>VLOOKUP(C150, Customers!A$2:C$301, 3, FALSE)</f>
        <v>54</v>
      </c>
      <c r="Q150" t="str">
        <f>VLOOKUP(E150, Sales_Reps!A$2:C$31, 3, FALSE)</f>
        <v>South</v>
      </c>
      <c r="R150">
        <f>VLOOKUP(D150, Products!A$2:D$61, 4, FALSE)</f>
        <v>2027</v>
      </c>
    </row>
    <row r="151" spans="1:18" x14ac:dyDescent="0.3">
      <c r="A151" s="13" t="s">
        <v>445</v>
      </c>
      <c r="B151" s="14">
        <v>45346</v>
      </c>
      <c r="C151" s="13" t="s">
        <v>440</v>
      </c>
      <c r="D151" s="13" t="s">
        <v>282</v>
      </c>
      <c r="E151" s="13" t="s">
        <v>116</v>
      </c>
      <c r="F151" s="15">
        <v>5</v>
      </c>
      <c r="G151" s="15">
        <v>300</v>
      </c>
      <c r="H151" s="15">
        <v>25.8</v>
      </c>
      <c r="I151" s="15">
        <v>1113</v>
      </c>
      <c r="J151" s="13" t="s">
        <v>87</v>
      </c>
      <c r="K151" s="13" t="s">
        <v>88</v>
      </c>
      <c r="L151">
        <f>IF(COUNTIF(A$2:A151, A151)=1, IF(COUNTIF(A$2:A$2001, A151)&gt;1, 1, 0), 0)</f>
        <v>0</v>
      </c>
      <c r="M151" t="b">
        <f>VLOOKUP(D151, Products!A$2:F$61, 6, FALSE)</f>
        <v>1</v>
      </c>
      <c r="N151" t="str">
        <f>VLOOKUP(D151, Products!A$2:C$61, 3, FALSE)</f>
        <v>Electronics</v>
      </c>
      <c r="O151" t="str">
        <f>VLOOKUP(C151, Customers!A$2:E$301, 5, FALSE)</f>
        <v>SMB</v>
      </c>
      <c r="P151">
        <f>VLOOKUP(C151, Customers!A$2:C$301, 3, FALSE)</f>
        <v>30</v>
      </c>
      <c r="Q151" t="str">
        <f>VLOOKUP(E151, Sales_Reps!A$2:C$31, 3, FALSE)</f>
        <v>West</v>
      </c>
      <c r="R151">
        <f>VLOOKUP(D151, Products!A$2:D$61, 4, FALSE)</f>
        <v>128</v>
      </c>
    </row>
    <row r="152" spans="1:18" x14ac:dyDescent="0.3">
      <c r="A152" s="13" t="s">
        <v>446</v>
      </c>
      <c r="B152" s="14">
        <v>45318</v>
      </c>
      <c r="C152" s="13" t="s">
        <v>447</v>
      </c>
      <c r="D152" s="13" t="s">
        <v>191</v>
      </c>
      <c r="E152" s="13" t="s">
        <v>273</v>
      </c>
      <c r="F152" s="15">
        <v>7</v>
      </c>
      <c r="G152" s="15">
        <v>5100</v>
      </c>
      <c r="H152" s="15">
        <v>28.8</v>
      </c>
      <c r="I152" s="15">
        <v>25418.400000000001</v>
      </c>
      <c r="J152" s="13" t="s">
        <v>87</v>
      </c>
      <c r="K152" s="13" t="s">
        <v>448</v>
      </c>
      <c r="L152">
        <f>IF(COUNTIF(A$2:A152, A152)=1, IF(COUNTIF(A$2:A$2001, A152)&gt;1, 1, 0), 0)</f>
        <v>0</v>
      </c>
      <c r="M152" t="b">
        <f>VLOOKUP(D152, Products!A$2:F$61, 6, FALSE)</f>
        <v>1</v>
      </c>
      <c r="N152" t="str">
        <f>VLOOKUP(D152, Products!A$2:C$61, 3, FALSE)</f>
        <v>Beauty</v>
      </c>
      <c r="O152" t="str">
        <f>VLOOKUP(C152, Customers!A$2:E$301, 5, FALSE)</f>
        <v>Retail</v>
      </c>
      <c r="P152">
        <f>VLOOKUP(C152, Customers!A$2:C$301, 3, FALSE)</f>
        <v>41</v>
      </c>
      <c r="Q152" t="str">
        <f>VLOOKUP(E152, Sales_Reps!A$2:C$31, 3, FALSE)</f>
        <v>South</v>
      </c>
      <c r="R152">
        <f>VLOOKUP(D152, Products!A$2:D$61, 4, FALSE)</f>
        <v>2237</v>
      </c>
    </row>
    <row r="153" spans="1:18" x14ac:dyDescent="0.3">
      <c r="A153" s="13" t="s">
        <v>449</v>
      </c>
      <c r="B153" s="14">
        <v>45521</v>
      </c>
      <c r="C153" s="13" t="s">
        <v>225</v>
      </c>
      <c r="D153" s="13" t="s">
        <v>124</v>
      </c>
      <c r="E153" s="13" t="s">
        <v>325</v>
      </c>
      <c r="F153" s="15">
        <v>2</v>
      </c>
      <c r="G153" s="15">
        <v>5490</v>
      </c>
      <c r="H153" s="15">
        <v>5.5</v>
      </c>
      <c r="I153" s="15">
        <v>10376.1</v>
      </c>
      <c r="J153" s="13" t="s">
        <v>87</v>
      </c>
      <c r="K153" s="13" t="s">
        <v>94</v>
      </c>
      <c r="L153">
        <f>IF(COUNTIF(A$2:A153, A153)=1, IF(COUNTIF(A$2:A$2001, A153)&gt;1, 1, 0), 0)</f>
        <v>0</v>
      </c>
      <c r="M153" t="b">
        <f>VLOOKUP(D153, Products!A$2:F$61, 6, FALSE)</f>
        <v>1</v>
      </c>
      <c r="N153" t="str">
        <f>VLOOKUP(D153, Products!A$2:C$61, 3, FALSE)</f>
        <v>Home</v>
      </c>
      <c r="O153" t="str">
        <f>VLOOKUP(C153, Customers!A$2:E$301, 5, FALSE)</f>
        <v>Retail</v>
      </c>
      <c r="P153">
        <f>VLOOKUP(C153, Customers!A$2:C$301, 3, FALSE)</f>
        <v>37</v>
      </c>
      <c r="Q153" t="str">
        <f>VLOOKUP(E153, Sales_Reps!A$2:C$31, 3, FALSE)</f>
        <v>South</v>
      </c>
      <c r="R153">
        <f>VLOOKUP(D153, Products!A$2:D$61, 4, FALSE)</f>
        <v>2549</v>
      </c>
    </row>
    <row r="154" spans="1:18" x14ac:dyDescent="0.3">
      <c r="A154" s="13" t="s">
        <v>450</v>
      </c>
      <c r="B154" s="14">
        <v>45595</v>
      </c>
      <c r="C154" s="13" t="s">
        <v>451</v>
      </c>
      <c r="D154" s="13" t="s">
        <v>452</v>
      </c>
      <c r="E154" s="13" t="s">
        <v>188</v>
      </c>
      <c r="F154" s="15">
        <v>2</v>
      </c>
      <c r="G154" s="15">
        <v>3450</v>
      </c>
      <c r="H154" s="15">
        <v>1.2</v>
      </c>
      <c r="I154" s="15">
        <v>6817.2</v>
      </c>
      <c r="J154" s="13" t="s">
        <v>87</v>
      </c>
      <c r="K154" s="13" t="s">
        <v>99</v>
      </c>
      <c r="L154">
        <f>IF(COUNTIF(A$2:A154, A154)=1, IF(COUNTIF(A$2:A$2001, A154)&gt;1, 1, 0), 0)</f>
        <v>0</v>
      </c>
      <c r="M154" t="b">
        <f>VLOOKUP(D154, Products!A$2:F$61, 6, FALSE)</f>
        <v>1</v>
      </c>
      <c r="N154" t="str">
        <f>VLOOKUP(D154, Products!A$2:C$61, 3, FALSE)</f>
        <v>Apparel</v>
      </c>
      <c r="O154" t="str">
        <f>VLOOKUP(C154, Customers!A$2:E$301, 5, FALSE)</f>
        <v>SMB</v>
      </c>
      <c r="P154">
        <f>VLOOKUP(C154, Customers!A$2:C$301, 3, FALSE)</f>
        <v>34</v>
      </c>
      <c r="Q154" t="str">
        <f>VLOOKUP(E154, Sales_Reps!A$2:C$31, 3, FALSE)</f>
        <v>South</v>
      </c>
      <c r="R154">
        <f>VLOOKUP(D154, Products!A$2:D$61, 4, FALSE)</f>
        <v>1748</v>
      </c>
    </row>
    <row r="155" spans="1:18" x14ac:dyDescent="0.3">
      <c r="A155" s="13" t="s">
        <v>453</v>
      </c>
      <c r="B155" s="14">
        <v>45530</v>
      </c>
      <c r="C155" s="13" t="s">
        <v>454</v>
      </c>
      <c r="D155" s="13" t="s">
        <v>338</v>
      </c>
      <c r="E155" s="13" t="s">
        <v>297</v>
      </c>
      <c r="F155" s="15">
        <v>10</v>
      </c>
      <c r="G155" s="15">
        <v>2210</v>
      </c>
      <c r="H155" s="15">
        <v>18.8</v>
      </c>
      <c r="I155" s="15">
        <v>17945.2</v>
      </c>
      <c r="J155" s="13" t="s">
        <v>87</v>
      </c>
      <c r="K155" s="13" t="s">
        <v>133</v>
      </c>
      <c r="L155">
        <f>IF(COUNTIF(A$2:A155, A155)=1, IF(COUNTIF(A$2:A$2001, A155)&gt;1, 1, 0), 0)</f>
        <v>0</v>
      </c>
      <c r="M155" t="b">
        <f>VLOOKUP(D155, Products!A$2:F$61, 6, FALSE)</f>
        <v>1</v>
      </c>
      <c r="N155" t="str">
        <f>VLOOKUP(D155, Products!A$2:C$61, 3, FALSE)</f>
        <v>Grocery</v>
      </c>
      <c r="O155" t="str">
        <f>VLOOKUP(C155, Customers!A$2:E$301, 5, FALSE)</f>
        <v>Corporate</v>
      </c>
      <c r="P155">
        <f>VLOOKUP(C155, Customers!A$2:C$301, 3, FALSE)</f>
        <v>43</v>
      </c>
      <c r="Q155" t="str">
        <f>VLOOKUP(E155, Sales_Reps!A$2:C$31, 3, FALSE)</f>
        <v>North</v>
      </c>
      <c r="R155">
        <f>VLOOKUP(D155, Products!A$2:D$61, 4, FALSE)</f>
        <v>1010</v>
      </c>
    </row>
    <row r="156" spans="1:18" x14ac:dyDescent="0.3">
      <c r="A156" s="13" t="s">
        <v>455</v>
      </c>
      <c r="B156" s="14">
        <v>45644</v>
      </c>
      <c r="C156" s="13" t="s">
        <v>320</v>
      </c>
      <c r="D156" s="13" t="s">
        <v>143</v>
      </c>
      <c r="E156" s="13" t="s">
        <v>252</v>
      </c>
      <c r="F156" s="15">
        <v>2</v>
      </c>
      <c r="G156" s="15">
        <v>3250</v>
      </c>
      <c r="H156" s="15">
        <v>26.2</v>
      </c>
      <c r="I156" s="15">
        <v>4797</v>
      </c>
      <c r="J156" s="13" t="s">
        <v>87</v>
      </c>
      <c r="K156" s="13" t="s">
        <v>133</v>
      </c>
      <c r="L156">
        <f>IF(COUNTIF(A$2:A156, A156)=1, IF(COUNTIF(A$2:A$2001, A156)&gt;1, 1, 0), 0)</f>
        <v>0</v>
      </c>
      <c r="M156" t="b">
        <f>VLOOKUP(D156, Products!A$2:F$61, 6, FALSE)</f>
        <v>1</v>
      </c>
      <c r="N156" t="str">
        <f>VLOOKUP(D156, Products!A$2:C$61, 3, FALSE)</f>
        <v>Home</v>
      </c>
      <c r="O156" t="str">
        <f>VLOOKUP(C156, Customers!A$2:E$301, 5, FALSE)</f>
        <v>SMB</v>
      </c>
      <c r="P156">
        <f>VLOOKUP(C156, Customers!A$2:C$301, 3, FALSE)</f>
        <v>36</v>
      </c>
      <c r="Q156" t="str">
        <f>VLOOKUP(E156, Sales_Reps!A$2:C$31, 3, FALSE)</f>
        <v>South</v>
      </c>
      <c r="R156">
        <f>VLOOKUP(D156, Products!A$2:D$61, 4, FALSE)</f>
        <v>1556</v>
      </c>
    </row>
    <row r="157" spans="1:18" x14ac:dyDescent="0.3">
      <c r="A157" s="13" t="s">
        <v>456</v>
      </c>
      <c r="B157" s="14">
        <v>45298</v>
      </c>
      <c r="C157" s="13" t="s">
        <v>457</v>
      </c>
      <c r="D157" s="13" t="s">
        <v>106</v>
      </c>
      <c r="E157" s="13" t="s">
        <v>215</v>
      </c>
      <c r="F157" s="15">
        <v>5</v>
      </c>
      <c r="G157" s="15">
        <v>3160</v>
      </c>
      <c r="H157" s="15">
        <v>0.9</v>
      </c>
      <c r="I157" s="15">
        <v>15657.8</v>
      </c>
      <c r="J157" s="13" t="s">
        <v>87</v>
      </c>
      <c r="K157" s="13" t="s">
        <v>88</v>
      </c>
      <c r="L157">
        <f>IF(COUNTIF(A$2:A157, A157)=1, IF(COUNTIF(A$2:A$2001, A157)&gt;1, 1, 0), 0)</f>
        <v>0</v>
      </c>
      <c r="M157" t="b">
        <f>VLOOKUP(D157, Products!A$2:F$61, 6, FALSE)</f>
        <v>1</v>
      </c>
      <c r="N157" t="str">
        <f>VLOOKUP(D157, Products!A$2:C$61, 3, FALSE)</f>
        <v>Apparel</v>
      </c>
      <c r="O157" t="str">
        <f>VLOOKUP(C157, Customers!A$2:E$301, 5, FALSE)</f>
        <v>Retail</v>
      </c>
      <c r="P157">
        <f>VLOOKUP(C157, Customers!A$2:C$301, 3, FALSE)</f>
        <v>29</v>
      </c>
      <c r="Q157" t="str">
        <f>VLOOKUP(E157, Sales_Reps!A$2:C$31, 3, FALSE)</f>
        <v>North</v>
      </c>
      <c r="R157">
        <f>VLOOKUP(D157, Products!A$2:D$61, 4, FALSE)</f>
        <v>1886</v>
      </c>
    </row>
    <row r="158" spans="1:18" x14ac:dyDescent="0.3">
      <c r="A158" s="13" t="s">
        <v>458</v>
      </c>
      <c r="B158" s="14">
        <v>45447</v>
      </c>
      <c r="C158" s="13" t="s">
        <v>407</v>
      </c>
      <c r="D158" s="13" t="s">
        <v>248</v>
      </c>
      <c r="E158" s="13" t="s">
        <v>170</v>
      </c>
      <c r="F158" s="15">
        <v>4</v>
      </c>
      <c r="G158" s="15">
        <v>3870</v>
      </c>
      <c r="H158" s="15">
        <v>29.6</v>
      </c>
      <c r="I158" s="15">
        <v>10897.92</v>
      </c>
      <c r="J158" s="13" t="s">
        <v>140</v>
      </c>
      <c r="K158" s="13" t="s">
        <v>88</v>
      </c>
      <c r="L158">
        <f>IF(COUNTIF(A$2:A158, A158)=1, IF(COUNTIF(A$2:A$2001, A158)&gt;1, 1, 0), 0)</f>
        <v>0</v>
      </c>
      <c r="M158" t="b">
        <f>VLOOKUP(D158, Products!A$2:F$61, 6, FALSE)</f>
        <v>1</v>
      </c>
      <c r="N158" t="str">
        <f>VLOOKUP(D158, Products!A$2:C$61, 3, FALSE)</f>
        <v>Electronics</v>
      </c>
      <c r="O158" t="str">
        <f>VLOOKUP(C158, Customers!A$2:E$301, 5, FALSE)</f>
        <v>SMB</v>
      </c>
      <c r="P158">
        <f>VLOOKUP(C158, Customers!A$2:C$301, 3, FALSE)</f>
        <v>53</v>
      </c>
      <c r="Q158" t="str">
        <f>VLOOKUP(E158, Sales_Reps!A$2:C$31, 3, FALSE)</f>
        <v>West</v>
      </c>
      <c r="R158">
        <f>VLOOKUP(D158, Products!A$2:D$61, 4, FALSE)</f>
        <v>1559</v>
      </c>
    </row>
    <row r="159" spans="1:18" x14ac:dyDescent="0.3">
      <c r="A159" s="13" t="s">
        <v>459</v>
      </c>
      <c r="B159" s="14">
        <v>45601</v>
      </c>
      <c r="C159" s="13" t="s">
        <v>460</v>
      </c>
      <c r="D159" s="13" t="s">
        <v>461</v>
      </c>
      <c r="E159" s="13" t="s">
        <v>285</v>
      </c>
      <c r="F159" s="15">
        <v>4</v>
      </c>
      <c r="G159" s="15">
        <v>3780</v>
      </c>
      <c r="H159" s="15">
        <v>3.5</v>
      </c>
      <c r="I159" s="15">
        <v>14590.8</v>
      </c>
      <c r="J159" s="13" t="s">
        <v>140</v>
      </c>
      <c r="K159" s="13" t="s">
        <v>88</v>
      </c>
      <c r="L159">
        <f>IF(COUNTIF(A$2:A159, A159)=1, IF(COUNTIF(A$2:A$2001, A159)&gt;1, 1, 0), 0)</f>
        <v>0</v>
      </c>
      <c r="M159" t="b">
        <f>VLOOKUP(D159, Products!A$2:F$61, 6, FALSE)</f>
        <v>1</v>
      </c>
      <c r="N159" t="str">
        <f>VLOOKUP(D159, Products!A$2:C$61, 3, FALSE)</f>
        <v>Sports</v>
      </c>
      <c r="O159" t="str">
        <f>VLOOKUP(C159, Customers!A$2:E$301, 5, FALSE)</f>
        <v>Corporate</v>
      </c>
      <c r="P159">
        <f>VLOOKUP(C159, Customers!A$2:C$301, 3, FALSE)</f>
        <v>37</v>
      </c>
      <c r="Q159" t="str">
        <f>VLOOKUP(E159, Sales_Reps!A$2:C$31, 3, FALSE)</f>
        <v>East</v>
      </c>
      <c r="R159">
        <f>VLOOKUP(D159, Products!A$2:D$61, 4, FALSE)</f>
        <v>1860</v>
      </c>
    </row>
    <row r="160" spans="1:18" x14ac:dyDescent="0.3">
      <c r="A160" s="13" t="s">
        <v>462</v>
      </c>
      <c r="B160" s="14">
        <v>45428</v>
      </c>
      <c r="C160" s="13" t="s">
        <v>463</v>
      </c>
      <c r="D160" s="13" t="s">
        <v>276</v>
      </c>
      <c r="E160" s="13" t="s">
        <v>158</v>
      </c>
      <c r="F160" s="15">
        <v>4</v>
      </c>
      <c r="G160" s="15">
        <v>3020</v>
      </c>
      <c r="H160" s="15">
        <v>18.899999999999999</v>
      </c>
      <c r="I160" s="15">
        <v>9796.8799999999992</v>
      </c>
      <c r="J160" s="13" t="s">
        <v>87</v>
      </c>
      <c r="K160" s="13" t="s">
        <v>117</v>
      </c>
      <c r="L160">
        <f>IF(COUNTIF(A$2:A160, A160)=1, IF(COUNTIF(A$2:A$2001, A160)&gt;1, 1, 0), 0)</f>
        <v>0</v>
      </c>
      <c r="M160" t="b">
        <f>VLOOKUP(D160, Products!A$2:F$61, 6, FALSE)</f>
        <v>1</v>
      </c>
      <c r="N160" t="str">
        <f>VLOOKUP(D160, Products!A$2:C$61, 3, FALSE)</f>
        <v>Beauty</v>
      </c>
      <c r="O160" t="str">
        <f>VLOOKUP(C160, Customers!A$2:E$301, 5, FALSE)</f>
        <v>Retail</v>
      </c>
      <c r="P160">
        <f>VLOOKUP(C160, Customers!A$2:C$301, 3, FALSE)</f>
        <v>55</v>
      </c>
      <c r="Q160" t="str">
        <f>VLOOKUP(E160, Sales_Reps!A$2:C$31, 3, FALSE)</f>
        <v>East</v>
      </c>
      <c r="R160">
        <f>VLOOKUP(D160, Products!A$2:D$61, 4, FALSE)</f>
        <v>1626</v>
      </c>
    </row>
    <row r="161" spans="1:18" x14ac:dyDescent="0.3">
      <c r="A161" s="13" t="s">
        <v>464</v>
      </c>
      <c r="B161" s="14">
        <v>45409</v>
      </c>
      <c r="C161" s="13" t="s">
        <v>465</v>
      </c>
      <c r="D161" s="13" t="s">
        <v>226</v>
      </c>
      <c r="E161" s="13" t="s">
        <v>188</v>
      </c>
      <c r="F161" s="15">
        <v>1</v>
      </c>
      <c r="G161" s="15">
        <v>3730</v>
      </c>
      <c r="H161" s="15">
        <v>10.8</v>
      </c>
      <c r="I161" s="15">
        <v>3327.16</v>
      </c>
      <c r="J161" s="13" t="s">
        <v>144</v>
      </c>
      <c r="K161" s="13" t="s">
        <v>112</v>
      </c>
      <c r="L161">
        <f>IF(COUNTIF(A$2:A161, A161)=1, IF(COUNTIF(A$2:A$2001, A161)&gt;1, 1, 0), 0)</f>
        <v>0</v>
      </c>
      <c r="M161" t="b">
        <f>VLOOKUP(D161, Products!A$2:F$61, 6, FALSE)</f>
        <v>1</v>
      </c>
      <c r="N161" t="str">
        <f>VLOOKUP(D161, Products!A$2:C$61, 3, FALSE)</f>
        <v>Home</v>
      </c>
      <c r="O161" t="str">
        <f>VLOOKUP(C161, Customers!A$2:E$301, 5, FALSE)</f>
        <v>Retail</v>
      </c>
      <c r="P161">
        <f>VLOOKUP(C161, Customers!A$2:C$301, 3, FALSE)</f>
        <v>61</v>
      </c>
      <c r="Q161" t="str">
        <f>VLOOKUP(E161, Sales_Reps!A$2:C$31, 3, FALSE)</f>
        <v>South</v>
      </c>
      <c r="R161">
        <f>VLOOKUP(D161, Products!A$2:D$61, 4, FALSE)</f>
        <v>2135</v>
      </c>
    </row>
    <row r="162" spans="1:18" x14ac:dyDescent="0.3">
      <c r="A162" s="13" t="s">
        <v>466</v>
      </c>
      <c r="B162" s="14">
        <v>45394</v>
      </c>
      <c r="C162" s="13" t="s">
        <v>333</v>
      </c>
      <c r="D162" s="13" t="s">
        <v>184</v>
      </c>
      <c r="E162" s="13" t="s">
        <v>303</v>
      </c>
      <c r="F162" s="15">
        <v>8</v>
      </c>
      <c r="G162" s="15">
        <v>4880</v>
      </c>
      <c r="H162" s="15">
        <v>20.3</v>
      </c>
      <c r="I162" s="15">
        <v>31114.880000000001</v>
      </c>
      <c r="J162" s="13" t="s">
        <v>87</v>
      </c>
      <c r="K162" s="13" t="s">
        <v>133</v>
      </c>
      <c r="L162">
        <f>IF(COUNTIF(A$2:A162, A162)=1, IF(COUNTIF(A$2:A$2001, A162)&gt;1, 1, 0), 0)</f>
        <v>0</v>
      </c>
      <c r="M162" t="b">
        <f>VLOOKUP(D162, Products!A$2:F$61, 6, FALSE)</f>
        <v>1</v>
      </c>
      <c r="N162" t="str">
        <f>VLOOKUP(D162, Products!A$2:C$61, 3, FALSE)</f>
        <v>Beauty</v>
      </c>
      <c r="O162" t="str">
        <f>VLOOKUP(C162, Customers!A$2:E$301, 5, FALSE)</f>
        <v>SMB</v>
      </c>
      <c r="P162">
        <f>VLOOKUP(C162, Customers!A$2:C$301, 3, FALSE)</f>
        <v>65</v>
      </c>
      <c r="Q162" t="str">
        <f>VLOOKUP(E162, Sales_Reps!A$2:C$31, 3, FALSE)</f>
        <v>East</v>
      </c>
      <c r="R162">
        <f>VLOOKUP(D162, Products!A$2:D$61, 4, FALSE)</f>
        <v>2768</v>
      </c>
    </row>
    <row r="163" spans="1:18" x14ac:dyDescent="0.3">
      <c r="A163" s="13" t="s">
        <v>467</v>
      </c>
      <c r="B163" s="14">
        <v>45579</v>
      </c>
      <c r="C163" s="13" t="s">
        <v>150</v>
      </c>
      <c r="D163" s="13" t="s">
        <v>127</v>
      </c>
      <c r="E163" s="13" t="s">
        <v>201</v>
      </c>
      <c r="F163" s="15">
        <v>9</v>
      </c>
      <c r="G163" s="15">
        <v>970</v>
      </c>
      <c r="H163" s="15">
        <v>18.2</v>
      </c>
      <c r="I163" s="15">
        <v>7141.14</v>
      </c>
      <c r="J163" s="13" t="s">
        <v>87</v>
      </c>
      <c r="K163" s="13" t="s">
        <v>88</v>
      </c>
      <c r="L163">
        <f>IF(COUNTIF(A$2:A163, A163)=1, IF(COUNTIF(A$2:A$2001, A163)&gt;1, 1, 0), 0)</f>
        <v>0</v>
      </c>
      <c r="M163" t="b">
        <f>VLOOKUP(D163, Products!A$2:F$61, 6, FALSE)</f>
        <v>1</v>
      </c>
      <c r="N163" t="str">
        <f>VLOOKUP(D163, Products!A$2:C$61, 3, FALSE)</f>
        <v>Grocery</v>
      </c>
      <c r="O163" t="str">
        <f>VLOOKUP(C163, Customers!A$2:E$301, 5, FALSE)</f>
        <v>Retail</v>
      </c>
      <c r="P163">
        <f>VLOOKUP(C163, Customers!A$2:C$301, 3, FALSE)</f>
        <v>63</v>
      </c>
      <c r="Q163" t="str">
        <f>VLOOKUP(E163, Sales_Reps!A$2:C$31, 3, FALSE)</f>
        <v>West</v>
      </c>
      <c r="R163">
        <f>VLOOKUP(D163, Products!A$2:D$61, 4, FALSE)</f>
        <v>434</v>
      </c>
    </row>
    <row r="164" spans="1:18" x14ac:dyDescent="0.3">
      <c r="A164" s="13" t="s">
        <v>468</v>
      </c>
      <c r="B164" s="14">
        <v>45442</v>
      </c>
      <c r="C164" s="13" t="s">
        <v>469</v>
      </c>
      <c r="D164" s="13" t="s">
        <v>279</v>
      </c>
      <c r="E164" s="13" t="s">
        <v>238</v>
      </c>
      <c r="F164" s="15">
        <v>8</v>
      </c>
      <c r="G164" s="15">
        <v>2660</v>
      </c>
      <c r="H164" s="15">
        <v>17.600000000000001</v>
      </c>
      <c r="I164" s="15">
        <v>17534.72</v>
      </c>
      <c r="J164" s="13" t="s">
        <v>87</v>
      </c>
      <c r="K164" s="13" t="s">
        <v>117</v>
      </c>
      <c r="L164">
        <f>IF(COUNTIF(A$2:A164, A164)=1, IF(COUNTIF(A$2:A$2001, A164)&gt;1, 1, 0), 0)</f>
        <v>0</v>
      </c>
      <c r="M164" t="b">
        <f>VLOOKUP(D164, Products!A$2:F$61, 6, FALSE)</f>
        <v>0</v>
      </c>
      <c r="N164" t="str">
        <f>VLOOKUP(D164, Products!A$2:C$61, 3, FALSE)</f>
        <v>Electronics</v>
      </c>
      <c r="O164" t="str">
        <f>VLOOKUP(C164, Customers!A$2:E$301, 5, FALSE)</f>
        <v>SMB</v>
      </c>
      <c r="P164">
        <f>VLOOKUP(C164, Customers!A$2:C$301, 3, FALSE)</f>
        <v>43</v>
      </c>
      <c r="Q164" t="str">
        <f>VLOOKUP(E164, Sales_Reps!A$2:C$31, 3, FALSE)</f>
        <v>East</v>
      </c>
      <c r="R164">
        <f>VLOOKUP(D164, Products!A$2:D$61, 4, FALSE)</f>
        <v>1259</v>
      </c>
    </row>
    <row r="165" spans="1:18" x14ac:dyDescent="0.3">
      <c r="A165" s="13" t="s">
        <v>470</v>
      </c>
      <c r="B165" s="14">
        <v>45414</v>
      </c>
      <c r="C165" s="13" t="s">
        <v>137</v>
      </c>
      <c r="D165" s="13" t="s">
        <v>91</v>
      </c>
      <c r="E165" s="13" t="s">
        <v>188</v>
      </c>
      <c r="F165" s="15">
        <v>2</v>
      </c>
      <c r="G165" s="15">
        <v>820</v>
      </c>
      <c r="H165" s="15">
        <v>18.100000000000001</v>
      </c>
      <c r="I165" s="15">
        <v>1343.16</v>
      </c>
      <c r="J165" s="13" t="s">
        <v>140</v>
      </c>
      <c r="K165" s="13" t="s">
        <v>99</v>
      </c>
      <c r="L165">
        <f>IF(COUNTIF(A$2:A165, A165)=1, IF(COUNTIF(A$2:A$2001, A165)&gt;1, 1, 0), 0)</f>
        <v>0</v>
      </c>
      <c r="M165" t="b">
        <f>VLOOKUP(D165, Products!A$2:F$61, 6, FALSE)</f>
        <v>1</v>
      </c>
      <c r="N165" t="str">
        <f>VLOOKUP(D165, Products!A$2:C$61, 3, FALSE)</f>
        <v>Apparel</v>
      </c>
      <c r="O165" t="str">
        <f>VLOOKUP(C165, Customers!A$2:E$301, 5, FALSE)</f>
        <v>SMB</v>
      </c>
      <c r="P165">
        <f>VLOOKUP(C165, Customers!A$2:C$301, 3, FALSE)</f>
        <v>27</v>
      </c>
      <c r="Q165" t="str">
        <f>VLOOKUP(E165, Sales_Reps!A$2:C$31, 3, FALSE)</f>
        <v>South</v>
      </c>
      <c r="R165">
        <f>VLOOKUP(D165, Products!A$2:D$61, 4, FALSE)</f>
        <v>391</v>
      </c>
    </row>
    <row r="166" spans="1:18" x14ac:dyDescent="0.3">
      <c r="A166" s="13" t="s">
        <v>471</v>
      </c>
      <c r="B166" s="14">
        <v>45349</v>
      </c>
      <c r="C166" s="13" t="s">
        <v>472</v>
      </c>
      <c r="D166" s="13" t="s">
        <v>295</v>
      </c>
      <c r="E166" s="13" t="s">
        <v>204</v>
      </c>
      <c r="F166" s="15">
        <v>7</v>
      </c>
      <c r="G166" s="15">
        <v>2030</v>
      </c>
      <c r="H166" s="15">
        <v>23.7</v>
      </c>
      <c r="I166" s="15">
        <v>10842.23</v>
      </c>
      <c r="J166" s="13" t="s">
        <v>93</v>
      </c>
      <c r="K166" s="13" t="s">
        <v>94</v>
      </c>
      <c r="L166">
        <f>IF(COUNTIF(A$2:A166, A166)=1, IF(COUNTIF(A$2:A$2001, A166)&gt;1, 1, 0), 0)</f>
        <v>0</v>
      </c>
      <c r="M166" t="b">
        <f>VLOOKUP(D166, Products!A$2:F$61, 6, FALSE)</f>
        <v>1</v>
      </c>
      <c r="N166" t="str">
        <f>VLOOKUP(D166, Products!A$2:C$61, 3, FALSE)</f>
        <v>Home</v>
      </c>
      <c r="O166" t="str">
        <f>VLOOKUP(C166, Customers!A$2:E$301, 5, FALSE)</f>
        <v>Corporate</v>
      </c>
      <c r="P166">
        <f>VLOOKUP(C166, Customers!A$2:C$301, 3, FALSE)</f>
        <v>35</v>
      </c>
      <c r="Q166" t="str">
        <f>VLOOKUP(E166, Sales_Reps!A$2:C$31, 3, FALSE)</f>
        <v>South</v>
      </c>
      <c r="R166">
        <f>VLOOKUP(D166, Products!A$2:D$61, 4, FALSE)</f>
        <v>1143</v>
      </c>
    </row>
    <row r="167" spans="1:18" x14ac:dyDescent="0.3">
      <c r="A167" s="13" t="s">
        <v>473</v>
      </c>
      <c r="B167" s="14">
        <v>45533</v>
      </c>
      <c r="C167" s="13" t="s">
        <v>474</v>
      </c>
      <c r="D167" s="13" t="s">
        <v>292</v>
      </c>
      <c r="E167" s="13" t="s">
        <v>204</v>
      </c>
      <c r="F167" s="15">
        <v>5</v>
      </c>
      <c r="G167" s="15">
        <v>620</v>
      </c>
      <c r="H167" s="15">
        <v>13.8</v>
      </c>
      <c r="I167" s="15">
        <v>2672.2</v>
      </c>
      <c r="J167" s="13" t="s">
        <v>87</v>
      </c>
      <c r="K167" s="13" t="s">
        <v>99</v>
      </c>
      <c r="L167">
        <f>IF(COUNTIF(A$2:A167, A167)=1, IF(COUNTIF(A$2:A$2001, A167)&gt;1, 1, 0), 0)</f>
        <v>0</v>
      </c>
      <c r="M167" t="b">
        <f>VLOOKUP(D167, Products!A$2:F$61, 6, FALSE)</f>
        <v>1</v>
      </c>
      <c r="N167" t="str">
        <f>VLOOKUP(D167, Products!A$2:C$61, 3, FALSE)</f>
        <v>Apparel</v>
      </c>
      <c r="O167" t="str">
        <f>VLOOKUP(C167, Customers!A$2:E$301, 5, FALSE)</f>
        <v>SMB</v>
      </c>
      <c r="P167">
        <f>VLOOKUP(C167, Customers!A$2:C$301, 3, FALSE)</f>
        <v>59</v>
      </c>
      <c r="Q167" t="str">
        <f>VLOOKUP(E167, Sales_Reps!A$2:C$31, 3, FALSE)</f>
        <v>South</v>
      </c>
      <c r="R167">
        <f>VLOOKUP(D167, Products!A$2:D$61, 4, FALSE)</f>
        <v>396</v>
      </c>
    </row>
    <row r="168" spans="1:18" x14ac:dyDescent="0.3">
      <c r="A168" s="13" t="s">
        <v>475</v>
      </c>
      <c r="B168" s="14">
        <v>45489</v>
      </c>
      <c r="C168" s="13" t="s">
        <v>451</v>
      </c>
      <c r="D168" s="13" t="s">
        <v>245</v>
      </c>
      <c r="E168" s="13" t="s">
        <v>285</v>
      </c>
      <c r="F168" s="15">
        <v>7</v>
      </c>
      <c r="G168" s="15">
        <v>2270</v>
      </c>
      <c r="H168" s="15">
        <v>5.5</v>
      </c>
      <c r="I168" s="15">
        <v>15016.05</v>
      </c>
      <c r="J168" s="13" t="s">
        <v>87</v>
      </c>
      <c r="K168" s="13" t="s">
        <v>99</v>
      </c>
      <c r="L168">
        <f>IF(COUNTIF(A$2:A168, A168)=1, IF(COUNTIF(A$2:A$2001, A168)&gt;1, 1, 0), 0)</f>
        <v>0</v>
      </c>
      <c r="M168" t="b">
        <f>VLOOKUP(D168, Products!A$2:F$61, 6, FALSE)</f>
        <v>1</v>
      </c>
      <c r="N168" t="str">
        <f>VLOOKUP(D168, Products!A$2:C$61, 3, FALSE)</f>
        <v>Grocery</v>
      </c>
      <c r="O168" t="str">
        <f>VLOOKUP(C168, Customers!A$2:E$301, 5, FALSE)</f>
        <v>SMB</v>
      </c>
      <c r="P168">
        <f>VLOOKUP(C168, Customers!A$2:C$301, 3, FALSE)</f>
        <v>34</v>
      </c>
      <c r="Q168" t="str">
        <f>VLOOKUP(E168, Sales_Reps!A$2:C$31, 3, FALSE)</f>
        <v>East</v>
      </c>
      <c r="R168">
        <f>VLOOKUP(D168, Products!A$2:D$61, 4, FALSE)</f>
        <v>1412</v>
      </c>
    </row>
    <row r="169" spans="1:18" x14ac:dyDescent="0.3">
      <c r="A169" s="13" t="s">
        <v>476</v>
      </c>
      <c r="B169" s="14">
        <v>45457</v>
      </c>
      <c r="C169" s="13" t="s">
        <v>175</v>
      </c>
      <c r="D169" s="13" t="s">
        <v>97</v>
      </c>
      <c r="E169" s="13" t="s">
        <v>346</v>
      </c>
      <c r="F169" s="15">
        <v>1</v>
      </c>
      <c r="G169" s="15">
        <v>470</v>
      </c>
      <c r="H169" s="15">
        <v>13.7</v>
      </c>
      <c r="I169" s="15">
        <v>405.61</v>
      </c>
      <c r="J169" s="13" t="s">
        <v>93</v>
      </c>
      <c r="K169" s="13" t="s">
        <v>133</v>
      </c>
      <c r="L169">
        <f>IF(COUNTIF(A$2:A169, A169)=1, IF(COUNTIF(A$2:A$2001, A169)&gt;1, 1, 0), 0)</f>
        <v>1</v>
      </c>
      <c r="M169" t="b">
        <f>VLOOKUP(D169, Products!A$2:F$61, 6, FALSE)</f>
        <v>0</v>
      </c>
      <c r="N169" t="str">
        <f>VLOOKUP(D169, Products!A$2:C$61, 3, FALSE)</f>
        <v>Sports</v>
      </c>
      <c r="O169" t="str">
        <f>VLOOKUP(C169, Customers!A$2:E$301, 5, FALSE)</f>
        <v>SMB</v>
      </c>
      <c r="P169">
        <f>VLOOKUP(C169, Customers!A$2:C$301, 3, FALSE)</f>
        <v>40</v>
      </c>
      <c r="Q169" t="str">
        <f>VLOOKUP(E169, Sales_Reps!A$2:C$31, 3, FALSE)</f>
        <v>South</v>
      </c>
      <c r="R169">
        <f>VLOOKUP(D169, Products!A$2:D$61, 4, FALSE)</f>
        <v>302</v>
      </c>
    </row>
    <row r="170" spans="1:18" x14ac:dyDescent="0.3">
      <c r="A170" s="13" t="s">
        <v>477</v>
      </c>
      <c r="B170" s="14">
        <v>45601</v>
      </c>
      <c r="C170" s="13" t="s">
        <v>150</v>
      </c>
      <c r="D170" s="13" t="s">
        <v>364</v>
      </c>
      <c r="E170" s="13" t="s">
        <v>86</v>
      </c>
      <c r="F170" s="15">
        <v>6</v>
      </c>
      <c r="G170" s="15">
        <v>5330</v>
      </c>
      <c r="H170" s="15">
        <v>17.899999999999999</v>
      </c>
      <c r="I170" s="15">
        <v>26255.58</v>
      </c>
      <c r="J170" s="13" t="s">
        <v>87</v>
      </c>
      <c r="K170" s="13" t="s">
        <v>88</v>
      </c>
      <c r="L170">
        <f>IF(COUNTIF(A$2:A170, A170)=1, IF(COUNTIF(A$2:A$2001, A170)&gt;1, 1, 0), 0)</f>
        <v>0</v>
      </c>
      <c r="M170" t="b">
        <f>VLOOKUP(D170, Products!A$2:F$61, 6, FALSE)</f>
        <v>1</v>
      </c>
      <c r="N170" t="str">
        <f>VLOOKUP(D170, Products!A$2:C$61, 3, FALSE)</f>
        <v>Electronics</v>
      </c>
      <c r="O170" t="str">
        <f>VLOOKUP(C170, Customers!A$2:E$301, 5, FALSE)</f>
        <v>Retail</v>
      </c>
      <c r="P170">
        <f>VLOOKUP(C170, Customers!A$2:C$301, 3, FALSE)</f>
        <v>63</v>
      </c>
      <c r="Q170" t="str">
        <f>VLOOKUP(E170, Sales_Reps!A$2:C$31, 3, FALSE)</f>
        <v>North</v>
      </c>
      <c r="R170">
        <f>VLOOKUP(D170, Products!A$2:D$61, 4, FALSE)</f>
        <v>2405</v>
      </c>
    </row>
    <row r="171" spans="1:18" x14ac:dyDescent="0.3">
      <c r="A171" s="13" t="s">
        <v>478</v>
      </c>
      <c r="B171" s="14">
        <v>45294</v>
      </c>
      <c r="C171" s="13" t="s">
        <v>479</v>
      </c>
      <c r="D171" s="13" t="s">
        <v>241</v>
      </c>
      <c r="E171" s="13" t="s">
        <v>297</v>
      </c>
      <c r="F171" s="15">
        <v>1</v>
      </c>
      <c r="G171" s="15">
        <v>6080</v>
      </c>
      <c r="H171" s="15">
        <v>25.5</v>
      </c>
      <c r="I171" s="15">
        <v>4529.6000000000004</v>
      </c>
      <c r="J171" s="13" t="s">
        <v>87</v>
      </c>
      <c r="K171" s="13" t="s">
        <v>88</v>
      </c>
      <c r="L171">
        <f>IF(COUNTIF(A$2:A171, A171)=1, IF(COUNTIF(A$2:A$2001, A171)&gt;1, 1, 0), 0)</f>
        <v>0</v>
      </c>
      <c r="M171" t="b">
        <f>VLOOKUP(D171, Products!A$2:F$61, 6, FALSE)</f>
        <v>1</v>
      </c>
      <c r="N171" t="str">
        <f>VLOOKUP(D171, Products!A$2:C$61, 3, FALSE)</f>
        <v>Beauty</v>
      </c>
      <c r="O171" t="str">
        <f>VLOOKUP(C171, Customers!A$2:E$301, 5, FALSE)</f>
        <v>SMB</v>
      </c>
      <c r="P171">
        <f>VLOOKUP(C171, Customers!A$2:C$301, 3, FALSE)</f>
        <v>49</v>
      </c>
      <c r="Q171" t="str">
        <f>VLOOKUP(E171, Sales_Reps!A$2:C$31, 3, FALSE)</f>
        <v>North</v>
      </c>
      <c r="R171">
        <f>VLOOKUP(D171, Products!A$2:D$61, 4, FALSE)</f>
        <v>2617</v>
      </c>
    </row>
    <row r="172" spans="1:18" x14ac:dyDescent="0.3">
      <c r="A172" s="13" t="s">
        <v>480</v>
      </c>
      <c r="B172" s="14">
        <v>45345</v>
      </c>
      <c r="C172" s="13" t="s">
        <v>261</v>
      </c>
      <c r="D172" s="13" t="s">
        <v>234</v>
      </c>
      <c r="E172" s="13" t="s">
        <v>285</v>
      </c>
      <c r="F172" s="15">
        <v>5</v>
      </c>
      <c r="G172" s="15">
        <v>3780</v>
      </c>
      <c r="H172" s="15">
        <v>28.6</v>
      </c>
      <c r="I172" s="15">
        <v>13494.6</v>
      </c>
      <c r="J172" s="13" t="s">
        <v>87</v>
      </c>
      <c r="K172" s="13" t="s">
        <v>99</v>
      </c>
      <c r="L172">
        <f>IF(COUNTIF(A$2:A172, A172)=1, IF(COUNTIF(A$2:A$2001, A172)&gt;1, 1, 0), 0)</f>
        <v>0</v>
      </c>
      <c r="M172" t="b">
        <f>VLOOKUP(D172, Products!A$2:F$61, 6, FALSE)</f>
        <v>1</v>
      </c>
      <c r="N172" t="str">
        <f>VLOOKUP(D172, Products!A$2:C$61, 3, FALSE)</f>
        <v>Grocery</v>
      </c>
      <c r="O172" t="str">
        <f>VLOOKUP(C172, Customers!A$2:E$301, 5, FALSE)</f>
        <v>Retail</v>
      </c>
      <c r="P172">
        <f>VLOOKUP(C172, Customers!A$2:C$301, 3, FALSE)</f>
        <v>54</v>
      </c>
      <c r="Q172" t="str">
        <f>VLOOKUP(E172, Sales_Reps!A$2:C$31, 3, FALSE)</f>
        <v>East</v>
      </c>
      <c r="R172">
        <f>VLOOKUP(D172, Products!A$2:D$61, 4, FALSE)</f>
        <v>2436</v>
      </c>
    </row>
    <row r="173" spans="1:18" x14ac:dyDescent="0.3">
      <c r="A173" s="13" t="s">
        <v>481</v>
      </c>
      <c r="B173" s="14">
        <v>45391</v>
      </c>
      <c r="C173" s="13" t="s">
        <v>482</v>
      </c>
      <c r="D173" s="13" t="s">
        <v>292</v>
      </c>
      <c r="E173" s="13" t="s">
        <v>132</v>
      </c>
      <c r="F173" s="15">
        <v>5</v>
      </c>
      <c r="G173" s="15">
        <v>620</v>
      </c>
      <c r="H173" s="15">
        <v>6.9</v>
      </c>
      <c r="I173" s="15">
        <v>2886.1</v>
      </c>
      <c r="J173" s="13" t="s">
        <v>140</v>
      </c>
      <c r="K173" s="13" t="s">
        <v>133</v>
      </c>
      <c r="L173">
        <f>IF(COUNTIF(A$2:A173, A173)=1, IF(COUNTIF(A$2:A$2001, A173)&gt;1, 1, 0), 0)</f>
        <v>0</v>
      </c>
      <c r="M173" t="b">
        <f>VLOOKUP(D173, Products!A$2:F$61, 6, FALSE)</f>
        <v>1</v>
      </c>
      <c r="N173" t="str">
        <f>VLOOKUP(D173, Products!A$2:C$61, 3, FALSE)</f>
        <v>Apparel</v>
      </c>
      <c r="O173" t="str">
        <f>VLOOKUP(C173, Customers!A$2:E$301, 5, FALSE)</f>
        <v>Corporate</v>
      </c>
      <c r="P173">
        <f>VLOOKUP(C173, Customers!A$2:C$301, 3, FALSE)</f>
        <v>52</v>
      </c>
      <c r="Q173" t="str">
        <f>VLOOKUP(E173, Sales_Reps!A$2:C$31, 3, FALSE)</f>
        <v>South</v>
      </c>
      <c r="R173">
        <f>VLOOKUP(D173, Products!A$2:D$61, 4, FALSE)</f>
        <v>396</v>
      </c>
    </row>
    <row r="174" spans="1:18" x14ac:dyDescent="0.3">
      <c r="A174" s="13" t="s">
        <v>483</v>
      </c>
      <c r="B174" s="14">
        <v>45419</v>
      </c>
      <c r="C174" s="13" t="s">
        <v>427</v>
      </c>
      <c r="D174" s="13" t="s">
        <v>355</v>
      </c>
      <c r="E174" s="13" t="s">
        <v>343</v>
      </c>
      <c r="F174" s="15">
        <v>8</v>
      </c>
      <c r="G174" s="15">
        <v>2510</v>
      </c>
      <c r="H174" s="15">
        <v>0.7</v>
      </c>
      <c r="I174" s="15">
        <v>19939.439999999999</v>
      </c>
      <c r="J174" s="13" t="s">
        <v>87</v>
      </c>
      <c r="K174" s="13" t="s">
        <v>88</v>
      </c>
      <c r="L174">
        <f>IF(COUNTIF(A$2:A174, A174)=1, IF(COUNTIF(A$2:A$2001, A174)&gt;1, 1, 0), 0)</f>
        <v>0</v>
      </c>
      <c r="M174" t="b">
        <f>VLOOKUP(D174, Products!A$2:F$61, 6, FALSE)</f>
        <v>0</v>
      </c>
      <c r="N174" t="str">
        <f>VLOOKUP(D174, Products!A$2:C$61, 3, FALSE)</f>
        <v>Apparel</v>
      </c>
      <c r="O174" t="str">
        <f>VLOOKUP(C174, Customers!A$2:E$301, 5, FALSE)</f>
        <v>Corporate</v>
      </c>
      <c r="P174">
        <f>VLOOKUP(C174, Customers!A$2:C$301, 3, FALSE)</f>
        <v>48</v>
      </c>
      <c r="Q174" t="str">
        <f>VLOOKUP(E174, Sales_Reps!A$2:C$31, 3, FALSE)</f>
        <v>West</v>
      </c>
      <c r="R174">
        <f>VLOOKUP(D174, Products!A$2:D$61, 4, FALSE)</f>
        <v>1075</v>
      </c>
    </row>
    <row r="175" spans="1:18" x14ac:dyDescent="0.3">
      <c r="A175" s="13" t="s">
        <v>484</v>
      </c>
      <c r="B175" s="14">
        <v>45306</v>
      </c>
      <c r="C175" s="13" t="s">
        <v>485</v>
      </c>
      <c r="D175" s="13" t="s">
        <v>173</v>
      </c>
      <c r="E175" s="13" t="s">
        <v>192</v>
      </c>
      <c r="F175" s="15">
        <v>1</v>
      </c>
      <c r="G175" s="15">
        <v>2720</v>
      </c>
      <c r="H175" s="15">
        <v>13.7</v>
      </c>
      <c r="I175" s="15">
        <v>2347.36</v>
      </c>
      <c r="J175" s="13" t="s">
        <v>87</v>
      </c>
      <c r="K175" s="13" t="s">
        <v>88</v>
      </c>
      <c r="L175">
        <f>IF(COUNTIF(A$2:A175, A175)=1, IF(COUNTIF(A$2:A$2001, A175)&gt;1, 1, 0), 0)</f>
        <v>0</v>
      </c>
      <c r="M175" t="b">
        <f>VLOOKUP(D175, Products!A$2:F$61, 6, FALSE)</f>
        <v>1</v>
      </c>
      <c r="N175" t="str">
        <f>VLOOKUP(D175, Products!A$2:C$61, 3, FALSE)</f>
        <v>Apparel</v>
      </c>
      <c r="O175" t="str">
        <f>VLOOKUP(C175, Customers!A$2:E$301, 5, FALSE)</f>
        <v>Retail</v>
      </c>
      <c r="P175">
        <f>VLOOKUP(C175, Customers!A$2:C$301, 3, FALSE)</f>
        <v>49</v>
      </c>
      <c r="Q175" t="str">
        <f>VLOOKUP(E175, Sales_Reps!A$2:C$31, 3, FALSE)</f>
        <v>East</v>
      </c>
      <c r="R175">
        <f>VLOOKUP(D175, Products!A$2:D$61, 4, FALSE)</f>
        <v>1962</v>
      </c>
    </row>
    <row r="176" spans="1:18" x14ac:dyDescent="0.3">
      <c r="A176" s="13" t="s">
        <v>486</v>
      </c>
      <c r="B176" s="14">
        <v>45546</v>
      </c>
      <c r="C176" s="13" t="s">
        <v>487</v>
      </c>
      <c r="D176" s="13" t="s">
        <v>97</v>
      </c>
      <c r="E176" s="13" t="s">
        <v>303</v>
      </c>
      <c r="F176" s="15">
        <v>9</v>
      </c>
      <c r="G176" s="15">
        <v>470</v>
      </c>
      <c r="H176" s="15">
        <v>23.6</v>
      </c>
      <c r="I176" s="15">
        <v>3231.72</v>
      </c>
      <c r="J176" s="13" t="s">
        <v>87</v>
      </c>
      <c r="K176" s="13" t="s">
        <v>88</v>
      </c>
      <c r="L176">
        <f>IF(COUNTIF(A$2:A176, A176)=1, IF(COUNTIF(A$2:A$2001, A176)&gt;1, 1, 0), 0)</f>
        <v>0</v>
      </c>
      <c r="M176" t="b">
        <f>VLOOKUP(D176, Products!A$2:F$61, 6, FALSE)</f>
        <v>0</v>
      </c>
      <c r="N176" t="str">
        <f>VLOOKUP(D176, Products!A$2:C$61, 3, FALSE)</f>
        <v>Sports</v>
      </c>
      <c r="O176" t="str">
        <f>VLOOKUP(C176, Customers!A$2:E$301, 5, FALSE)</f>
        <v>Corporate</v>
      </c>
      <c r="P176">
        <f>VLOOKUP(C176, Customers!A$2:C$301, 3, FALSE)</f>
        <v>29</v>
      </c>
      <c r="Q176" t="str">
        <f>VLOOKUP(E176, Sales_Reps!A$2:C$31, 3, FALSE)</f>
        <v>East</v>
      </c>
      <c r="R176">
        <f>VLOOKUP(D176, Products!A$2:D$61, 4, FALSE)</f>
        <v>302</v>
      </c>
    </row>
    <row r="177" spans="1:18" x14ac:dyDescent="0.3">
      <c r="A177" s="13" t="s">
        <v>488</v>
      </c>
      <c r="B177" s="14">
        <v>45633</v>
      </c>
      <c r="C177" s="13" t="s">
        <v>312</v>
      </c>
      <c r="D177" s="13" t="s">
        <v>143</v>
      </c>
      <c r="E177" s="13" t="s">
        <v>303</v>
      </c>
      <c r="F177" s="15">
        <v>10</v>
      </c>
      <c r="G177" s="15">
        <v>3250</v>
      </c>
      <c r="H177" s="15">
        <v>21</v>
      </c>
      <c r="I177" s="15">
        <v>25675</v>
      </c>
      <c r="J177" s="13" t="s">
        <v>140</v>
      </c>
      <c r="K177" s="13" t="s">
        <v>133</v>
      </c>
      <c r="L177">
        <f>IF(COUNTIF(A$2:A177, A177)=1, IF(COUNTIF(A$2:A$2001, A177)&gt;1, 1, 0), 0)</f>
        <v>0</v>
      </c>
      <c r="M177" t="b">
        <f>VLOOKUP(D177, Products!A$2:F$61, 6, FALSE)</f>
        <v>1</v>
      </c>
      <c r="N177" t="str">
        <f>VLOOKUP(D177, Products!A$2:C$61, 3, FALSE)</f>
        <v>Home</v>
      </c>
      <c r="O177" t="str">
        <f>VLOOKUP(C177, Customers!A$2:E$301, 5, FALSE)</f>
        <v>Retail</v>
      </c>
      <c r="P177">
        <f>VLOOKUP(C177, Customers!A$2:C$301, 3, FALSE)</f>
        <v>46</v>
      </c>
      <c r="Q177" t="str">
        <f>VLOOKUP(E177, Sales_Reps!A$2:C$31, 3, FALSE)</f>
        <v>East</v>
      </c>
      <c r="R177">
        <f>VLOOKUP(D177, Products!A$2:D$61, 4, FALSE)</f>
        <v>1556</v>
      </c>
    </row>
    <row r="178" spans="1:18" x14ac:dyDescent="0.3">
      <c r="A178" s="13" t="s">
        <v>489</v>
      </c>
      <c r="B178" s="14">
        <v>45649</v>
      </c>
      <c r="C178" s="13" t="s">
        <v>490</v>
      </c>
      <c r="D178" s="13" t="s">
        <v>443</v>
      </c>
      <c r="E178" s="13" t="s">
        <v>128</v>
      </c>
      <c r="F178" s="15">
        <v>6</v>
      </c>
      <c r="G178" s="15">
        <v>5080</v>
      </c>
      <c r="H178" s="15">
        <v>16.8</v>
      </c>
      <c r="I178" s="15">
        <v>25359.360000000001</v>
      </c>
      <c r="J178" s="13" t="s">
        <v>93</v>
      </c>
      <c r="K178" s="13" t="s">
        <v>99</v>
      </c>
      <c r="L178">
        <f>IF(COUNTIF(A$2:A178, A178)=1, IF(COUNTIF(A$2:A$2001, A178)&gt;1, 1, 0), 0)</f>
        <v>0</v>
      </c>
      <c r="M178" t="b">
        <f>VLOOKUP(D178, Products!A$2:F$61, 6, FALSE)</f>
        <v>1</v>
      </c>
      <c r="N178" t="str">
        <f>VLOOKUP(D178, Products!A$2:C$61, 3, FALSE)</f>
        <v>Home</v>
      </c>
      <c r="O178" t="str">
        <f>VLOOKUP(C178, Customers!A$2:E$301, 5, FALSE)</f>
        <v>Retail</v>
      </c>
      <c r="P178">
        <f>VLOOKUP(C178, Customers!A$2:C$301, 3, FALSE)</f>
        <v>59</v>
      </c>
      <c r="Q178" t="str">
        <f>VLOOKUP(E178, Sales_Reps!A$2:C$31, 3, FALSE)</f>
        <v>West</v>
      </c>
      <c r="R178">
        <f>VLOOKUP(D178, Products!A$2:D$61, 4, FALSE)</f>
        <v>2459</v>
      </c>
    </row>
    <row r="179" spans="1:18" x14ac:dyDescent="0.3">
      <c r="A179" s="13" t="s">
        <v>491</v>
      </c>
      <c r="B179" s="14">
        <v>45312</v>
      </c>
      <c r="C179" s="13" t="s">
        <v>442</v>
      </c>
      <c r="D179" s="13" t="s">
        <v>187</v>
      </c>
      <c r="E179" s="13" t="s">
        <v>325</v>
      </c>
      <c r="F179" s="15">
        <v>2</v>
      </c>
      <c r="G179" s="15">
        <v>3570</v>
      </c>
      <c r="H179" s="15">
        <v>6.7</v>
      </c>
      <c r="I179" s="15">
        <v>6661.62</v>
      </c>
      <c r="J179" s="13" t="s">
        <v>140</v>
      </c>
      <c r="K179" s="13" t="s">
        <v>88</v>
      </c>
      <c r="L179">
        <f>IF(COUNTIF(A$2:A179, A179)=1, IF(COUNTIF(A$2:A$2001, A179)&gt;1, 1, 0), 0)</f>
        <v>0</v>
      </c>
      <c r="M179" t="b">
        <f>VLOOKUP(D179, Products!A$2:F$61, 6, FALSE)</f>
        <v>1</v>
      </c>
      <c r="N179" t="str">
        <f>VLOOKUP(D179, Products!A$2:C$61, 3, FALSE)</f>
        <v>Electronics</v>
      </c>
      <c r="O179" t="str">
        <f>VLOOKUP(C179, Customers!A$2:E$301, 5, FALSE)</f>
        <v>Retail</v>
      </c>
      <c r="P179">
        <f>VLOOKUP(C179, Customers!A$2:C$301, 3, FALSE)</f>
        <v>65</v>
      </c>
      <c r="Q179" t="str">
        <f>VLOOKUP(E179, Sales_Reps!A$2:C$31, 3, FALSE)</f>
        <v>South</v>
      </c>
      <c r="R179">
        <f>VLOOKUP(D179, Products!A$2:D$61, 4, FALSE)</f>
        <v>1665</v>
      </c>
    </row>
    <row r="180" spans="1:18" x14ac:dyDescent="0.3">
      <c r="A180" s="13" t="s">
        <v>492</v>
      </c>
      <c r="B180" s="14">
        <v>45382</v>
      </c>
      <c r="C180" s="13" t="s">
        <v>493</v>
      </c>
      <c r="D180" s="13" t="s">
        <v>237</v>
      </c>
      <c r="E180" s="13" t="s">
        <v>325</v>
      </c>
      <c r="F180" s="15">
        <v>4</v>
      </c>
      <c r="G180" s="15">
        <v>3640</v>
      </c>
      <c r="H180" s="15">
        <v>18.399999999999999</v>
      </c>
      <c r="I180" s="15">
        <v>11880.96</v>
      </c>
      <c r="J180" s="13" t="s">
        <v>87</v>
      </c>
      <c r="K180" s="13" t="s">
        <v>88</v>
      </c>
      <c r="L180">
        <f>IF(COUNTIF(A$2:A180, A180)=1, IF(COUNTIF(A$2:A$2001, A180)&gt;1, 1, 0), 0)</f>
        <v>0</v>
      </c>
      <c r="M180" t="b">
        <f>VLOOKUP(D180, Products!A$2:F$61, 6, FALSE)</f>
        <v>1</v>
      </c>
      <c r="N180" t="str">
        <f>VLOOKUP(D180, Products!A$2:C$61, 3, FALSE)</f>
        <v>Apparel</v>
      </c>
      <c r="O180" t="str">
        <f>VLOOKUP(C180, Customers!A$2:E$301, 5, FALSE)</f>
        <v>Retail</v>
      </c>
      <c r="P180">
        <f>VLOOKUP(C180, Customers!A$2:C$301, 3, FALSE)</f>
        <v>57</v>
      </c>
      <c r="Q180" t="str">
        <f>VLOOKUP(E180, Sales_Reps!A$2:C$31, 3, FALSE)</f>
        <v>South</v>
      </c>
      <c r="R180">
        <f>VLOOKUP(D180, Products!A$2:D$61, 4, FALSE)</f>
        <v>2611</v>
      </c>
    </row>
    <row r="181" spans="1:18" x14ac:dyDescent="0.3">
      <c r="A181" s="13" t="s">
        <v>494</v>
      </c>
      <c r="B181" s="14">
        <v>45524</v>
      </c>
      <c r="C181" s="13" t="s">
        <v>150</v>
      </c>
      <c r="D181" s="13" t="s">
        <v>264</v>
      </c>
      <c r="E181" s="13" t="s">
        <v>215</v>
      </c>
      <c r="F181" s="15">
        <v>8</v>
      </c>
      <c r="G181" s="15">
        <v>4070</v>
      </c>
      <c r="H181" s="15">
        <v>6.6</v>
      </c>
      <c r="I181" s="15">
        <v>30411.040000000001</v>
      </c>
      <c r="J181" s="13" t="s">
        <v>87</v>
      </c>
      <c r="K181" s="13" t="s">
        <v>88</v>
      </c>
      <c r="L181">
        <f>IF(COUNTIF(A$2:A181, A181)=1, IF(COUNTIF(A$2:A$2001, A181)&gt;1, 1, 0), 0)</f>
        <v>0</v>
      </c>
      <c r="M181" t="b">
        <f>VLOOKUP(D181, Products!A$2:F$61, 6, FALSE)</f>
        <v>1</v>
      </c>
      <c r="N181" t="str">
        <f>VLOOKUP(D181, Products!A$2:C$61, 3, FALSE)</f>
        <v>Grocery</v>
      </c>
      <c r="O181" t="str">
        <f>VLOOKUP(C181, Customers!A$2:E$301, 5, FALSE)</f>
        <v>Retail</v>
      </c>
      <c r="P181">
        <f>VLOOKUP(C181, Customers!A$2:C$301, 3, FALSE)</f>
        <v>63</v>
      </c>
      <c r="Q181" t="str">
        <f>VLOOKUP(E181, Sales_Reps!A$2:C$31, 3, FALSE)</f>
        <v>North</v>
      </c>
      <c r="R181">
        <f>VLOOKUP(D181, Products!A$2:D$61, 4, FALSE)</f>
        <v>2027</v>
      </c>
    </row>
    <row r="182" spans="1:18" x14ac:dyDescent="0.3">
      <c r="A182" s="13" t="s">
        <v>495</v>
      </c>
      <c r="B182" s="14">
        <v>45392</v>
      </c>
      <c r="C182" s="13" t="s">
        <v>169</v>
      </c>
      <c r="D182" s="13" t="s">
        <v>452</v>
      </c>
      <c r="E182" s="13" t="s">
        <v>325</v>
      </c>
      <c r="F182" s="15">
        <v>6</v>
      </c>
      <c r="G182" s="15">
        <v>3450</v>
      </c>
      <c r="H182" s="15">
        <v>14.4</v>
      </c>
      <c r="I182" s="15">
        <v>17719.2</v>
      </c>
      <c r="J182" s="13" t="s">
        <v>93</v>
      </c>
      <c r="K182" s="13" t="s">
        <v>112</v>
      </c>
      <c r="L182">
        <f>IF(COUNTIF(A$2:A182, A182)=1, IF(COUNTIF(A$2:A$2001, A182)&gt;1, 1, 0), 0)</f>
        <v>0</v>
      </c>
      <c r="M182" t="b">
        <f>VLOOKUP(D182, Products!A$2:F$61, 6, FALSE)</f>
        <v>1</v>
      </c>
      <c r="N182" t="str">
        <f>VLOOKUP(D182, Products!A$2:C$61, 3, FALSE)</f>
        <v>Apparel</v>
      </c>
      <c r="O182" t="str">
        <f>VLOOKUP(C182, Customers!A$2:E$301, 5, FALSE)</f>
        <v>Retail</v>
      </c>
      <c r="P182">
        <f>VLOOKUP(C182, Customers!A$2:C$301, 3, FALSE)</f>
        <v>34</v>
      </c>
      <c r="Q182" t="str">
        <f>VLOOKUP(E182, Sales_Reps!A$2:C$31, 3, FALSE)</f>
        <v>South</v>
      </c>
      <c r="R182">
        <f>VLOOKUP(D182, Products!A$2:D$61, 4, FALSE)</f>
        <v>1748</v>
      </c>
    </row>
    <row r="183" spans="1:18" x14ac:dyDescent="0.3">
      <c r="A183" s="13" t="s">
        <v>496</v>
      </c>
      <c r="B183" s="14">
        <v>45443</v>
      </c>
      <c r="C183" s="13" t="s">
        <v>130</v>
      </c>
      <c r="D183" s="13" t="s">
        <v>443</v>
      </c>
      <c r="E183" s="13" t="s">
        <v>229</v>
      </c>
      <c r="F183" s="15">
        <v>7</v>
      </c>
      <c r="G183" s="15">
        <v>5080</v>
      </c>
      <c r="H183" s="15">
        <v>25.4</v>
      </c>
      <c r="I183" s="15">
        <v>26527.759999999998</v>
      </c>
      <c r="J183" s="13" t="s">
        <v>93</v>
      </c>
      <c r="K183" s="13" t="s">
        <v>133</v>
      </c>
      <c r="L183">
        <f>IF(COUNTIF(A$2:A183, A183)=1, IF(COUNTIF(A$2:A$2001, A183)&gt;1, 1, 0), 0)</f>
        <v>0</v>
      </c>
      <c r="M183" t="b">
        <f>VLOOKUP(D183, Products!A$2:F$61, 6, FALSE)</f>
        <v>1</v>
      </c>
      <c r="N183" t="str">
        <f>VLOOKUP(D183, Products!A$2:C$61, 3, FALSE)</f>
        <v>Home</v>
      </c>
      <c r="O183" t="str">
        <f>VLOOKUP(C183, Customers!A$2:E$301, 5, FALSE)</f>
        <v>Retail</v>
      </c>
      <c r="P183">
        <f>VLOOKUP(C183, Customers!A$2:C$301, 3, FALSE)</f>
        <v>60</v>
      </c>
      <c r="Q183" t="str">
        <f>VLOOKUP(E183, Sales_Reps!A$2:C$31, 3, FALSE)</f>
        <v>West</v>
      </c>
      <c r="R183">
        <f>VLOOKUP(D183, Products!A$2:D$61, 4, FALSE)</f>
        <v>2459</v>
      </c>
    </row>
    <row r="184" spans="1:18" x14ac:dyDescent="0.3">
      <c r="A184" s="13" t="s">
        <v>497</v>
      </c>
      <c r="B184" s="14">
        <v>45333</v>
      </c>
      <c r="C184" s="13" t="s">
        <v>324</v>
      </c>
      <c r="D184" s="13" t="s">
        <v>200</v>
      </c>
      <c r="E184" s="13" t="s">
        <v>128</v>
      </c>
      <c r="F184" s="15">
        <v>10</v>
      </c>
      <c r="G184" s="15">
        <v>2760</v>
      </c>
      <c r="H184" s="15">
        <v>20.100000000000001</v>
      </c>
      <c r="I184" s="15">
        <v>22052.400000000001</v>
      </c>
      <c r="J184" s="13" t="s">
        <v>87</v>
      </c>
      <c r="K184" s="13" t="s">
        <v>133</v>
      </c>
      <c r="L184">
        <f>IF(COUNTIF(A$2:A184, A184)=1, IF(COUNTIF(A$2:A$2001, A184)&gt;1, 1, 0), 0)</f>
        <v>0</v>
      </c>
      <c r="M184" t="b">
        <f>VLOOKUP(D184, Products!A$2:F$61, 6, FALSE)</f>
        <v>1</v>
      </c>
      <c r="N184" t="str">
        <f>VLOOKUP(D184, Products!A$2:C$61, 3, FALSE)</f>
        <v>Grocery</v>
      </c>
      <c r="O184" t="str">
        <f>VLOOKUP(C184, Customers!A$2:E$301, 5, FALSE)</f>
        <v>Retail</v>
      </c>
      <c r="P184">
        <f>VLOOKUP(C184, Customers!A$2:C$301, 3, FALSE)</f>
        <v>28</v>
      </c>
      <c r="Q184" t="str">
        <f>VLOOKUP(E184, Sales_Reps!A$2:C$31, 3, FALSE)</f>
        <v>West</v>
      </c>
      <c r="R184">
        <f>VLOOKUP(D184, Products!A$2:D$61, 4, FALSE)</f>
        <v>1435</v>
      </c>
    </row>
    <row r="185" spans="1:18" x14ac:dyDescent="0.3">
      <c r="A185" s="13" t="s">
        <v>498</v>
      </c>
      <c r="B185" s="14">
        <v>45456</v>
      </c>
      <c r="C185" s="13" t="s">
        <v>411</v>
      </c>
      <c r="D185" s="13" t="s">
        <v>176</v>
      </c>
      <c r="E185" s="13" t="s">
        <v>346</v>
      </c>
      <c r="F185" s="15">
        <v>6</v>
      </c>
      <c r="G185" s="15">
        <v>1650</v>
      </c>
      <c r="H185" s="15">
        <v>11.3</v>
      </c>
      <c r="I185" s="15">
        <v>8781.2999999999993</v>
      </c>
      <c r="J185" s="13" t="s">
        <v>93</v>
      </c>
      <c r="K185" s="13" t="s">
        <v>112</v>
      </c>
      <c r="L185">
        <f>IF(COUNTIF(A$2:A185, A185)=1, IF(COUNTIF(A$2:A$2001, A185)&gt;1, 1, 0), 0)</f>
        <v>0</v>
      </c>
      <c r="M185" t="b">
        <f>VLOOKUP(D185, Products!A$2:F$61, 6, FALSE)</f>
        <v>1</v>
      </c>
      <c r="N185" t="str">
        <f>VLOOKUP(D185, Products!A$2:C$61, 3, FALSE)</f>
        <v>Beauty</v>
      </c>
      <c r="O185" t="str">
        <f>VLOOKUP(C185, Customers!A$2:E$301, 5, FALSE)</f>
        <v>Retail</v>
      </c>
      <c r="P185">
        <f>VLOOKUP(C185, Customers!A$2:C$301, 3, FALSE)</f>
        <v>61</v>
      </c>
      <c r="Q185" t="str">
        <f>VLOOKUP(E185, Sales_Reps!A$2:C$31, 3, FALSE)</f>
        <v>South</v>
      </c>
      <c r="R185">
        <f>VLOOKUP(D185, Products!A$2:D$61, 4, FALSE)</f>
        <v>1222</v>
      </c>
    </row>
    <row r="186" spans="1:18" x14ac:dyDescent="0.3">
      <c r="A186" s="13" t="s">
        <v>499</v>
      </c>
      <c r="B186" s="14">
        <v>45295</v>
      </c>
      <c r="C186" s="13" t="s">
        <v>294</v>
      </c>
      <c r="D186" s="13" t="s">
        <v>248</v>
      </c>
      <c r="E186" s="13" t="s">
        <v>86</v>
      </c>
      <c r="F186" s="15">
        <v>9</v>
      </c>
      <c r="G186" s="15">
        <v>3870</v>
      </c>
      <c r="H186" s="15">
        <v>27.5</v>
      </c>
      <c r="I186" s="15">
        <v>25251.75</v>
      </c>
      <c r="J186" s="13" t="s">
        <v>87</v>
      </c>
      <c r="K186" s="13" t="s">
        <v>133</v>
      </c>
      <c r="L186">
        <f>IF(COUNTIF(A$2:A186, A186)=1, IF(COUNTIF(A$2:A$2001, A186)&gt;1, 1, 0), 0)</f>
        <v>0</v>
      </c>
      <c r="M186" t="b">
        <f>VLOOKUP(D186, Products!A$2:F$61, 6, FALSE)</f>
        <v>1</v>
      </c>
      <c r="N186" t="str">
        <f>VLOOKUP(D186, Products!A$2:C$61, 3, FALSE)</f>
        <v>Electronics</v>
      </c>
      <c r="O186" t="str">
        <f>VLOOKUP(C186, Customers!A$2:E$301, 5, FALSE)</f>
        <v>SMB</v>
      </c>
      <c r="P186">
        <f>VLOOKUP(C186, Customers!A$2:C$301, 3, FALSE)</f>
        <v>43</v>
      </c>
      <c r="Q186" t="str">
        <f>VLOOKUP(E186, Sales_Reps!A$2:C$31, 3, FALSE)</f>
        <v>North</v>
      </c>
      <c r="R186">
        <f>VLOOKUP(D186, Products!A$2:D$61, 4, FALSE)</f>
        <v>1559</v>
      </c>
    </row>
    <row r="187" spans="1:18" x14ac:dyDescent="0.3">
      <c r="A187" s="13" t="s">
        <v>500</v>
      </c>
      <c r="B187" s="14">
        <v>45532</v>
      </c>
      <c r="C187" s="13" t="s">
        <v>501</v>
      </c>
      <c r="D187" s="13" t="s">
        <v>502</v>
      </c>
      <c r="E187" s="13" t="s">
        <v>285</v>
      </c>
      <c r="F187" s="15">
        <v>2</v>
      </c>
      <c r="G187" s="15">
        <v>1090</v>
      </c>
      <c r="H187" s="15">
        <v>18.7</v>
      </c>
      <c r="I187" s="15">
        <v>1772.34</v>
      </c>
      <c r="J187" s="13" t="s">
        <v>144</v>
      </c>
      <c r="K187" s="13" t="s">
        <v>133</v>
      </c>
      <c r="L187">
        <f>IF(COUNTIF(A$2:A187, A187)=1, IF(COUNTIF(A$2:A$2001, A187)&gt;1, 1, 0), 0)</f>
        <v>0</v>
      </c>
      <c r="M187" t="b">
        <f>VLOOKUP(D187, Products!A$2:F$61, 6, FALSE)</f>
        <v>1</v>
      </c>
      <c r="N187" t="str">
        <f>VLOOKUP(D187, Products!A$2:C$61, 3, FALSE)</f>
        <v>Home</v>
      </c>
      <c r="O187" t="str">
        <f>VLOOKUP(C187, Customers!A$2:E$301, 5, FALSE)</f>
        <v>SMB</v>
      </c>
      <c r="P187">
        <f>VLOOKUP(C187, Customers!A$2:C$301, 3, FALSE)</f>
        <v>65</v>
      </c>
      <c r="Q187" t="str">
        <f>VLOOKUP(E187, Sales_Reps!A$2:C$31, 3, FALSE)</f>
        <v>East</v>
      </c>
      <c r="R187">
        <f>VLOOKUP(D187, Products!A$2:D$61, 4, FALSE)</f>
        <v>464</v>
      </c>
    </row>
    <row r="188" spans="1:18" x14ac:dyDescent="0.3">
      <c r="A188" s="13" t="s">
        <v>503</v>
      </c>
      <c r="B188" s="14">
        <v>45564</v>
      </c>
      <c r="C188" s="13" t="s">
        <v>504</v>
      </c>
      <c r="D188" s="13" t="s">
        <v>380</v>
      </c>
      <c r="E188" s="13" t="s">
        <v>111</v>
      </c>
      <c r="F188" s="15">
        <v>4</v>
      </c>
      <c r="G188" s="15">
        <v>960</v>
      </c>
      <c r="H188" s="15">
        <v>23.4</v>
      </c>
      <c r="I188" s="15">
        <v>2941.44</v>
      </c>
      <c r="J188" s="13" t="s">
        <v>87</v>
      </c>
      <c r="K188" s="13" t="s">
        <v>117</v>
      </c>
      <c r="L188">
        <f>IF(COUNTIF(A$2:A188, A188)=1, IF(COUNTIF(A$2:A$2001, A188)&gt;1, 1, 0), 0)</f>
        <v>0</v>
      </c>
      <c r="M188" t="b">
        <f>VLOOKUP(D188, Products!A$2:F$61, 6, FALSE)</f>
        <v>1</v>
      </c>
      <c r="N188" t="str">
        <f>VLOOKUP(D188, Products!A$2:C$61, 3, FALSE)</f>
        <v>Beauty</v>
      </c>
      <c r="O188" t="str">
        <f>VLOOKUP(C188, Customers!A$2:E$301, 5, FALSE)</f>
        <v>Corporate</v>
      </c>
      <c r="P188">
        <f>VLOOKUP(C188, Customers!A$2:C$301, 3, FALSE)</f>
        <v>36</v>
      </c>
      <c r="Q188" t="str">
        <f>VLOOKUP(E188, Sales_Reps!A$2:C$31, 3, FALSE)</f>
        <v>West</v>
      </c>
      <c r="R188">
        <f>VLOOKUP(D188, Products!A$2:D$61, 4, FALSE)</f>
        <v>675</v>
      </c>
    </row>
    <row r="189" spans="1:18" x14ac:dyDescent="0.3">
      <c r="A189" s="13" t="s">
        <v>505</v>
      </c>
      <c r="B189" s="14">
        <v>45539</v>
      </c>
      <c r="C189" s="13" t="s">
        <v>247</v>
      </c>
      <c r="D189" s="13" t="s">
        <v>179</v>
      </c>
      <c r="E189" s="13" t="s">
        <v>158</v>
      </c>
      <c r="F189" s="15">
        <v>3</v>
      </c>
      <c r="G189" s="15">
        <v>3350</v>
      </c>
      <c r="H189" s="15">
        <v>17.899999999999999</v>
      </c>
      <c r="I189" s="15">
        <v>8251.0499999999993</v>
      </c>
      <c r="J189" s="13" t="s">
        <v>87</v>
      </c>
      <c r="K189" s="13" t="s">
        <v>117</v>
      </c>
      <c r="L189">
        <f>IF(COUNTIF(A$2:A189, A189)=1, IF(COUNTIF(A$2:A$2001, A189)&gt;1, 1, 0), 0)</f>
        <v>0</v>
      </c>
      <c r="M189" t="b">
        <f>VLOOKUP(D189, Products!A$2:F$61, 6, FALSE)</f>
        <v>1</v>
      </c>
      <c r="N189" t="str">
        <f>VLOOKUP(D189, Products!A$2:C$61, 3, FALSE)</f>
        <v>Beauty</v>
      </c>
      <c r="O189" t="str">
        <f>VLOOKUP(C189, Customers!A$2:E$301, 5, FALSE)</f>
        <v>Retail</v>
      </c>
      <c r="P189">
        <f>VLOOKUP(C189, Customers!A$2:C$301, 3, FALSE)</f>
        <v>34</v>
      </c>
      <c r="Q189" t="str">
        <f>VLOOKUP(E189, Sales_Reps!A$2:C$31, 3, FALSE)</f>
        <v>East</v>
      </c>
      <c r="R189">
        <f>VLOOKUP(D189, Products!A$2:D$61, 4, FALSE)</f>
        <v>1728</v>
      </c>
    </row>
    <row r="190" spans="1:18" x14ac:dyDescent="0.3">
      <c r="A190" s="13" t="s">
        <v>506</v>
      </c>
      <c r="B190" s="14">
        <v>45605</v>
      </c>
      <c r="C190" s="13" t="s">
        <v>507</v>
      </c>
      <c r="D190" s="13" t="s">
        <v>245</v>
      </c>
      <c r="E190" s="13" t="s">
        <v>92</v>
      </c>
      <c r="F190" s="15">
        <v>4</v>
      </c>
      <c r="G190" s="15">
        <v>2270</v>
      </c>
      <c r="H190" s="15">
        <v>29</v>
      </c>
      <c r="I190" s="15">
        <v>6446.8</v>
      </c>
      <c r="J190" s="13" t="s">
        <v>87</v>
      </c>
      <c r="K190" s="13" t="s">
        <v>88</v>
      </c>
      <c r="L190">
        <f>IF(COUNTIF(A$2:A190, A190)=1, IF(COUNTIF(A$2:A$2001, A190)&gt;1, 1, 0), 0)</f>
        <v>0</v>
      </c>
      <c r="M190" t="b">
        <f>VLOOKUP(D190, Products!A$2:F$61, 6, FALSE)</f>
        <v>1</v>
      </c>
      <c r="N190" t="str">
        <f>VLOOKUP(D190, Products!A$2:C$61, 3, FALSE)</f>
        <v>Grocery</v>
      </c>
      <c r="O190" t="str">
        <f>VLOOKUP(C190, Customers!A$2:E$301, 5, FALSE)</f>
        <v>Retail</v>
      </c>
      <c r="P190">
        <f>VLOOKUP(C190, Customers!A$2:C$301, 3, FALSE)</f>
        <v>59</v>
      </c>
      <c r="Q190" t="str">
        <f>VLOOKUP(E190, Sales_Reps!A$2:C$31, 3, FALSE)</f>
        <v>North</v>
      </c>
      <c r="R190">
        <f>VLOOKUP(D190, Products!A$2:D$61, 4, FALSE)</f>
        <v>1412</v>
      </c>
    </row>
    <row r="191" spans="1:18" x14ac:dyDescent="0.3">
      <c r="A191" s="13" t="s">
        <v>508</v>
      </c>
      <c r="B191" s="14">
        <v>45460</v>
      </c>
      <c r="C191" s="13" t="s">
        <v>429</v>
      </c>
      <c r="D191" s="13" t="s">
        <v>270</v>
      </c>
      <c r="E191" s="13" t="s">
        <v>154</v>
      </c>
      <c r="F191" s="15">
        <v>9</v>
      </c>
      <c r="G191" s="15">
        <v>4610</v>
      </c>
      <c r="H191" s="15">
        <v>28.3</v>
      </c>
      <c r="I191" s="15">
        <v>29748.33</v>
      </c>
      <c r="J191" s="13" t="s">
        <v>93</v>
      </c>
      <c r="K191" s="13" t="s">
        <v>117</v>
      </c>
      <c r="L191">
        <f>IF(COUNTIF(A$2:A191, A191)=1, IF(COUNTIF(A$2:A$2001, A191)&gt;1, 1, 0), 0)</f>
        <v>0</v>
      </c>
      <c r="M191" t="b">
        <f>VLOOKUP(D191, Products!A$2:F$61, 6, FALSE)</f>
        <v>1</v>
      </c>
      <c r="N191" t="str">
        <f>VLOOKUP(D191, Products!A$2:C$61, 3, FALSE)</f>
        <v>Home</v>
      </c>
      <c r="O191" t="str">
        <f>VLOOKUP(C191, Customers!A$2:E$301, 5, FALSE)</f>
        <v>Retail</v>
      </c>
      <c r="P191">
        <f>VLOOKUP(C191, Customers!A$2:C$301, 3, FALSE)</f>
        <v>55</v>
      </c>
      <c r="Q191" t="str">
        <f>VLOOKUP(E191, Sales_Reps!A$2:C$31, 3, FALSE)</f>
        <v>East</v>
      </c>
      <c r="R191">
        <f>VLOOKUP(D191, Products!A$2:D$61, 4, FALSE)</f>
        <v>1850</v>
      </c>
    </row>
    <row r="192" spans="1:18" x14ac:dyDescent="0.3">
      <c r="A192" s="13" t="s">
        <v>509</v>
      </c>
      <c r="B192" s="14">
        <v>45538</v>
      </c>
      <c r="C192" s="13" t="s">
        <v>510</v>
      </c>
      <c r="D192" s="13" t="s">
        <v>106</v>
      </c>
      <c r="E192" s="13" t="s">
        <v>204</v>
      </c>
      <c r="F192" s="15">
        <v>3</v>
      </c>
      <c r="G192" s="15">
        <v>3160</v>
      </c>
      <c r="H192" s="15">
        <v>7.3</v>
      </c>
      <c r="I192" s="15">
        <v>8787.9599999999991</v>
      </c>
      <c r="J192" s="13" t="s">
        <v>87</v>
      </c>
      <c r="K192" s="13" t="s">
        <v>117</v>
      </c>
      <c r="L192">
        <f>IF(COUNTIF(A$2:A192, A192)=1, IF(COUNTIF(A$2:A$2001, A192)&gt;1, 1, 0), 0)</f>
        <v>0</v>
      </c>
      <c r="M192" t="b">
        <f>VLOOKUP(D192, Products!A$2:F$61, 6, FALSE)</f>
        <v>1</v>
      </c>
      <c r="N192" t="str">
        <f>VLOOKUP(D192, Products!A$2:C$61, 3, FALSE)</f>
        <v>Apparel</v>
      </c>
      <c r="O192" t="str">
        <f>VLOOKUP(C192, Customers!A$2:E$301, 5, FALSE)</f>
        <v>SMB</v>
      </c>
      <c r="P192">
        <f>VLOOKUP(C192, Customers!A$2:C$301, 3, FALSE)</f>
        <v>26</v>
      </c>
      <c r="Q192" t="str">
        <f>VLOOKUP(E192, Sales_Reps!A$2:C$31, 3, FALSE)</f>
        <v>South</v>
      </c>
      <c r="R192">
        <f>VLOOKUP(D192, Products!A$2:D$61, 4, FALSE)</f>
        <v>1886</v>
      </c>
    </row>
    <row r="193" spans="1:18" x14ac:dyDescent="0.3">
      <c r="A193" s="13" t="s">
        <v>511</v>
      </c>
      <c r="B193" s="14">
        <v>45573</v>
      </c>
      <c r="C193" s="13" t="s">
        <v>512</v>
      </c>
      <c r="D193" s="13" t="s">
        <v>245</v>
      </c>
      <c r="E193" s="13" t="s">
        <v>139</v>
      </c>
      <c r="F193" s="15">
        <v>8</v>
      </c>
      <c r="G193" s="15">
        <v>2270</v>
      </c>
      <c r="H193" s="15">
        <v>15.6</v>
      </c>
      <c r="I193" s="15">
        <v>15327.04</v>
      </c>
      <c r="J193" s="13" t="s">
        <v>87</v>
      </c>
      <c r="K193" s="13" t="s">
        <v>133</v>
      </c>
      <c r="L193">
        <f>IF(COUNTIF(A$2:A193, A193)=1, IF(COUNTIF(A$2:A$2001, A193)&gt;1, 1, 0), 0)</f>
        <v>0</v>
      </c>
      <c r="M193" t="b">
        <f>VLOOKUP(D193, Products!A$2:F$61, 6, FALSE)</f>
        <v>1</v>
      </c>
      <c r="N193" t="str">
        <f>VLOOKUP(D193, Products!A$2:C$61, 3, FALSE)</f>
        <v>Grocery</v>
      </c>
      <c r="O193" t="str">
        <f>VLOOKUP(C193, Customers!A$2:E$301, 5, FALSE)</f>
        <v>Retail</v>
      </c>
      <c r="P193">
        <f>VLOOKUP(C193, Customers!A$2:C$301, 3, FALSE)</f>
        <v>61</v>
      </c>
      <c r="Q193" t="str">
        <f>VLOOKUP(E193, Sales_Reps!A$2:C$31, 3, FALSE)</f>
        <v>North</v>
      </c>
      <c r="R193">
        <f>VLOOKUP(D193, Products!A$2:D$61, 4, FALSE)</f>
        <v>1412</v>
      </c>
    </row>
    <row r="194" spans="1:18" x14ac:dyDescent="0.3">
      <c r="A194" s="13" t="s">
        <v>513</v>
      </c>
      <c r="B194" s="14">
        <v>45483</v>
      </c>
      <c r="C194" s="13" t="s">
        <v>126</v>
      </c>
      <c r="D194" s="13" t="s">
        <v>276</v>
      </c>
      <c r="E194" s="13" t="s">
        <v>128</v>
      </c>
      <c r="F194" s="15">
        <v>8</v>
      </c>
      <c r="G194" s="15">
        <v>3020</v>
      </c>
      <c r="H194" s="15">
        <v>16.3</v>
      </c>
      <c r="I194" s="15">
        <v>20221.919999999998</v>
      </c>
      <c r="J194" s="13" t="s">
        <v>140</v>
      </c>
      <c r="K194" s="13" t="s">
        <v>88</v>
      </c>
      <c r="L194">
        <f>IF(COUNTIF(A$2:A194, A194)=1, IF(COUNTIF(A$2:A$2001, A194)&gt;1, 1, 0), 0)</f>
        <v>0</v>
      </c>
      <c r="M194" t="b">
        <f>VLOOKUP(D194, Products!A$2:F$61, 6, FALSE)</f>
        <v>1</v>
      </c>
      <c r="N194" t="str">
        <f>VLOOKUP(D194, Products!A$2:C$61, 3, FALSE)</f>
        <v>Beauty</v>
      </c>
      <c r="O194" t="str">
        <f>VLOOKUP(C194, Customers!A$2:E$301, 5, FALSE)</f>
        <v>Retail</v>
      </c>
      <c r="P194">
        <f>VLOOKUP(C194, Customers!A$2:C$301, 3, FALSE)</f>
        <v>56</v>
      </c>
      <c r="Q194" t="str">
        <f>VLOOKUP(E194, Sales_Reps!A$2:C$31, 3, FALSE)</f>
        <v>West</v>
      </c>
      <c r="R194">
        <f>VLOOKUP(D194, Products!A$2:D$61, 4, FALSE)</f>
        <v>1626</v>
      </c>
    </row>
    <row r="195" spans="1:18" x14ac:dyDescent="0.3">
      <c r="A195" s="13" t="s">
        <v>514</v>
      </c>
      <c r="B195" s="14">
        <v>45617</v>
      </c>
      <c r="C195" s="13" t="s">
        <v>153</v>
      </c>
      <c r="D195" s="13" t="s">
        <v>515</v>
      </c>
      <c r="E195" s="13" t="s">
        <v>170</v>
      </c>
      <c r="F195" s="15">
        <v>7</v>
      </c>
      <c r="G195" s="15">
        <v>6940</v>
      </c>
      <c r="H195" s="15">
        <v>8.5</v>
      </c>
      <c r="I195" s="15">
        <v>44450.7</v>
      </c>
      <c r="J195" s="13" t="s">
        <v>87</v>
      </c>
      <c r="K195" s="13" t="s">
        <v>117</v>
      </c>
      <c r="L195">
        <f>IF(COUNTIF(A$2:A195, A195)=1, IF(COUNTIF(A$2:A$2001, A195)&gt;1, 1, 0), 0)</f>
        <v>0</v>
      </c>
      <c r="M195" t="b">
        <f>VLOOKUP(D195, Products!A$2:F$61, 6, FALSE)</f>
        <v>1</v>
      </c>
      <c r="N195" t="str">
        <f>VLOOKUP(D195, Products!A$2:C$61, 3, FALSE)</f>
        <v>Sports</v>
      </c>
      <c r="O195" t="str">
        <f>VLOOKUP(C195, Customers!A$2:E$301, 5, FALSE)</f>
        <v>SMB</v>
      </c>
      <c r="P195">
        <f>VLOOKUP(C195, Customers!A$2:C$301, 3, FALSE)</f>
        <v>46</v>
      </c>
      <c r="Q195" t="str">
        <f>VLOOKUP(E195, Sales_Reps!A$2:C$31, 3, FALSE)</f>
        <v>West</v>
      </c>
      <c r="R195">
        <f>VLOOKUP(D195, Products!A$2:D$61, 4, FALSE)</f>
        <v>2827</v>
      </c>
    </row>
    <row r="196" spans="1:18" x14ac:dyDescent="0.3">
      <c r="A196" s="13" t="s">
        <v>516</v>
      </c>
      <c r="B196" s="14">
        <v>45546</v>
      </c>
      <c r="C196" s="13" t="s">
        <v>487</v>
      </c>
      <c r="D196" s="13" t="s">
        <v>259</v>
      </c>
      <c r="E196" s="13" t="s">
        <v>325</v>
      </c>
      <c r="F196" s="15">
        <v>8</v>
      </c>
      <c r="G196" s="15">
        <v>1540</v>
      </c>
      <c r="H196" s="15">
        <v>21</v>
      </c>
      <c r="I196" s="15">
        <v>9732.7999999999993</v>
      </c>
      <c r="J196" s="13" t="s">
        <v>87</v>
      </c>
      <c r="K196" s="13" t="s">
        <v>88</v>
      </c>
      <c r="L196">
        <f>IF(COUNTIF(A$2:A196, A196)=1, IF(COUNTIF(A$2:A$2001, A196)&gt;1, 1, 0), 0)</f>
        <v>0</v>
      </c>
      <c r="M196" t="b">
        <f>VLOOKUP(D196, Products!A$2:F$61, 6, FALSE)</f>
        <v>0</v>
      </c>
      <c r="N196" t="str">
        <f>VLOOKUP(D196, Products!A$2:C$61, 3, FALSE)</f>
        <v>Beauty</v>
      </c>
      <c r="O196" t="str">
        <f>VLOOKUP(C196, Customers!A$2:E$301, 5, FALSE)</f>
        <v>Corporate</v>
      </c>
      <c r="P196">
        <f>VLOOKUP(C196, Customers!A$2:C$301, 3, FALSE)</f>
        <v>29</v>
      </c>
      <c r="Q196" t="str">
        <f>VLOOKUP(E196, Sales_Reps!A$2:C$31, 3, FALSE)</f>
        <v>South</v>
      </c>
      <c r="R196">
        <f>VLOOKUP(D196, Products!A$2:D$61, 4, FALSE)</f>
        <v>647</v>
      </c>
    </row>
    <row r="197" spans="1:18" x14ac:dyDescent="0.3">
      <c r="A197" s="13" t="s">
        <v>517</v>
      </c>
      <c r="B197" s="14">
        <v>45380</v>
      </c>
      <c r="C197" s="13" t="s">
        <v>518</v>
      </c>
      <c r="D197" s="13" t="s">
        <v>167</v>
      </c>
      <c r="E197" s="13" t="s">
        <v>229</v>
      </c>
      <c r="F197" s="15">
        <v>6</v>
      </c>
      <c r="G197" s="15">
        <v>2480</v>
      </c>
      <c r="H197" s="15">
        <v>27.9</v>
      </c>
      <c r="I197" s="15">
        <v>10728.48</v>
      </c>
      <c r="J197" s="13" t="s">
        <v>87</v>
      </c>
      <c r="K197" s="13" t="s">
        <v>88</v>
      </c>
      <c r="L197">
        <f>IF(COUNTIF(A$2:A197, A197)=1, IF(COUNTIF(A$2:A$2001, A197)&gt;1, 1, 0), 0)</f>
        <v>0</v>
      </c>
      <c r="M197" t="b">
        <f>VLOOKUP(D197, Products!A$2:F$61, 6, FALSE)</f>
        <v>1</v>
      </c>
      <c r="N197" t="str">
        <f>VLOOKUP(D197, Products!A$2:C$61, 3, FALSE)</f>
        <v>Apparel</v>
      </c>
      <c r="O197" t="str">
        <f>VLOOKUP(C197, Customers!A$2:E$301, 5, FALSE)</f>
        <v>Retail</v>
      </c>
      <c r="P197">
        <f>VLOOKUP(C197, Customers!A$2:C$301, 3, FALSE)</f>
        <v>49</v>
      </c>
      <c r="Q197" t="str">
        <f>VLOOKUP(E197, Sales_Reps!A$2:C$31, 3, FALSE)</f>
        <v>West</v>
      </c>
      <c r="R197">
        <f>VLOOKUP(D197, Products!A$2:D$61, 4, FALSE)</f>
        <v>1173</v>
      </c>
    </row>
    <row r="198" spans="1:18" x14ac:dyDescent="0.3">
      <c r="A198" s="13" t="s">
        <v>519</v>
      </c>
      <c r="B198" s="14">
        <v>45320</v>
      </c>
      <c r="C198" s="13" t="s">
        <v>520</v>
      </c>
      <c r="D198" s="13" t="s">
        <v>147</v>
      </c>
      <c r="E198" s="13" t="s">
        <v>285</v>
      </c>
      <c r="F198" s="15">
        <v>4</v>
      </c>
      <c r="G198" s="15">
        <v>190</v>
      </c>
      <c r="H198" s="15">
        <v>21.5</v>
      </c>
      <c r="I198" s="15">
        <v>596.6</v>
      </c>
      <c r="J198" s="13" t="s">
        <v>87</v>
      </c>
      <c r="K198" s="13" t="s">
        <v>112</v>
      </c>
      <c r="L198">
        <f>IF(COUNTIF(A$2:A198, A198)=1, IF(COUNTIF(A$2:A$2001, A198)&gt;1, 1, 0), 0)</f>
        <v>0</v>
      </c>
      <c r="M198" t="b">
        <f>VLOOKUP(D198, Products!A$2:F$61, 6, FALSE)</f>
        <v>1</v>
      </c>
      <c r="N198" t="str">
        <f>VLOOKUP(D198, Products!A$2:C$61, 3, FALSE)</f>
        <v>Sports</v>
      </c>
      <c r="O198" t="str">
        <f>VLOOKUP(C198, Customers!A$2:E$301, 5, FALSE)</f>
        <v>Corporate</v>
      </c>
      <c r="P198">
        <f>VLOOKUP(C198, Customers!A$2:C$301, 3, FALSE)</f>
        <v>35</v>
      </c>
      <c r="Q198" t="str">
        <f>VLOOKUP(E198, Sales_Reps!A$2:C$31, 3, FALSE)</f>
        <v>East</v>
      </c>
      <c r="R198">
        <f>VLOOKUP(D198, Products!A$2:D$61, 4, FALSE)</f>
        <v>147</v>
      </c>
    </row>
    <row r="199" spans="1:18" x14ac:dyDescent="0.3">
      <c r="A199" s="13" t="s">
        <v>521</v>
      </c>
      <c r="B199" s="14">
        <v>45355</v>
      </c>
      <c r="C199" s="13" t="s">
        <v>522</v>
      </c>
      <c r="D199" s="13" t="s">
        <v>195</v>
      </c>
      <c r="E199" s="13" t="s">
        <v>98</v>
      </c>
      <c r="F199" s="15">
        <v>1</v>
      </c>
      <c r="G199" s="15">
        <v>2860</v>
      </c>
      <c r="H199" s="15">
        <v>15.3</v>
      </c>
      <c r="I199" s="15">
        <v>2422.42</v>
      </c>
      <c r="J199" s="13" t="s">
        <v>87</v>
      </c>
      <c r="K199" s="13" t="s">
        <v>99</v>
      </c>
      <c r="L199">
        <f>IF(COUNTIF(A$2:A199, A199)=1, IF(COUNTIF(A$2:A$2001, A199)&gt;1, 1, 0), 0)</f>
        <v>0</v>
      </c>
      <c r="M199" t="b">
        <f>VLOOKUP(D199, Products!A$2:F$61, 6, FALSE)</f>
        <v>1</v>
      </c>
      <c r="N199" t="str">
        <f>VLOOKUP(D199, Products!A$2:C$61, 3, FALSE)</f>
        <v>Sports</v>
      </c>
      <c r="O199" t="str">
        <f>VLOOKUP(C199, Customers!A$2:E$301, 5, FALSE)</f>
        <v>SMB</v>
      </c>
      <c r="P199">
        <f>VLOOKUP(C199, Customers!A$2:C$301, 3, FALSE)</f>
        <v>55</v>
      </c>
      <c r="Q199" t="str">
        <f>VLOOKUP(E199, Sales_Reps!A$2:C$31, 3, FALSE)</f>
        <v>South</v>
      </c>
      <c r="R199">
        <f>VLOOKUP(D199, Products!A$2:D$61, 4, FALSE)</f>
        <v>2028</v>
      </c>
    </row>
    <row r="200" spans="1:18" x14ac:dyDescent="0.3">
      <c r="A200" s="13" t="s">
        <v>523</v>
      </c>
      <c r="B200" s="14">
        <v>45350</v>
      </c>
      <c r="C200" s="13" t="s">
        <v>524</v>
      </c>
      <c r="D200" s="13" t="s">
        <v>355</v>
      </c>
      <c r="E200" s="13" t="s">
        <v>188</v>
      </c>
      <c r="F200" s="15">
        <v>4</v>
      </c>
      <c r="G200" s="15">
        <v>2510</v>
      </c>
      <c r="H200" s="15">
        <v>10.1</v>
      </c>
      <c r="I200" s="15">
        <v>9025.9599999999991</v>
      </c>
      <c r="J200" s="13" t="s">
        <v>144</v>
      </c>
      <c r="K200" s="13" t="s">
        <v>112</v>
      </c>
      <c r="L200">
        <f>IF(COUNTIF(A$2:A200, A200)=1, IF(COUNTIF(A$2:A$2001, A200)&gt;1, 1, 0), 0)</f>
        <v>0</v>
      </c>
      <c r="M200" t="b">
        <f>VLOOKUP(D200, Products!A$2:F$61, 6, FALSE)</f>
        <v>0</v>
      </c>
      <c r="N200" t="str">
        <f>VLOOKUP(D200, Products!A$2:C$61, 3, FALSE)</f>
        <v>Apparel</v>
      </c>
      <c r="O200" t="str">
        <f>VLOOKUP(C200, Customers!A$2:E$301, 5, FALSE)</f>
        <v>Corporate</v>
      </c>
      <c r="P200">
        <f>VLOOKUP(C200, Customers!A$2:C$301, 3, FALSE)</f>
        <v>55</v>
      </c>
      <c r="Q200" t="str">
        <f>VLOOKUP(E200, Sales_Reps!A$2:C$31, 3, FALSE)</f>
        <v>South</v>
      </c>
      <c r="R200">
        <f>VLOOKUP(D200, Products!A$2:D$61, 4, FALSE)</f>
        <v>1075</v>
      </c>
    </row>
    <row r="201" spans="1:18" x14ac:dyDescent="0.3">
      <c r="A201" s="13" t="s">
        <v>525</v>
      </c>
      <c r="B201" s="14">
        <v>45587</v>
      </c>
      <c r="C201" s="13" t="s">
        <v>385</v>
      </c>
      <c r="D201" s="13" t="s">
        <v>187</v>
      </c>
      <c r="E201" s="13" t="s">
        <v>148</v>
      </c>
      <c r="F201" s="15">
        <v>2</v>
      </c>
      <c r="G201" s="15">
        <v>3570</v>
      </c>
      <c r="H201" s="15">
        <v>11.6</v>
      </c>
      <c r="I201" s="15">
        <v>6311.76</v>
      </c>
      <c r="J201" s="13" t="s">
        <v>93</v>
      </c>
      <c r="K201" s="13" t="s">
        <v>117</v>
      </c>
      <c r="L201">
        <f>IF(COUNTIF(A$2:A201, A201)=1, IF(COUNTIF(A$2:A$2001, A201)&gt;1, 1, 0), 0)</f>
        <v>0</v>
      </c>
      <c r="M201" t="b">
        <f>VLOOKUP(D201, Products!A$2:F$61, 6, FALSE)</f>
        <v>1</v>
      </c>
      <c r="N201" t="str">
        <f>VLOOKUP(D201, Products!A$2:C$61, 3, FALSE)</f>
        <v>Electronics</v>
      </c>
      <c r="O201" t="str">
        <f>VLOOKUP(C201, Customers!A$2:E$301, 5, FALSE)</f>
        <v>Retail</v>
      </c>
      <c r="P201">
        <f>VLOOKUP(C201, Customers!A$2:C$301, 3, FALSE)</f>
        <v>23</v>
      </c>
      <c r="Q201" t="str">
        <f>VLOOKUP(E201, Sales_Reps!A$2:C$31, 3, FALSE)</f>
        <v>North</v>
      </c>
      <c r="R201">
        <f>VLOOKUP(D201, Products!A$2:D$61, 4, FALSE)</f>
        <v>1665</v>
      </c>
    </row>
    <row r="202" spans="1:18" x14ac:dyDescent="0.3">
      <c r="A202" s="13" t="s">
        <v>526</v>
      </c>
      <c r="B202" s="14">
        <v>45344</v>
      </c>
      <c r="C202" s="13" t="s">
        <v>490</v>
      </c>
      <c r="D202" s="13" t="s">
        <v>226</v>
      </c>
      <c r="E202" s="13" t="s">
        <v>346</v>
      </c>
      <c r="F202" s="15">
        <v>7</v>
      </c>
      <c r="G202" s="15">
        <v>3730</v>
      </c>
      <c r="H202" s="15">
        <v>2.5</v>
      </c>
      <c r="I202" s="15">
        <v>25457.25</v>
      </c>
      <c r="J202" s="13" t="s">
        <v>140</v>
      </c>
      <c r="K202" s="13" t="s">
        <v>99</v>
      </c>
      <c r="L202">
        <f>IF(COUNTIF(A$2:A202, A202)=1, IF(COUNTIF(A$2:A$2001, A202)&gt;1, 1, 0), 0)</f>
        <v>0</v>
      </c>
      <c r="M202" t="b">
        <f>VLOOKUP(D202, Products!A$2:F$61, 6, FALSE)</f>
        <v>1</v>
      </c>
      <c r="N202" t="str">
        <f>VLOOKUP(D202, Products!A$2:C$61, 3, FALSE)</f>
        <v>Home</v>
      </c>
      <c r="O202" t="str">
        <f>VLOOKUP(C202, Customers!A$2:E$301, 5, FALSE)</f>
        <v>Retail</v>
      </c>
      <c r="P202">
        <f>VLOOKUP(C202, Customers!A$2:C$301, 3, FALSE)</f>
        <v>59</v>
      </c>
      <c r="Q202" t="str">
        <f>VLOOKUP(E202, Sales_Reps!A$2:C$31, 3, FALSE)</f>
        <v>South</v>
      </c>
      <c r="R202">
        <f>VLOOKUP(D202, Products!A$2:D$61, 4, FALSE)</f>
        <v>2135</v>
      </c>
    </row>
    <row r="203" spans="1:18" x14ac:dyDescent="0.3">
      <c r="A203" s="13" t="s">
        <v>527</v>
      </c>
      <c r="B203" s="14">
        <v>45492</v>
      </c>
      <c r="C203" s="13" t="s">
        <v>528</v>
      </c>
      <c r="D203" s="13" t="s">
        <v>110</v>
      </c>
      <c r="E203" s="13" t="s">
        <v>170</v>
      </c>
      <c r="F203" s="15">
        <v>6</v>
      </c>
      <c r="G203" s="15">
        <v>370</v>
      </c>
      <c r="H203" s="15">
        <v>9.9</v>
      </c>
      <c r="I203" s="15">
        <v>2000.22</v>
      </c>
      <c r="J203" s="13" t="s">
        <v>87</v>
      </c>
      <c r="K203" s="13" t="s">
        <v>112</v>
      </c>
      <c r="L203">
        <f>IF(COUNTIF(A$2:A203, A203)=1, IF(COUNTIF(A$2:A$2001, A203)&gt;1, 1, 0), 0)</f>
        <v>0</v>
      </c>
      <c r="M203" t="b">
        <f>VLOOKUP(D203, Products!A$2:F$61, 6, FALSE)</f>
        <v>1</v>
      </c>
      <c r="N203" t="str">
        <f>VLOOKUP(D203, Products!A$2:C$61, 3, FALSE)</f>
        <v>Home</v>
      </c>
      <c r="O203" t="str">
        <f>VLOOKUP(C203, Customers!A$2:E$301, 5, FALSE)</f>
        <v>Retail</v>
      </c>
      <c r="P203">
        <f>VLOOKUP(C203, Customers!A$2:C$301, 3, FALSE)</f>
        <v>44</v>
      </c>
      <c r="Q203" t="str">
        <f>VLOOKUP(E203, Sales_Reps!A$2:C$31, 3, FALSE)</f>
        <v>West</v>
      </c>
      <c r="R203">
        <f>VLOOKUP(D203, Products!A$2:D$61, 4, FALSE)</f>
        <v>288</v>
      </c>
    </row>
    <row r="204" spans="1:18" x14ac:dyDescent="0.3">
      <c r="A204" s="13" t="s">
        <v>529</v>
      </c>
      <c r="B204" s="14">
        <v>45490</v>
      </c>
      <c r="C204" s="13" t="s">
        <v>530</v>
      </c>
      <c r="D204" s="13" t="s">
        <v>279</v>
      </c>
      <c r="E204" s="13" t="s">
        <v>98</v>
      </c>
      <c r="F204" s="15">
        <v>4</v>
      </c>
      <c r="G204" s="15">
        <v>2660</v>
      </c>
      <c r="H204" s="15">
        <v>29.7</v>
      </c>
      <c r="I204" s="15">
        <v>7479.92</v>
      </c>
      <c r="J204" s="13" t="s">
        <v>87</v>
      </c>
      <c r="K204" s="13" t="s">
        <v>99</v>
      </c>
      <c r="L204">
        <f>IF(COUNTIF(A$2:A204, A204)=1, IF(COUNTIF(A$2:A$2001, A204)&gt;1, 1, 0), 0)</f>
        <v>0</v>
      </c>
      <c r="M204" t="b">
        <f>VLOOKUP(D204, Products!A$2:F$61, 6, FALSE)</f>
        <v>0</v>
      </c>
      <c r="N204" t="str">
        <f>VLOOKUP(D204, Products!A$2:C$61, 3, FALSE)</f>
        <v>Electronics</v>
      </c>
      <c r="O204" t="str">
        <f>VLOOKUP(C204, Customers!A$2:E$301, 5, FALSE)</f>
        <v>Retail</v>
      </c>
      <c r="P204">
        <f>VLOOKUP(C204, Customers!A$2:C$301, 3, FALSE)</f>
        <v>45</v>
      </c>
      <c r="Q204" t="str">
        <f>VLOOKUP(E204, Sales_Reps!A$2:C$31, 3, FALSE)</f>
        <v>South</v>
      </c>
      <c r="R204">
        <f>VLOOKUP(D204, Products!A$2:D$61, 4, FALSE)</f>
        <v>1259</v>
      </c>
    </row>
    <row r="205" spans="1:18" x14ac:dyDescent="0.3">
      <c r="A205" s="13" t="s">
        <v>531</v>
      </c>
      <c r="B205" s="14">
        <v>45538</v>
      </c>
      <c r="C205" s="13" t="s">
        <v>385</v>
      </c>
      <c r="D205" s="13" t="s">
        <v>200</v>
      </c>
      <c r="E205" s="13" t="s">
        <v>188</v>
      </c>
      <c r="F205" s="15">
        <v>6</v>
      </c>
      <c r="G205" s="15">
        <v>2760</v>
      </c>
      <c r="H205" s="15">
        <v>0.9</v>
      </c>
      <c r="I205" s="15">
        <v>16410.96</v>
      </c>
      <c r="J205" s="13" t="s">
        <v>87</v>
      </c>
      <c r="K205" s="13" t="s">
        <v>117</v>
      </c>
      <c r="L205">
        <f>IF(COUNTIF(A$2:A205, A205)=1, IF(COUNTIF(A$2:A$2001, A205)&gt;1, 1, 0), 0)</f>
        <v>0</v>
      </c>
      <c r="M205" t="b">
        <f>VLOOKUP(D205, Products!A$2:F$61, 6, FALSE)</f>
        <v>1</v>
      </c>
      <c r="N205" t="str">
        <f>VLOOKUP(D205, Products!A$2:C$61, 3, FALSE)</f>
        <v>Grocery</v>
      </c>
      <c r="O205" t="str">
        <f>VLOOKUP(C205, Customers!A$2:E$301, 5, FALSE)</f>
        <v>Retail</v>
      </c>
      <c r="P205">
        <f>VLOOKUP(C205, Customers!A$2:C$301, 3, FALSE)</f>
        <v>23</v>
      </c>
      <c r="Q205" t="str">
        <f>VLOOKUP(E205, Sales_Reps!A$2:C$31, 3, FALSE)</f>
        <v>South</v>
      </c>
      <c r="R205">
        <f>VLOOKUP(D205, Products!A$2:D$61, 4, FALSE)</f>
        <v>1435</v>
      </c>
    </row>
    <row r="206" spans="1:18" x14ac:dyDescent="0.3">
      <c r="A206" s="13" t="s">
        <v>532</v>
      </c>
      <c r="B206" s="14">
        <v>45591</v>
      </c>
      <c r="C206" s="13" t="s">
        <v>533</v>
      </c>
      <c r="D206" s="13" t="s">
        <v>179</v>
      </c>
      <c r="E206" s="13" t="s">
        <v>204</v>
      </c>
      <c r="F206" s="15">
        <v>6</v>
      </c>
      <c r="G206" s="15">
        <v>3350</v>
      </c>
      <c r="H206" s="15">
        <v>17.899999999999999</v>
      </c>
      <c r="I206" s="15">
        <v>16502.099999999999</v>
      </c>
      <c r="J206" s="13" t="s">
        <v>87</v>
      </c>
      <c r="K206" s="13" t="s">
        <v>99</v>
      </c>
      <c r="L206">
        <f>IF(COUNTIF(A$2:A206, A206)=1, IF(COUNTIF(A$2:A$2001, A206)&gt;1, 1, 0), 0)</f>
        <v>0</v>
      </c>
      <c r="M206" t="b">
        <f>VLOOKUP(D206, Products!A$2:F$61, 6, FALSE)</f>
        <v>1</v>
      </c>
      <c r="N206" t="str">
        <f>VLOOKUP(D206, Products!A$2:C$61, 3, FALSE)</f>
        <v>Beauty</v>
      </c>
      <c r="O206" t="str">
        <f>VLOOKUP(C206, Customers!A$2:E$301, 5, FALSE)</f>
        <v>SMB</v>
      </c>
      <c r="P206">
        <f>VLOOKUP(C206, Customers!A$2:C$301, 3, FALSE)</f>
        <v>48</v>
      </c>
      <c r="Q206" t="str">
        <f>VLOOKUP(E206, Sales_Reps!A$2:C$31, 3, FALSE)</f>
        <v>South</v>
      </c>
      <c r="R206">
        <f>VLOOKUP(D206, Products!A$2:D$61, 4, FALSE)</f>
        <v>1728</v>
      </c>
    </row>
    <row r="207" spans="1:18" x14ac:dyDescent="0.3">
      <c r="A207" s="13" t="s">
        <v>534</v>
      </c>
      <c r="B207" s="14">
        <v>45319</v>
      </c>
      <c r="C207" s="13" t="s">
        <v>440</v>
      </c>
      <c r="D207" s="13" t="s">
        <v>282</v>
      </c>
      <c r="E207" s="13" t="s">
        <v>238</v>
      </c>
      <c r="F207" s="15">
        <v>8</v>
      </c>
      <c r="G207" s="15">
        <v>300</v>
      </c>
      <c r="H207" s="15">
        <v>20.6</v>
      </c>
      <c r="I207" s="15">
        <v>1905.6</v>
      </c>
      <c r="J207" s="13" t="s">
        <v>144</v>
      </c>
      <c r="K207" s="13" t="s">
        <v>88</v>
      </c>
      <c r="L207">
        <f>IF(COUNTIF(A$2:A207, A207)=1, IF(COUNTIF(A$2:A$2001, A207)&gt;1, 1, 0), 0)</f>
        <v>0</v>
      </c>
      <c r="M207" t="b">
        <f>VLOOKUP(D207, Products!A$2:F$61, 6, FALSE)</f>
        <v>1</v>
      </c>
      <c r="N207" t="str">
        <f>VLOOKUP(D207, Products!A$2:C$61, 3, FALSE)</f>
        <v>Electronics</v>
      </c>
      <c r="O207" t="str">
        <f>VLOOKUP(C207, Customers!A$2:E$301, 5, FALSE)</f>
        <v>SMB</v>
      </c>
      <c r="P207">
        <f>VLOOKUP(C207, Customers!A$2:C$301, 3, FALSE)</f>
        <v>30</v>
      </c>
      <c r="Q207" t="str">
        <f>VLOOKUP(E207, Sales_Reps!A$2:C$31, 3, FALSE)</f>
        <v>East</v>
      </c>
      <c r="R207">
        <f>VLOOKUP(D207, Products!A$2:D$61, 4, FALSE)</f>
        <v>128</v>
      </c>
    </row>
    <row r="208" spans="1:18" x14ac:dyDescent="0.3">
      <c r="A208" s="13" t="s">
        <v>535</v>
      </c>
      <c r="B208" s="14">
        <v>45527</v>
      </c>
      <c r="C208" s="13" t="s">
        <v>528</v>
      </c>
      <c r="D208" s="13" t="s">
        <v>173</v>
      </c>
      <c r="E208" s="13" t="s">
        <v>297</v>
      </c>
      <c r="F208" s="15">
        <v>5</v>
      </c>
      <c r="G208" s="15">
        <v>2720</v>
      </c>
      <c r="H208" s="15">
        <v>17.100000000000001</v>
      </c>
      <c r="I208" s="15">
        <v>11274.4</v>
      </c>
      <c r="J208" s="13" t="s">
        <v>93</v>
      </c>
      <c r="K208" s="13" t="s">
        <v>112</v>
      </c>
      <c r="L208">
        <f>IF(COUNTIF(A$2:A208, A208)=1, IF(COUNTIF(A$2:A$2001, A208)&gt;1, 1, 0), 0)</f>
        <v>0</v>
      </c>
      <c r="M208" t="b">
        <f>VLOOKUP(D208, Products!A$2:F$61, 6, FALSE)</f>
        <v>1</v>
      </c>
      <c r="N208" t="str">
        <f>VLOOKUP(D208, Products!A$2:C$61, 3, FALSE)</f>
        <v>Apparel</v>
      </c>
      <c r="O208" t="str">
        <f>VLOOKUP(C208, Customers!A$2:E$301, 5, FALSE)</f>
        <v>Retail</v>
      </c>
      <c r="P208">
        <f>VLOOKUP(C208, Customers!A$2:C$301, 3, FALSE)</f>
        <v>44</v>
      </c>
      <c r="Q208" t="str">
        <f>VLOOKUP(E208, Sales_Reps!A$2:C$31, 3, FALSE)</f>
        <v>North</v>
      </c>
      <c r="R208">
        <f>VLOOKUP(D208, Products!A$2:D$61, 4, FALSE)</f>
        <v>1962</v>
      </c>
    </row>
    <row r="209" spans="1:18" x14ac:dyDescent="0.3">
      <c r="A209" s="13" t="s">
        <v>536</v>
      </c>
      <c r="B209" s="14">
        <v>45572</v>
      </c>
      <c r="C209" s="13" t="s">
        <v>537</v>
      </c>
      <c r="D209" s="13" t="s">
        <v>248</v>
      </c>
      <c r="E209" s="13" t="s">
        <v>188</v>
      </c>
      <c r="F209" s="15">
        <v>1</v>
      </c>
      <c r="G209" s="15">
        <v>3870</v>
      </c>
      <c r="H209" s="15">
        <v>23.5</v>
      </c>
      <c r="I209" s="15">
        <v>2960.55</v>
      </c>
      <c r="J209" s="13" t="s">
        <v>93</v>
      </c>
      <c r="K209" s="13" t="s">
        <v>133</v>
      </c>
      <c r="L209">
        <f>IF(COUNTIF(A$2:A209, A209)=1, IF(COUNTIF(A$2:A$2001, A209)&gt;1, 1, 0), 0)</f>
        <v>0</v>
      </c>
      <c r="M209" t="b">
        <f>VLOOKUP(D209, Products!A$2:F$61, 6, FALSE)</f>
        <v>1</v>
      </c>
      <c r="N209" t="str">
        <f>VLOOKUP(D209, Products!A$2:C$61, 3, FALSE)</f>
        <v>Electronics</v>
      </c>
      <c r="O209" t="str">
        <f>VLOOKUP(C209, Customers!A$2:E$301, 5, FALSE)</f>
        <v>SMB</v>
      </c>
      <c r="P209">
        <f>VLOOKUP(C209, Customers!A$2:C$301, 3, FALSE)</f>
        <v>48</v>
      </c>
      <c r="Q209" t="str">
        <f>VLOOKUP(E209, Sales_Reps!A$2:C$31, 3, FALSE)</f>
        <v>South</v>
      </c>
      <c r="R209">
        <f>VLOOKUP(D209, Products!A$2:D$61, 4, FALSE)</f>
        <v>1559</v>
      </c>
    </row>
    <row r="210" spans="1:18" x14ac:dyDescent="0.3">
      <c r="A210" s="13" t="s">
        <v>538</v>
      </c>
      <c r="B210" s="14">
        <v>45637</v>
      </c>
      <c r="C210" s="13" t="s">
        <v>539</v>
      </c>
      <c r="D210" s="13" t="s">
        <v>226</v>
      </c>
      <c r="E210" s="13" t="s">
        <v>325</v>
      </c>
      <c r="F210" s="15">
        <v>3</v>
      </c>
      <c r="G210" s="15">
        <v>3730</v>
      </c>
      <c r="H210" s="15">
        <v>0.7</v>
      </c>
      <c r="I210" s="15">
        <v>11111.67</v>
      </c>
      <c r="J210" s="13" t="s">
        <v>93</v>
      </c>
      <c r="K210" s="13" t="s">
        <v>133</v>
      </c>
      <c r="L210">
        <f>IF(COUNTIF(A$2:A210, A210)=1, IF(COUNTIF(A$2:A$2001, A210)&gt;1, 1, 0), 0)</f>
        <v>0</v>
      </c>
      <c r="M210" t="b">
        <f>VLOOKUP(D210, Products!A$2:F$61, 6, FALSE)</f>
        <v>1</v>
      </c>
      <c r="N210" t="str">
        <f>VLOOKUP(D210, Products!A$2:C$61, 3, FALSE)</f>
        <v>Home</v>
      </c>
      <c r="O210" t="str">
        <f>VLOOKUP(C210, Customers!A$2:E$301, 5, FALSE)</f>
        <v>Retail</v>
      </c>
      <c r="P210">
        <f>VLOOKUP(C210, Customers!A$2:C$301, 3, FALSE)</f>
        <v>38</v>
      </c>
      <c r="Q210" t="str">
        <f>VLOOKUP(E210, Sales_Reps!A$2:C$31, 3, FALSE)</f>
        <v>South</v>
      </c>
      <c r="R210">
        <f>VLOOKUP(D210, Products!A$2:D$61, 4, FALSE)</f>
        <v>2135</v>
      </c>
    </row>
    <row r="211" spans="1:18" x14ac:dyDescent="0.3">
      <c r="A211" s="13" t="s">
        <v>540</v>
      </c>
      <c r="B211" s="14">
        <v>45315</v>
      </c>
      <c r="C211" s="13" t="s">
        <v>541</v>
      </c>
      <c r="D211" s="13" t="s">
        <v>167</v>
      </c>
      <c r="E211" s="13" t="s">
        <v>325</v>
      </c>
      <c r="F211" s="15">
        <v>8</v>
      </c>
      <c r="G211" s="15">
        <v>2480</v>
      </c>
      <c r="H211" s="15">
        <v>18.2</v>
      </c>
      <c r="I211" s="15">
        <v>16229.12</v>
      </c>
      <c r="J211" s="13" t="s">
        <v>140</v>
      </c>
      <c r="K211" s="13" t="s">
        <v>94</v>
      </c>
      <c r="L211">
        <f>IF(COUNTIF(A$2:A211, A211)=1, IF(COUNTIF(A$2:A$2001, A211)&gt;1, 1, 0), 0)</f>
        <v>0</v>
      </c>
      <c r="M211" t="b">
        <f>VLOOKUP(D211, Products!A$2:F$61, 6, FALSE)</f>
        <v>1</v>
      </c>
      <c r="N211" t="str">
        <f>VLOOKUP(D211, Products!A$2:C$61, 3, FALSE)</f>
        <v>Apparel</v>
      </c>
      <c r="O211" t="str">
        <f>VLOOKUP(C211, Customers!A$2:E$301, 5, FALSE)</f>
        <v>Corporate</v>
      </c>
      <c r="P211">
        <f>VLOOKUP(C211, Customers!A$2:C$301, 3, FALSE)</f>
        <v>34</v>
      </c>
      <c r="Q211" t="str">
        <f>VLOOKUP(E211, Sales_Reps!A$2:C$31, 3, FALSE)</f>
        <v>South</v>
      </c>
      <c r="R211">
        <f>VLOOKUP(D211, Products!A$2:D$61, 4, FALSE)</f>
        <v>1173</v>
      </c>
    </row>
    <row r="212" spans="1:18" x14ac:dyDescent="0.3">
      <c r="A212" s="13" t="s">
        <v>542</v>
      </c>
      <c r="B212" s="14">
        <v>45374</v>
      </c>
      <c r="C212" s="13" t="s">
        <v>388</v>
      </c>
      <c r="D212" s="13" t="s">
        <v>115</v>
      </c>
      <c r="E212" s="13" t="s">
        <v>121</v>
      </c>
      <c r="F212" s="15">
        <v>2</v>
      </c>
      <c r="G212" s="15">
        <v>960</v>
      </c>
      <c r="H212" s="15">
        <v>2.2000000000000002</v>
      </c>
      <c r="I212" s="15">
        <v>1877.76</v>
      </c>
      <c r="J212" s="13" t="s">
        <v>87</v>
      </c>
      <c r="K212" s="13" t="s">
        <v>133</v>
      </c>
      <c r="L212">
        <f>IF(COUNTIF(A$2:A212, A212)=1, IF(COUNTIF(A$2:A$2001, A212)&gt;1, 1, 0), 0)</f>
        <v>0</v>
      </c>
      <c r="M212" t="b">
        <f>VLOOKUP(D212, Products!A$2:F$61, 6, FALSE)</f>
        <v>1</v>
      </c>
      <c r="N212" t="str">
        <f>VLOOKUP(D212, Products!A$2:C$61, 3, FALSE)</f>
        <v>Sports</v>
      </c>
      <c r="O212" t="str">
        <f>VLOOKUP(C212, Customers!A$2:E$301, 5, FALSE)</f>
        <v>Retail</v>
      </c>
      <c r="P212">
        <f>VLOOKUP(C212, Customers!A$2:C$301, 3, FALSE)</f>
        <v>44</v>
      </c>
      <c r="Q212" t="str">
        <f>VLOOKUP(E212, Sales_Reps!A$2:C$31, 3, FALSE)</f>
        <v>East</v>
      </c>
      <c r="R212">
        <f>VLOOKUP(D212, Products!A$2:D$61, 4, FALSE)</f>
        <v>705</v>
      </c>
    </row>
    <row r="213" spans="1:18" x14ac:dyDescent="0.3">
      <c r="A213" s="13" t="s">
        <v>543</v>
      </c>
      <c r="B213" s="14">
        <v>45335</v>
      </c>
      <c r="C213" s="13" t="s">
        <v>544</v>
      </c>
      <c r="D213" s="13" t="s">
        <v>184</v>
      </c>
      <c r="E213" s="13" t="s">
        <v>303</v>
      </c>
      <c r="F213" s="15">
        <v>8</v>
      </c>
      <c r="G213" s="15">
        <v>4880</v>
      </c>
      <c r="H213" s="15">
        <v>11.9</v>
      </c>
      <c r="I213" s="15">
        <v>34394.239999999998</v>
      </c>
      <c r="J213" s="13" t="s">
        <v>87</v>
      </c>
      <c r="K213" s="13" t="s">
        <v>133</v>
      </c>
      <c r="L213">
        <f>IF(COUNTIF(A$2:A213, A213)=1, IF(COUNTIF(A$2:A$2001, A213)&gt;1, 1, 0), 0)</f>
        <v>0</v>
      </c>
      <c r="M213" t="b">
        <f>VLOOKUP(D213, Products!A$2:F$61, 6, FALSE)</f>
        <v>1</v>
      </c>
      <c r="N213" t="str">
        <f>VLOOKUP(D213, Products!A$2:C$61, 3, FALSE)</f>
        <v>Beauty</v>
      </c>
      <c r="O213" t="str">
        <f>VLOOKUP(C213, Customers!A$2:E$301, 5, FALSE)</f>
        <v>Retail</v>
      </c>
      <c r="P213">
        <f>VLOOKUP(C213, Customers!A$2:C$301, 3, FALSE)</f>
        <v>25</v>
      </c>
      <c r="Q213" t="str">
        <f>VLOOKUP(E213, Sales_Reps!A$2:C$31, 3, FALSE)</f>
        <v>East</v>
      </c>
      <c r="R213">
        <f>VLOOKUP(D213, Products!A$2:D$61, 4, FALSE)</f>
        <v>2768</v>
      </c>
    </row>
    <row r="214" spans="1:18" x14ac:dyDescent="0.3">
      <c r="A214" s="13" t="s">
        <v>545</v>
      </c>
      <c r="B214" s="14">
        <v>45656</v>
      </c>
      <c r="C214" s="13" t="s">
        <v>546</v>
      </c>
      <c r="D214" s="13" t="s">
        <v>85</v>
      </c>
      <c r="E214" s="13" t="s">
        <v>170</v>
      </c>
      <c r="F214" s="15">
        <v>2</v>
      </c>
      <c r="G214" s="15">
        <v>3620</v>
      </c>
      <c r="H214" s="15">
        <v>1.1000000000000001</v>
      </c>
      <c r="I214" s="15">
        <v>7160.36</v>
      </c>
      <c r="J214" s="13" t="s">
        <v>93</v>
      </c>
      <c r="K214" s="13" t="s">
        <v>99</v>
      </c>
      <c r="L214">
        <f>IF(COUNTIF(A$2:A214, A214)=1, IF(COUNTIF(A$2:A$2001, A214)&gt;1, 1, 0), 0)</f>
        <v>0</v>
      </c>
      <c r="M214" t="b">
        <f>VLOOKUP(D214, Products!A$2:F$61, 6, FALSE)</f>
        <v>1</v>
      </c>
      <c r="N214" t="str">
        <f>VLOOKUP(D214, Products!A$2:C$61, 3, FALSE)</f>
        <v>Apparel</v>
      </c>
      <c r="O214" t="str">
        <f>VLOOKUP(C214, Customers!A$2:E$301, 5, FALSE)</f>
        <v>SMB</v>
      </c>
      <c r="P214">
        <f>VLOOKUP(C214, Customers!A$2:C$301, 3, FALSE)</f>
        <v>29</v>
      </c>
      <c r="Q214" t="str">
        <f>VLOOKUP(E214, Sales_Reps!A$2:C$31, 3, FALSE)</f>
        <v>West</v>
      </c>
      <c r="R214">
        <f>VLOOKUP(D214, Products!A$2:D$61, 4, FALSE)</f>
        <v>2509</v>
      </c>
    </row>
    <row r="215" spans="1:18" x14ac:dyDescent="0.3">
      <c r="A215" s="13" t="s">
        <v>547</v>
      </c>
      <c r="B215" s="14">
        <v>45573</v>
      </c>
      <c r="C215" s="13" t="s">
        <v>291</v>
      </c>
      <c r="D215" s="13" t="s">
        <v>408</v>
      </c>
      <c r="E215" s="13" t="s">
        <v>107</v>
      </c>
      <c r="F215" s="15">
        <v>8</v>
      </c>
      <c r="G215" s="15">
        <v>3970</v>
      </c>
      <c r="H215" s="15">
        <v>18.100000000000001</v>
      </c>
      <c r="I215" s="15">
        <v>26011.439999999999</v>
      </c>
      <c r="J215" s="13" t="s">
        <v>87</v>
      </c>
      <c r="K215" s="13" t="s">
        <v>99</v>
      </c>
      <c r="L215">
        <f>IF(COUNTIF(A$2:A215, A215)=1, IF(COUNTIF(A$2:A$2001, A215)&gt;1, 1, 0), 0)</f>
        <v>0</v>
      </c>
      <c r="M215" t="b">
        <f>VLOOKUP(D215, Products!A$2:F$61, 6, FALSE)</f>
        <v>1</v>
      </c>
      <c r="N215" t="str">
        <f>VLOOKUP(D215, Products!A$2:C$61, 3, FALSE)</f>
        <v>Electronics</v>
      </c>
      <c r="O215" t="str">
        <f>VLOOKUP(C215, Customers!A$2:E$301, 5, FALSE)</f>
        <v>Retail</v>
      </c>
      <c r="P215">
        <f>VLOOKUP(C215, Customers!A$2:C$301, 3, FALSE)</f>
        <v>35</v>
      </c>
      <c r="Q215" t="str">
        <f>VLOOKUP(E215, Sales_Reps!A$2:C$31, 3, FALSE)</f>
        <v>North</v>
      </c>
      <c r="R215">
        <f>VLOOKUP(D215, Products!A$2:D$61, 4, FALSE)</f>
        <v>2865</v>
      </c>
    </row>
    <row r="216" spans="1:18" x14ac:dyDescent="0.3">
      <c r="A216" s="13" t="s">
        <v>548</v>
      </c>
      <c r="B216" s="14">
        <v>45534</v>
      </c>
      <c r="C216" s="13" t="s">
        <v>166</v>
      </c>
      <c r="D216" s="13" t="s">
        <v>245</v>
      </c>
      <c r="E216" s="13" t="s">
        <v>201</v>
      </c>
      <c r="F216" s="15">
        <v>8</v>
      </c>
      <c r="G216" s="15">
        <v>2270</v>
      </c>
      <c r="H216" s="15">
        <v>19.600000000000001</v>
      </c>
      <c r="I216" s="15">
        <v>14600.64</v>
      </c>
      <c r="J216" s="13" t="s">
        <v>87</v>
      </c>
      <c r="K216" s="13" t="s">
        <v>133</v>
      </c>
      <c r="L216">
        <f>IF(COUNTIF(A$2:A216, A216)=1, IF(COUNTIF(A$2:A$2001, A216)&gt;1, 1, 0), 0)</f>
        <v>0</v>
      </c>
      <c r="M216" t="b">
        <f>VLOOKUP(D216, Products!A$2:F$61, 6, FALSE)</f>
        <v>1</v>
      </c>
      <c r="N216" t="str">
        <f>VLOOKUP(D216, Products!A$2:C$61, 3, FALSE)</f>
        <v>Grocery</v>
      </c>
      <c r="O216" t="str">
        <f>VLOOKUP(C216, Customers!A$2:E$301, 5, FALSE)</f>
        <v>Retail</v>
      </c>
      <c r="P216">
        <f>VLOOKUP(C216, Customers!A$2:C$301, 3, FALSE)</f>
        <v>32</v>
      </c>
      <c r="Q216" t="str">
        <f>VLOOKUP(E216, Sales_Reps!A$2:C$31, 3, FALSE)</f>
        <v>West</v>
      </c>
      <c r="R216">
        <f>VLOOKUP(D216, Products!A$2:D$61, 4, FALSE)</f>
        <v>1412</v>
      </c>
    </row>
    <row r="217" spans="1:18" x14ac:dyDescent="0.3">
      <c r="A217" s="13" t="s">
        <v>549</v>
      </c>
      <c r="B217" s="14">
        <v>45639</v>
      </c>
      <c r="C217" s="13" t="s">
        <v>266</v>
      </c>
      <c r="D217" s="13" t="s">
        <v>234</v>
      </c>
      <c r="E217" s="13" t="s">
        <v>252</v>
      </c>
      <c r="F217" s="15">
        <v>1</v>
      </c>
      <c r="G217" s="15">
        <v>3780</v>
      </c>
      <c r="H217" s="15">
        <v>22.6</v>
      </c>
      <c r="I217" s="15">
        <v>2925.72</v>
      </c>
      <c r="J217" s="13" t="s">
        <v>87</v>
      </c>
      <c r="K217" s="13" t="s">
        <v>99</v>
      </c>
      <c r="L217">
        <f>IF(COUNTIF(A$2:A217, A217)=1, IF(COUNTIF(A$2:A$2001, A217)&gt;1, 1, 0), 0)</f>
        <v>0</v>
      </c>
      <c r="M217" t="b">
        <f>VLOOKUP(D217, Products!A$2:F$61, 6, FALSE)</f>
        <v>1</v>
      </c>
      <c r="N217" t="str">
        <f>VLOOKUP(D217, Products!A$2:C$61, 3, FALSE)</f>
        <v>Grocery</v>
      </c>
      <c r="O217" t="str">
        <f>VLOOKUP(C217, Customers!A$2:E$301, 5, FALSE)</f>
        <v>Corporate</v>
      </c>
      <c r="P217">
        <f>VLOOKUP(C217, Customers!A$2:C$301, 3, FALSE)</f>
        <v>55</v>
      </c>
      <c r="Q217" t="str">
        <f>VLOOKUP(E217, Sales_Reps!A$2:C$31, 3, FALSE)</f>
        <v>South</v>
      </c>
      <c r="R217">
        <f>VLOOKUP(D217, Products!A$2:D$61, 4, FALSE)</f>
        <v>2436</v>
      </c>
    </row>
    <row r="218" spans="1:18" x14ac:dyDescent="0.3">
      <c r="A218" s="13" t="s">
        <v>550</v>
      </c>
      <c r="B218" s="14">
        <v>45653</v>
      </c>
      <c r="C218" s="13" t="s">
        <v>551</v>
      </c>
      <c r="D218" s="13" t="s">
        <v>264</v>
      </c>
      <c r="E218" s="13" t="s">
        <v>285</v>
      </c>
      <c r="F218" s="15">
        <v>9</v>
      </c>
      <c r="G218" s="15">
        <v>4070</v>
      </c>
      <c r="H218" s="15">
        <v>28.2</v>
      </c>
      <c r="I218" s="15">
        <v>26300.34</v>
      </c>
      <c r="J218" s="13" t="s">
        <v>87</v>
      </c>
      <c r="K218" s="13" t="s">
        <v>112</v>
      </c>
      <c r="L218">
        <f>IF(COUNTIF(A$2:A218, A218)=1, IF(COUNTIF(A$2:A$2001, A218)&gt;1, 1, 0), 0)</f>
        <v>0</v>
      </c>
      <c r="M218" t="b">
        <f>VLOOKUP(D218, Products!A$2:F$61, 6, FALSE)</f>
        <v>1</v>
      </c>
      <c r="N218" t="str">
        <f>VLOOKUP(D218, Products!A$2:C$61, 3, FALSE)</f>
        <v>Grocery</v>
      </c>
      <c r="O218" t="str">
        <f>VLOOKUP(C218, Customers!A$2:E$301, 5, FALSE)</f>
        <v>Corporate</v>
      </c>
      <c r="P218">
        <f>VLOOKUP(C218, Customers!A$2:C$301, 3, FALSE)</f>
        <v>60</v>
      </c>
      <c r="Q218" t="str">
        <f>VLOOKUP(E218, Sales_Reps!A$2:C$31, 3, FALSE)</f>
        <v>East</v>
      </c>
      <c r="R218">
        <f>VLOOKUP(D218, Products!A$2:D$61, 4, FALSE)</f>
        <v>2027</v>
      </c>
    </row>
    <row r="219" spans="1:18" x14ac:dyDescent="0.3">
      <c r="A219" s="13" t="s">
        <v>552</v>
      </c>
      <c r="B219" s="14">
        <v>45424</v>
      </c>
      <c r="C219" s="13" t="s">
        <v>553</v>
      </c>
      <c r="D219" s="13" t="s">
        <v>279</v>
      </c>
      <c r="E219" s="13" t="s">
        <v>103</v>
      </c>
      <c r="F219" s="15">
        <v>9</v>
      </c>
      <c r="G219" s="15">
        <v>2660</v>
      </c>
      <c r="H219" s="15">
        <v>13.1</v>
      </c>
      <c r="I219" s="15">
        <v>20803.86</v>
      </c>
      <c r="J219" s="13" t="s">
        <v>93</v>
      </c>
      <c r="K219" s="13" t="s">
        <v>112</v>
      </c>
      <c r="L219">
        <f>IF(COUNTIF(A$2:A219, A219)=1, IF(COUNTIF(A$2:A$2001, A219)&gt;1, 1, 0), 0)</f>
        <v>0</v>
      </c>
      <c r="M219" t="b">
        <f>VLOOKUP(D219, Products!A$2:F$61, 6, FALSE)</f>
        <v>0</v>
      </c>
      <c r="N219" t="str">
        <f>VLOOKUP(D219, Products!A$2:C$61, 3, FALSE)</f>
        <v>Electronics</v>
      </c>
      <c r="O219" t="str">
        <f>VLOOKUP(C219, Customers!A$2:E$301, 5, FALSE)</f>
        <v>Retail</v>
      </c>
      <c r="P219">
        <f>VLOOKUP(C219, Customers!A$2:C$301, 3, FALSE)</f>
        <v>65</v>
      </c>
      <c r="Q219" t="str">
        <f>VLOOKUP(E219, Sales_Reps!A$2:C$31, 3, FALSE)</f>
        <v>North</v>
      </c>
      <c r="R219">
        <f>VLOOKUP(D219, Products!A$2:D$61, 4, FALSE)</f>
        <v>1259</v>
      </c>
    </row>
    <row r="220" spans="1:18" x14ac:dyDescent="0.3">
      <c r="A220" s="13" t="s">
        <v>554</v>
      </c>
      <c r="B220" s="14">
        <v>45400</v>
      </c>
      <c r="C220" s="13" t="s">
        <v>555</v>
      </c>
      <c r="D220" s="13" t="s">
        <v>187</v>
      </c>
      <c r="E220" s="13" t="s">
        <v>139</v>
      </c>
      <c r="F220" s="15">
        <v>4</v>
      </c>
      <c r="G220" s="15">
        <v>3570</v>
      </c>
      <c r="H220" s="15">
        <v>1.5</v>
      </c>
      <c r="I220" s="15">
        <v>14065.8</v>
      </c>
      <c r="J220" s="13" t="s">
        <v>140</v>
      </c>
      <c r="K220" s="13" t="s">
        <v>112</v>
      </c>
      <c r="L220">
        <f>IF(COUNTIF(A$2:A220, A220)=1, IF(COUNTIF(A$2:A$2001, A220)&gt;1, 1, 0), 0)</f>
        <v>0</v>
      </c>
      <c r="M220" t="b">
        <f>VLOOKUP(D220, Products!A$2:F$61, 6, FALSE)</f>
        <v>1</v>
      </c>
      <c r="N220" t="str">
        <f>VLOOKUP(D220, Products!A$2:C$61, 3, FALSE)</f>
        <v>Electronics</v>
      </c>
      <c r="O220" t="str">
        <f>VLOOKUP(C220, Customers!A$2:E$301, 5, FALSE)</f>
        <v>Retail</v>
      </c>
      <c r="P220">
        <f>VLOOKUP(C220, Customers!A$2:C$301, 3, FALSE)</f>
        <v>37</v>
      </c>
      <c r="Q220" t="str">
        <f>VLOOKUP(E220, Sales_Reps!A$2:C$31, 3, FALSE)</f>
        <v>North</v>
      </c>
      <c r="R220">
        <f>VLOOKUP(D220, Products!A$2:D$61, 4, FALSE)</f>
        <v>1665</v>
      </c>
    </row>
    <row r="221" spans="1:18" x14ac:dyDescent="0.3">
      <c r="A221" s="13" t="s">
        <v>556</v>
      </c>
      <c r="B221" s="14">
        <v>45531</v>
      </c>
      <c r="C221" s="13" t="s">
        <v>557</v>
      </c>
      <c r="D221" s="13" t="s">
        <v>380</v>
      </c>
      <c r="E221" s="13" t="s">
        <v>215</v>
      </c>
      <c r="F221" s="15">
        <v>2</v>
      </c>
      <c r="G221" s="15">
        <v>960</v>
      </c>
      <c r="H221" s="15">
        <v>18.600000000000001</v>
      </c>
      <c r="I221" s="15">
        <v>1562.88</v>
      </c>
      <c r="J221" s="13" t="s">
        <v>87</v>
      </c>
      <c r="K221" s="13" t="s">
        <v>112</v>
      </c>
      <c r="L221">
        <f>IF(COUNTIF(A$2:A221, A221)=1, IF(COUNTIF(A$2:A$2001, A221)&gt;1, 1, 0), 0)</f>
        <v>0</v>
      </c>
      <c r="M221" t="b">
        <f>VLOOKUP(D221, Products!A$2:F$61, 6, FALSE)</f>
        <v>1</v>
      </c>
      <c r="N221" t="str">
        <f>VLOOKUP(D221, Products!A$2:C$61, 3, FALSE)</f>
        <v>Beauty</v>
      </c>
      <c r="O221" t="str">
        <f>VLOOKUP(C221, Customers!A$2:E$301, 5, FALSE)</f>
        <v>Retail</v>
      </c>
      <c r="P221">
        <f>VLOOKUP(C221, Customers!A$2:C$301, 3, FALSE)</f>
        <v>65</v>
      </c>
      <c r="Q221" t="str">
        <f>VLOOKUP(E221, Sales_Reps!A$2:C$31, 3, FALSE)</f>
        <v>North</v>
      </c>
      <c r="R221">
        <f>VLOOKUP(D221, Products!A$2:D$61, 4, FALSE)</f>
        <v>675</v>
      </c>
    </row>
    <row r="222" spans="1:18" x14ac:dyDescent="0.3">
      <c r="A222" s="13" t="s">
        <v>558</v>
      </c>
      <c r="B222" s="14">
        <v>45546</v>
      </c>
      <c r="C222" s="13" t="s">
        <v>559</v>
      </c>
      <c r="D222" s="13" t="s">
        <v>157</v>
      </c>
      <c r="E222" s="13" t="s">
        <v>303</v>
      </c>
      <c r="F222" s="15">
        <v>2</v>
      </c>
      <c r="G222" s="15">
        <v>3450</v>
      </c>
      <c r="H222" s="15">
        <v>3.7</v>
      </c>
      <c r="I222" s="15">
        <v>6644.7</v>
      </c>
      <c r="J222" s="13" t="s">
        <v>87</v>
      </c>
      <c r="K222" s="13" t="s">
        <v>88</v>
      </c>
      <c r="L222">
        <f>IF(COUNTIF(A$2:A222, A222)=1, IF(COUNTIF(A$2:A$2001, A222)&gt;1, 1, 0), 0)</f>
        <v>0</v>
      </c>
      <c r="M222" t="b">
        <f>VLOOKUP(D222, Products!A$2:F$61, 6, FALSE)</f>
        <v>1</v>
      </c>
      <c r="N222" t="str">
        <f>VLOOKUP(D222, Products!A$2:C$61, 3, FALSE)</f>
        <v>Beauty</v>
      </c>
      <c r="O222" t="str">
        <f>VLOOKUP(C222, Customers!A$2:E$301, 5, FALSE)</f>
        <v>Retail</v>
      </c>
      <c r="P222">
        <f>VLOOKUP(C222, Customers!A$2:C$301, 3, FALSE)</f>
        <v>62</v>
      </c>
      <c r="Q222" t="str">
        <f>VLOOKUP(E222, Sales_Reps!A$2:C$31, 3, FALSE)</f>
        <v>East</v>
      </c>
      <c r="R222">
        <f>VLOOKUP(D222, Products!A$2:D$61, 4, FALSE)</f>
        <v>2420</v>
      </c>
    </row>
    <row r="223" spans="1:18" x14ac:dyDescent="0.3">
      <c r="A223" s="13" t="s">
        <v>560</v>
      </c>
      <c r="B223" s="14">
        <v>45608</v>
      </c>
      <c r="C223" s="13" t="s">
        <v>561</v>
      </c>
      <c r="D223" s="13" t="s">
        <v>191</v>
      </c>
      <c r="E223" s="13" t="s">
        <v>86</v>
      </c>
      <c r="F223" s="15">
        <v>6</v>
      </c>
      <c r="G223" s="15">
        <v>5100</v>
      </c>
      <c r="H223" s="15">
        <v>1.2</v>
      </c>
      <c r="I223" s="15">
        <v>30232.799999999999</v>
      </c>
      <c r="J223" s="13" t="s">
        <v>87</v>
      </c>
      <c r="K223" s="13" t="s">
        <v>133</v>
      </c>
      <c r="L223">
        <f>IF(COUNTIF(A$2:A223, A223)=1, IF(COUNTIF(A$2:A$2001, A223)&gt;1, 1, 0), 0)</f>
        <v>0</v>
      </c>
      <c r="M223" t="b">
        <f>VLOOKUP(D223, Products!A$2:F$61, 6, FALSE)</f>
        <v>1</v>
      </c>
      <c r="N223" t="str">
        <f>VLOOKUP(D223, Products!A$2:C$61, 3, FALSE)</f>
        <v>Beauty</v>
      </c>
      <c r="O223" t="str">
        <f>VLOOKUP(C223, Customers!A$2:E$301, 5, FALSE)</f>
        <v>SMB</v>
      </c>
      <c r="P223">
        <f>VLOOKUP(C223, Customers!A$2:C$301, 3, FALSE)</f>
        <v>43</v>
      </c>
      <c r="Q223" t="str">
        <f>VLOOKUP(E223, Sales_Reps!A$2:C$31, 3, FALSE)</f>
        <v>North</v>
      </c>
      <c r="R223">
        <f>VLOOKUP(D223, Products!A$2:D$61, 4, FALSE)</f>
        <v>2237</v>
      </c>
    </row>
    <row r="224" spans="1:18" x14ac:dyDescent="0.3">
      <c r="A224" s="13" t="s">
        <v>562</v>
      </c>
      <c r="B224" s="14">
        <v>45614</v>
      </c>
      <c r="C224" s="13" t="s">
        <v>563</v>
      </c>
      <c r="D224" s="13" t="s">
        <v>282</v>
      </c>
      <c r="E224" s="13" t="s">
        <v>92</v>
      </c>
      <c r="F224" s="15">
        <v>9</v>
      </c>
      <c r="G224" s="15">
        <v>300</v>
      </c>
      <c r="H224" s="15">
        <v>25.4</v>
      </c>
      <c r="I224" s="15">
        <v>2014.2</v>
      </c>
      <c r="J224" s="13" t="s">
        <v>140</v>
      </c>
      <c r="K224" s="13" t="s">
        <v>88</v>
      </c>
      <c r="L224">
        <f>IF(COUNTIF(A$2:A224, A224)=1, IF(COUNTIF(A$2:A$2001, A224)&gt;1, 1, 0), 0)</f>
        <v>0</v>
      </c>
      <c r="M224" t="b">
        <f>VLOOKUP(D224, Products!A$2:F$61, 6, FALSE)</f>
        <v>1</v>
      </c>
      <c r="N224" t="str">
        <f>VLOOKUP(D224, Products!A$2:C$61, 3, FALSE)</f>
        <v>Electronics</v>
      </c>
      <c r="O224" t="str">
        <f>VLOOKUP(C224, Customers!A$2:E$301, 5, FALSE)</f>
        <v>SMB</v>
      </c>
      <c r="P224">
        <f>VLOOKUP(C224, Customers!A$2:C$301, 3, FALSE)</f>
        <v>24</v>
      </c>
      <c r="Q224" t="str">
        <f>VLOOKUP(E224, Sales_Reps!A$2:C$31, 3, FALSE)</f>
        <v>North</v>
      </c>
      <c r="R224">
        <f>VLOOKUP(D224, Products!A$2:D$61, 4, FALSE)</f>
        <v>128</v>
      </c>
    </row>
    <row r="225" spans="1:18" x14ac:dyDescent="0.3">
      <c r="A225" s="13" t="s">
        <v>564</v>
      </c>
      <c r="B225" s="14">
        <v>45405</v>
      </c>
      <c r="C225" s="13" t="s">
        <v>565</v>
      </c>
      <c r="D225" s="13" t="s">
        <v>184</v>
      </c>
      <c r="E225" s="13" t="s">
        <v>192</v>
      </c>
      <c r="F225" s="15">
        <v>7</v>
      </c>
      <c r="G225" s="15">
        <v>4880</v>
      </c>
      <c r="H225" s="15">
        <v>16.899999999999999</v>
      </c>
      <c r="I225" s="15">
        <v>28386.959999999999</v>
      </c>
      <c r="J225" s="13" t="s">
        <v>93</v>
      </c>
      <c r="K225" s="13" t="s">
        <v>112</v>
      </c>
      <c r="L225">
        <f>IF(COUNTIF(A$2:A225, A225)=1, IF(COUNTIF(A$2:A$2001, A225)&gt;1, 1, 0), 0)</f>
        <v>0</v>
      </c>
      <c r="M225" t="b">
        <f>VLOOKUP(D225, Products!A$2:F$61, 6, FALSE)</f>
        <v>1</v>
      </c>
      <c r="N225" t="str">
        <f>VLOOKUP(D225, Products!A$2:C$61, 3, FALSE)</f>
        <v>Beauty</v>
      </c>
      <c r="O225" t="str">
        <f>VLOOKUP(C225, Customers!A$2:E$301, 5, FALSE)</f>
        <v>SMB</v>
      </c>
      <c r="P225">
        <f>VLOOKUP(C225, Customers!A$2:C$301, 3, FALSE)</f>
        <v>61</v>
      </c>
      <c r="Q225" t="str">
        <f>VLOOKUP(E225, Sales_Reps!A$2:C$31, 3, FALSE)</f>
        <v>East</v>
      </c>
      <c r="R225">
        <f>VLOOKUP(D225, Products!A$2:D$61, 4, FALSE)</f>
        <v>2768</v>
      </c>
    </row>
    <row r="226" spans="1:18" x14ac:dyDescent="0.3">
      <c r="A226" s="13" t="s">
        <v>566</v>
      </c>
      <c r="B226" s="14">
        <v>45504</v>
      </c>
      <c r="C226" s="13" t="s">
        <v>567</v>
      </c>
      <c r="D226" s="13" t="s">
        <v>143</v>
      </c>
      <c r="E226" s="13" t="s">
        <v>154</v>
      </c>
      <c r="F226" s="15">
        <v>9</v>
      </c>
      <c r="G226" s="15">
        <v>3250</v>
      </c>
      <c r="H226" s="15">
        <v>10.8</v>
      </c>
      <c r="I226" s="15">
        <v>26091</v>
      </c>
      <c r="J226" s="13" t="s">
        <v>140</v>
      </c>
      <c r="K226" s="13" t="s">
        <v>117</v>
      </c>
      <c r="L226">
        <f>IF(COUNTIF(A$2:A226, A226)=1, IF(COUNTIF(A$2:A$2001, A226)&gt;1, 1, 0), 0)</f>
        <v>0</v>
      </c>
      <c r="M226" t="b">
        <f>VLOOKUP(D226, Products!A$2:F$61, 6, FALSE)</f>
        <v>1</v>
      </c>
      <c r="N226" t="str">
        <f>VLOOKUP(D226, Products!A$2:C$61, 3, FALSE)</f>
        <v>Home</v>
      </c>
      <c r="O226" t="str">
        <f>VLOOKUP(C226, Customers!A$2:E$301, 5, FALSE)</f>
        <v>Corporate</v>
      </c>
      <c r="P226">
        <f>VLOOKUP(C226, Customers!A$2:C$301, 3, FALSE)</f>
        <v>41</v>
      </c>
      <c r="Q226" t="str">
        <f>VLOOKUP(E226, Sales_Reps!A$2:C$31, 3, FALSE)</f>
        <v>East</v>
      </c>
      <c r="R226">
        <f>VLOOKUP(D226, Products!A$2:D$61, 4, FALSE)</f>
        <v>1556</v>
      </c>
    </row>
    <row r="227" spans="1:18" x14ac:dyDescent="0.3">
      <c r="A227" s="13" t="s">
        <v>568</v>
      </c>
      <c r="B227" s="14">
        <v>45298</v>
      </c>
      <c r="C227" s="13" t="s">
        <v>442</v>
      </c>
      <c r="D227" s="13" t="s">
        <v>157</v>
      </c>
      <c r="E227" s="13" t="s">
        <v>103</v>
      </c>
      <c r="F227" s="15">
        <v>3</v>
      </c>
      <c r="G227" s="15">
        <v>3450</v>
      </c>
      <c r="H227" s="15">
        <v>5.4</v>
      </c>
      <c r="I227" s="15">
        <v>9791.1</v>
      </c>
      <c r="J227" s="13" t="s">
        <v>93</v>
      </c>
      <c r="K227" s="13" t="s">
        <v>88</v>
      </c>
      <c r="L227">
        <f>IF(COUNTIF(A$2:A227, A227)=1, IF(COUNTIF(A$2:A$2001, A227)&gt;1, 1, 0), 0)</f>
        <v>0</v>
      </c>
      <c r="M227" t="b">
        <f>VLOOKUP(D227, Products!A$2:F$61, 6, FALSE)</f>
        <v>1</v>
      </c>
      <c r="N227" t="str">
        <f>VLOOKUP(D227, Products!A$2:C$61, 3, FALSE)</f>
        <v>Beauty</v>
      </c>
      <c r="O227" t="str">
        <f>VLOOKUP(C227, Customers!A$2:E$301, 5, FALSE)</f>
        <v>Retail</v>
      </c>
      <c r="P227">
        <f>VLOOKUP(C227, Customers!A$2:C$301, 3, FALSE)</f>
        <v>65</v>
      </c>
      <c r="Q227" t="str">
        <f>VLOOKUP(E227, Sales_Reps!A$2:C$31, 3, FALSE)</f>
        <v>North</v>
      </c>
      <c r="R227">
        <f>VLOOKUP(D227, Products!A$2:D$61, 4, FALSE)</f>
        <v>2420</v>
      </c>
    </row>
    <row r="228" spans="1:18" x14ac:dyDescent="0.3">
      <c r="A228" s="13" t="s">
        <v>569</v>
      </c>
      <c r="B228" s="14">
        <v>45346</v>
      </c>
      <c r="C228" s="13" t="s">
        <v>570</v>
      </c>
      <c r="D228" s="13" t="s">
        <v>241</v>
      </c>
      <c r="E228" s="13" t="s">
        <v>158</v>
      </c>
      <c r="F228" s="15">
        <v>5</v>
      </c>
      <c r="G228" s="15">
        <v>6080</v>
      </c>
      <c r="H228" s="15">
        <v>18</v>
      </c>
      <c r="I228" s="15">
        <v>24928</v>
      </c>
      <c r="J228" s="13" t="s">
        <v>87</v>
      </c>
      <c r="K228" s="13" t="s">
        <v>99</v>
      </c>
      <c r="L228">
        <f>IF(COUNTIF(A$2:A228, A228)=1, IF(COUNTIF(A$2:A$2001, A228)&gt;1, 1, 0), 0)</f>
        <v>0</v>
      </c>
      <c r="M228" t="b">
        <f>VLOOKUP(D228, Products!A$2:F$61, 6, FALSE)</f>
        <v>1</v>
      </c>
      <c r="N228" t="str">
        <f>VLOOKUP(D228, Products!A$2:C$61, 3, FALSE)</f>
        <v>Beauty</v>
      </c>
      <c r="O228" t="str">
        <f>VLOOKUP(C228, Customers!A$2:E$301, 5, FALSE)</f>
        <v>Corporate</v>
      </c>
      <c r="P228">
        <f>VLOOKUP(C228, Customers!A$2:C$301, 3, FALSE)</f>
        <v>47</v>
      </c>
      <c r="Q228" t="str">
        <f>VLOOKUP(E228, Sales_Reps!A$2:C$31, 3, FALSE)</f>
        <v>East</v>
      </c>
      <c r="R228">
        <f>VLOOKUP(D228, Products!A$2:D$61, 4, FALSE)</f>
        <v>2617</v>
      </c>
    </row>
    <row r="229" spans="1:18" x14ac:dyDescent="0.3">
      <c r="A229" s="13" t="s">
        <v>571</v>
      </c>
      <c r="B229" s="14">
        <v>45487</v>
      </c>
      <c r="C229" s="13" t="s">
        <v>440</v>
      </c>
      <c r="D229" s="13" t="s">
        <v>241</v>
      </c>
      <c r="E229" s="13" t="s">
        <v>285</v>
      </c>
      <c r="F229" s="15">
        <v>7</v>
      </c>
      <c r="G229" s="15">
        <v>6080</v>
      </c>
      <c r="H229" s="15">
        <v>9.1999999999999993</v>
      </c>
      <c r="I229" s="15">
        <v>38644.480000000003</v>
      </c>
      <c r="J229" s="13" t="s">
        <v>87</v>
      </c>
      <c r="K229" s="13" t="s">
        <v>88</v>
      </c>
      <c r="L229">
        <f>IF(COUNTIF(A$2:A229, A229)=1, IF(COUNTIF(A$2:A$2001, A229)&gt;1, 1, 0), 0)</f>
        <v>0</v>
      </c>
      <c r="M229" t="b">
        <f>VLOOKUP(D229, Products!A$2:F$61, 6, FALSE)</f>
        <v>1</v>
      </c>
      <c r="N229" t="str">
        <f>VLOOKUP(D229, Products!A$2:C$61, 3, FALSE)</f>
        <v>Beauty</v>
      </c>
      <c r="O229" t="str">
        <f>VLOOKUP(C229, Customers!A$2:E$301, 5, FALSE)</f>
        <v>SMB</v>
      </c>
      <c r="P229">
        <f>VLOOKUP(C229, Customers!A$2:C$301, 3, FALSE)</f>
        <v>30</v>
      </c>
      <c r="Q229" t="str">
        <f>VLOOKUP(E229, Sales_Reps!A$2:C$31, 3, FALSE)</f>
        <v>East</v>
      </c>
      <c r="R229">
        <f>VLOOKUP(D229, Products!A$2:D$61, 4, FALSE)</f>
        <v>2617</v>
      </c>
    </row>
    <row r="230" spans="1:18" x14ac:dyDescent="0.3">
      <c r="A230" s="13" t="s">
        <v>572</v>
      </c>
      <c r="B230" s="14">
        <v>45585</v>
      </c>
      <c r="C230" s="13" t="s">
        <v>539</v>
      </c>
      <c r="D230" s="13" t="s">
        <v>131</v>
      </c>
      <c r="E230" s="13" t="s">
        <v>98</v>
      </c>
      <c r="F230" s="15">
        <v>5</v>
      </c>
      <c r="G230" s="15">
        <v>2270</v>
      </c>
      <c r="H230" s="15">
        <v>0.4</v>
      </c>
      <c r="I230" s="15">
        <v>11304.6</v>
      </c>
      <c r="J230" s="13" t="s">
        <v>140</v>
      </c>
      <c r="K230" s="13" t="s">
        <v>133</v>
      </c>
      <c r="L230">
        <f>IF(COUNTIF(A$2:A230, A230)=1, IF(COUNTIF(A$2:A$2001, A230)&gt;1, 1, 0), 0)</f>
        <v>0</v>
      </c>
      <c r="M230" t="b">
        <f>VLOOKUP(D230, Products!A$2:F$61, 6, FALSE)</f>
        <v>1</v>
      </c>
      <c r="N230" t="str">
        <f>VLOOKUP(D230, Products!A$2:C$61, 3, FALSE)</f>
        <v>Grocery</v>
      </c>
      <c r="O230" t="str">
        <f>VLOOKUP(C230, Customers!A$2:E$301, 5, FALSE)</f>
        <v>Retail</v>
      </c>
      <c r="P230">
        <f>VLOOKUP(C230, Customers!A$2:C$301, 3, FALSE)</f>
        <v>38</v>
      </c>
      <c r="Q230" t="str">
        <f>VLOOKUP(E230, Sales_Reps!A$2:C$31, 3, FALSE)</f>
        <v>South</v>
      </c>
      <c r="R230">
        <f>VLOOKUP(D230, Products!A$2:D$61, 4, FALSE)</f>
        <v>1203</v>
      </c>
    </row>
    <row r="231" spans="1:18" x14ac:dyDescent="0.3">
      <c r="A231" s="13" t="s">
        <v>573</v>
      </c>
      <c r="B231" s="14">
        <v>45373</v>
      </c>
      <c r="C231" s="13" t="s">
        <v>371</v>
      </c>
      <c r="D231" s="13" t="s">
        <v>184</v>
      </c>
      <c r="E231" s="13" t="s">
        <v>346</v>
      </c>
      <c r="F231" s="15">
        <v>10</v>
      </c>
      <c r="G231" s="15">
        <v>4880</v>
      </c>
      <c r="H231" s="15">
        <v>24.5</v>
      </c>
      <c r="I231" s="15">
        <v>36844</v>
      </c>
      <c r="J231" s="13" t="s">
        <v>144</v>
      </c>
      <c r="K231" s="13" t="s">
        <v>112</v>
      </c>
      <c r="L231">
        <f>IF(COUNTIF(A$2:A231, A231)=1, IF(COUNTIF(A$2:A$2001, A231)&gt;1, 1, 0), 0)</f>
        <v>0</v>
      </c>
      <c r="M231" t="b">
        <f>VLOOKUP(D231, Products!A$2:F$61, 6, FALSE)</f>
        <v>1</v>
      </c>
      <c r="N231" t="str">
        <f>VLOOKUP(D231, Products!A$2:C$61, 3, FALSE)</f>
        <v>Beauty</v>
      </c>
      <c r="O231" t="str">
        <f>VLOOKUP(C231, Customers!A$2:E$301, 5, FALSE)</f>
        <v>Retail</v>
      </c>
      <c r="P231">
        <f>VLOOKUP(C231, Customers!A$2:C$301, 3, FALSE)</f>
        <v>42</v>
      </c>
      <c r="Q231" t="str">
        <f>VLOOKUP(E231, Sales_Reps!A$2:C$31, 3, FALSE)</f>
        <v>South</v>
      </c>
      <c r="R231">
        <f>VLOOKUP(D231, Products!A$2:D$61, 4, FALSE)</f>
        <v>2768</v>
      </c>
    </row>
    <row r="232" spans="1:18" x14ac:dyDescent="0.3">
      <c r="A232" s="13" t="s">
        <v>574</v>
      </c>
      <c r="B232" s="14">
        <v>45293</v>
      </c>
      <c r="C232" s="13" t="s">
        <v>178</v>
      </c>
      <c r="D232" s="13" t="s">
        <v>367</v>
      </c>
      <c r="E232" s="13" t="s">
        <v>297</v>
      </c>
      <c r="F232" s="15">
        <v>2</v>
      </c>
      <c r="G232" s="15">
        <v>2380</v>
      </c>
      <c r="H232" s="15">
        <v>2.2999999999999998</v>
      </c>
      <c r="I232" s="15">
        <v>4650.5200000000004</v>
      </c>
      <c r="J232" s="13" t="s">
        <v>87</v>
      </c>
      <c r="K232" s="13" t="s">
        <v>94</v>
      </c>
      <c r="L232">
        <f>IF(COUNTIF(A$2:A232, A232)=1, IF(COUNTIF(A$2:A$2001, A232)&gt;1, 1, 0), 0)</f>
        <v>0</v>
      </c>
      <c r="M232" t="b">
        <f>VLOOKUP(D232, Products!A$2:F$61, 6, FALSE)</f>
        <v>1</v>
      </c>
      <c r="N232" t="str">
        <f>VLOOKUP(D232, Products!A$2:C$61, 3, FALSE)</f>
        <v>Grocery</v>
      </c>
      <c r="O232" t="str">
        <f>VLOOKUP(C232, Customers!A$2:E$301, 5, FALSE)</f>
        <v>Corporate</v>
      </c>
      <c r="P232">
        <f>VLOOKUP(C232, Customers!A$2:C$301, 3, FALSE)</f>
        <v>55</v>
      </c>
      <c r="Q232" t="str">
        <f>VLOOKUP(E232, Sales_Reps!A$2:C$31, 3, FALSE)</f>
        <v>North</v>
      </c>
      <c r="R232">
        <f>VLOOKUP(D232, Products!A$2:D$61, 4, FALSE)</f>
        <v>1182</v>
      </c>
    </row>
    <row r="233" spans="1:18" x14ac:dyDescent="0.3">
      <c r="A233" s="13" t="s">
        <v>575</v>
      </c>
      <c r="B233" s="14">
        <v>45498</v>
      </c>
      <c r="C233" s="13" t="s">
        <v>289</v>
      </c>
      <c r="D233" s="13" t="s">
        <v>182</v>
      </c>
      <c r="E233" s="13" t="s">
        <v>111</v>
      </c>
      <c r="F233" s="15">
        <v>1</v>
      </c>
      <c r="G233" s="15">
        <v>1010</v>
      </c>
      <c r="H233" s="15">
        <v>29.9</v>
      </c>
      <c r="I233" s="15">
        <v>708.01</v>
      </c>
      <c r="J233" s="13" t="s">
        <v>87</v>
      </c>
      <c r="K233" s="13" t="s">
        <v>94</v>
      </c>
      <c r="L233">
        <f>IF(COUNTIF(A$2:A233, A233)=1, IF(COUNTIF(A$2:A$2001, A233)&gt;1, 1, 0), 0)</f>
        <v>0</v>
      </c>
      <c r="M233" t="b">
        <f>VLOOKUP(D233, Products!A$2:F$61, 6, FALSE)</f>
        <v>1</v>
      </c>
      <c r="N233" t="str">
        <f>VLOOKUP(D233, Products!A$2:C$61, 3, FALSE)</f>
        <v>Sports</v>
      </c>
      <c r="O233" t="str">
        <f>VLOOKUP(C233, Customers!A$2:E$301, 5, FALSE)</f>
        <v>Retail</v>
      </c>
      <c r="P233">
        <f>VLOOKUP(C233, Customers!A$2:C$301, 3, FALSE)</f>
        <v>38</v>
      </c>
      <c r="Q233" t="str">
        <f>VLOOKUP(E233, Sales_Reps!A$2:C$31, 3, FALSE)</f>
        <v>West</v>
      </c>
      <c r="R233">
        <f>VLOOKUP(D233, Products!A$2:D$61, 4, FALSE)</f>
        <v>516</v>
      </c>
    </row>
    <row r="234" spans="1:18" x14ac:dyDescent="0.3">
      <c r="A234" s="13" t="s">
        <v>576</v>
      </c>
      <c r="B234" s="14">
        <v>45643</v>
      </c>
      <c r="C234" s="13" t="s">
        <v>312</v>
      </c>
      <c r="D234" s="13" t="s">
        <v>515</v>
      </c>
      <c r="E234" s="13" t="s">
        <v>229</v>
      </c>
      <c r="F234" s="15">
        <v>7</v>
      </c>
      <c r="G234" s="15">
        <v>6940</v>
      </c>
      <c r="H234" s="15">
        <v>25.8</v>
      </c>
      <c r="I234" s="15">
        <v>36046.36</v>
      </c>
      <c r="J234" s="13" t="s">
        <v>87</v>
      </c>
      <c r="K234" s="13" t="s">
        <v>133</v>
      </c>
      <c r="L234">
        <f>IF(COUNTIF(A$2:A234, A234)=1, IF(COUNTIF(A$2:A$2001, A234)&gt;1, 1, 0), 0)</f>
        <v>0</v>
      </c>
      <c r="M234" t="b">
        <f>VLOOKUP(D234, Products!A$2:F$61, 6, FALSE)</f>
        <v>1</v>
      </c>
      <c r="N234" t="str">
        <f>VLOOKUP(D234, Products!A$2:C$61, 3, FALSE)</f>
        <v>Sports</v>
      </c>
      <c r="O234" t="str">
        <f>VLOOKUP(C234, Customers!A$2:E$301, 5, FALSE)</f>
        <v>Retail</v>
      </c>
      <c r="P234">
        <f>VLOOKUP(C234, Customers!A$2:C$301, 3, FALSE)</f>
        <v>46</v>
      </c>
      <c r="Q234" t="str">
        <f>VLOOKUP(E234, Sales_Reps!A$2:C$31, 3, FALSE)</f>
        <v>West</v>
      </c>
      <c r="R234">
        <f>VLOOKUP(D234, Products!A$2:D$61, 4, FALSE)</f>
        <v>2827</v>
      </c>
    </row>
    <row r="235" spans="1:18" x14ac:dyDescent="0.3">
      <c r="A235" s="13" t="s">
        <v>577</v>
      </c>
      <c r="B235" s="14">
        <v>45542</v>
      </c>
      <c r="C235" s="13" t="s">
        <v>553</v>
      </c>
      <c r="D235" s="13" t="s">
        <v>386</v>
      </c>
      <c r="E235" s="13" t="s">
        <v>116</v>
      </c>
      <c r="F235" s="15">
        <v>6</v>
      </c>
      <c r="G235" s="15">
        <v>2290</v>
      </c>
      <c r="H235" s="15">
        <v>25.9</v>
      </c>
      <c r="I235" s="15">
        <v>10181.34</v>
      </c>
      <c r="J235" s="13" t="s">
        <v>93</v>
      </c>
      <c r="K235" s="13" t="s">
        <v>112</v>
      </c>
      <c r="L235">
        <f>IF(COUNTIF(A$2:A235, A235)=1, IF(COUNTIF(A$2:A$2001, A235)&gt;1, 1, 0), 0)</f>
        <v>0</v>
      </c>
      <c r="M235" t="b">
        <f>VLOOKUP(D235, Products!A$2:F$61, 6, FALSE)</f>
        <v>1</v>
      </c>
      <c r="N235" t="str">
        <f>VLOOKUP(D235, Products!A$2:C$61, 3, FALSE)</f>
        <v>Beauty</v>
      </c>
      <c r="O235" t="str">
        <f>VLOOKUP(C235, Customers!A$2:E$301, 5, FALSE)</f>
        <v>Retail</v>
      </c>
      <c r="P235">
        <f>VLOOKUP(C235, Customers!A$2:C$301, 3, FALSE)</f>
        <v>65</v>
      </c>
      <c r="Q235" t="str">
        <f>VLOOKUP(E235, Sales_Reps!A$2:C$31, 3, FALSE)</f>
        <v>West</v>
      </c>
      <c r="R235">
        <f>VLOOKUP(D235, Products!A$2:D$61, 4, FALSE)</f>
        <v>1219</v>
      </c>
    </row>
    <row r="236" spans="1:18" x14ac:dyDescent="0.3">
      <c r="A236" s="13" t="s">
        <v>578</v>
      </c>
      <c r="B236" s="14">
        <v>45508</v>
      </c>
      <c r="C236" s="13" t="s">
        <v>137</v>
      </c>
      <c r="D236" s="13" t="s">
        <v>110</v>
      </c>
      <c r="E236" s="13" t="s">
        <v>98</v>
      </c>
      <c r="F236" s="15">
        <v>2</v>
      </c>
      <c r="G236" s="15">
        <v>370</v>
      </c>
      <c r="H236" s="15">
        <v>3.9</v>
      </c>
      <c r="I236" s="15">
        <v>711.14</v>
      </c>
      <c r="J236" s="13" t="s">
        <v>87</v>
      </c>
      <c r="K236" s="13" t="s">
        <v>99</v>
      </c>
      <c r="L236">
        <f>IF(COUNTIF(A$2:A236, A236)=1, IF(COUNTIF(A$2:A$2001, A236)&gt;1, 1, 0), 0)</f>
        <v>0</v>
      </c>
      <c r="M236" t="b">
        <f>VLOOKUP(D236, Products!A$2:F$61, 6, FALSE)</f>
        <v>1</v>
      </c>
      <c r="N236" t="str">
        <f>VLOOKUP(D236, Products!A$2:C$61, 3, FALSE)</f>
        <v>Home</v>
      </c>
      <c r="O236" t="str">
        <f>VLOOKUP(C236, Customers!A$2:E$301, 5, FALSE)</f>
        <v>SMB</v>
      </c>
      <c r="P236">
        <f>VLOOKUP(C236, Customers!A$2:C$301, 3, FALSE)</f>
        <v>27</v>
      </c>
      <c r="Q236" t="str">
        <f>VLOOKUP(E236, Sales_Reps!A$2:C$31, 3, FALSE)</f>
        <v>South</v>
      </c>
      <c r="R236">
        <f>VLOOKUP(D236, Products!A$2:D$61, 4, FALSE)</f>
        <v>288</v>
      </c>
    </row>
    <row r="237" spans="1:18" x14ac:dyDescent="0.3">
      <c r="A237" s="13" t="s">
        <v>579</v>
      </c>
      <c r="B237" s="14">
        <v>45353</v>
      </c>
      <c r="C237" s="13" t="s">
        <v>580</v>
      </c>
      <c r="D237" s="13" t="s">
        <v>245</v>
      </c>
      <c r="E237" s="13" t="s">
        <v>192</v>
      </c>
      <c r="F237" s="15">
        <v>1</v>
      </c>
      <c r="G237" s="15">
        <v>2270</v>
      </c>
      <c r="H237" s="15">
        <v>25.3</v>
      </c>
      <c r="I237" s="15">
        <v>1695.69</v>
      </c>
      <c r="J237" s="13" t="s">
        <v>87</v>
      </c>
      <c r="K237" s="13" t="s">
        <v>88</v>
      </c>
      <c r="L237">
        <f>IF(COUNTIF(A$2:A237, A237)=1, IF(COUNTIF(A$2:A$2001, A237)&gt;1, 1, 0), 0)</f>
        <v>0</v>
      </c>
      <c r="M237" t="b">
        <f>VLOOKUP(D237, Products!A$2:F$61, 6, FALSE)</f>
        <v>1</v>
      </c>
      <c r="N237" t="str">
        <f>VLOOKUP(D237, Products!A$2:C$61, 3, FALSE)</f>
        <v>Grocery</v>
      </c>
      <c r="O237" t="str">
        <f>VLOOKUP(C237, Customers!A$2:E$301, 5, FALSE)</f>
        <v>Corporate</v>
      </c>
      <c r="P237">
        <f>VLOOKUP(C237, Customers!A$2:C$301, 3, FALSE)</f>
        <v>40</v>
      </c>
      <c r="Q237" t="str">
        <f>VLOOKUP(E237, Sales_Reps!A$2:C$31, 3, FALSE)</f>
        <v>East</v>
      </c>
      <c r="R237">
        <f>VLOOKUP(D237, Products!A$2:D$61, 4, FALSE)</f>
        <v>1412</v>
      </c>
    </row>
    <row r="238" spans="1:18" x14ac:dyDescent="0.3">
      <c r="A238" s="13" t="s">
        <v>581</v>
      </c>
      <c r="B238" s="14">
        <v>45344</v>
      </c>
      <c r="C238" s="13" t="s">
        <v>582</v>
      </c>
      <c r="D238" s="13" t="s">
        <v>241</v>
      </c>
      <c r="E238" s="13" t="s">
        <v>297</v>
      </c>
      <c r="F238" s="15">
        <v>4</v>
      </c>
      <c r="G238" s="15">
        <v>6080</v>
      </c>
      <c r="H238" s="15">
        <v>28.8</v>
      </c>
      <c r="I238" s="15">
        <v>17315.84</v>
      </c>
      <c r="J238" s="13" t="s">
        <v>93</v>
      </c>
      <c r="K238" s="13" t="s">
        <v>94</v>
      </c>
      <c r="L238">
        <f>IF(COUNTIF(A$2:A238, A238)=1, IF(COUNTIF(A$2:A$2001, A238)&gt;1, 1, 0), 0)</f>
        <v>0</v>
      </c>
      <c r="M238" t="b">
        <f>VLOOKUP(D238, Products!A$2:F$61, 6, FALSE)</f>
        <v>1</v>
      </c>
      <c r="N238" t="str">
        <f>VLOOKUP(D238, Products!A$2:C$61, 3, FALSE)</f>
        <v>Beauty</v>
      </c>
      <c r="O238" t="str">
        <f>VLOOKUP(C238, Customers!A$2:E$301, 5, FALSE)</f>
        <v>SMB</v>
      </c>
      <c r="P238">
        <f>VLOOKUP(C238, Customers!A$2:C$301, 3, FALSE)</f>
        <v>59</v>
      </c>
      <c r="Q238" t="str">
        <f>VLOOKUP(E238, Sales_Reps!A$2:C$31, 3, FALSE)</f>
        <v>North</v>
      </c>
      <c r="R238">
        <f>VLOOKUP(D238, Products!A$2:D$61, 4, FALSE)</f>
        <v>2617</v>
      </c>
    </row>
    <row r="239" spans="1:18" x14ac:dyDescent="0.3">
      <c r="A239" s="13" t="s">
        <v>583</v>
      </c>
      <c r="B239" s="14">
        <v>45389</v>
      </c>
      <c r="C239" s="13" t="s">
        <v>247</v>
      </c>
      <c r="D239" s="13" t="s">
        <v>364</v>
      </c>
      <c r="E239" s="13" t="s">
        <v>303</v>
      </c>
      <c r="F239" s="15">
        <v>2</v>
      </c>
      <c r="G239" s="15">
        <v>5330</v>
      </c>
      <c r="H239" s="15">
        <v>23.8</v>
      </c>
      <c r="I239" s="15">
        <v>8122.92</v>
      </c>
      <c r="J239" s="13" t="s">
        <v>93</v>
      </c>
      <c r="K239" s="13" t="s">
        <v>117</v>
      </c>
      <c r="L239">
        <f>IF(COUNTIF(A$2:A239, A239)=1, IF(COUNTIF(A$2:A$2001, A239)&gt;1, 1, 0), 0)</f>
        <v>0</v>
      </c>
      <c r="M239" t="b">
        <f>VLOOKUP(D239, Products!A$2:F$61, 6, FALSE)</f>
        <v>1</v>
      </c>
      <c r="N239" t="str">
        <f>VLOOKUP(D239, Products!A$2:C$61, 3, FALSE)</f>
        <v>Electronics</v>
      </c>
      <c r="O239" t="str">
        <f>VLOOKUP(C239, Customers!A$2:E$301, 5, FALSE)</f>
        <v>Retail</v>
      </c>
      <c r="P239">
        <f>VLOOKUP(C239, Customers!A$2:C$301, 3, FALSE)</f>
        <v>34</v>
      </c>
      <c r="Q239" t="str">
        <f>VLOOKUP(E239, Sales_Reps!A$2:C$31, 3, FALSE)</f>
        <v>East</v>
      </c>
      <c r="R239">
        <f>VLOOKUP(D239, Products!A$2:D$61, 4, FALSE)</f>
        <v>2405</v>
      </c>
    </row>
    <row r="240" spans="1:18" x14ac:dyDescent="0.3">
      <c r="A240" s="13" t="s">
        <v>584</v>
      </c>
      <c r="B240" s="14">
        <v>45344</v>
      </c>
      <c r="C240" s="13" t="s">
        <v>585</v>
      </c>
      <c r="D240" s="13" t="s">
        <v>264</v>
      </c>
      <c r="E240" s="13" t="s">
        <v>116</v>
      </c>
      <c r="F240" s="15">
        <v>2</v>
      </c>
      <c r="G240" s="15">
        <v>4070</v>
      </c>
      <c r="H240" s="15">
        <v>4.3</v>
      </c>
      <c r="I240" s="15">
        <v>7789.98</v>
      </c>
      <c r="J240" s="13" t="s">
        <v>87</v>
      </c>
      <c r="K240" s="13" t="s">
        <v>94</v>
      </c>
      <c r="L240">
        <f>IF(COUNTIF(A$2:A240, A240)=1, IF(COUNTIF(A$2:A$2001, A240)&gt;1, 1, 0), 0)</f>
        <v>0</v>
      </c>
      <c r="M240" t="b">
        <f>VLOOKUP(D240, Products!A$2:F$61, 6, FALSE)</f>
        <v>1</v>
      </c>
      <c r="N240" t="str">
        <f>VLOOKUP(D240, Products!A$2:C$61, 3, FALSE)</f>
        <v>Grocery</v>
      </c>
      <c r="O240" t="str">
        <f>VLOOKUP(C240, Customers!A$2:E$301, 5, FALSE)</f>
        <v>Retail</v>
      </c>
      <c r="P240">
        <f>VLOOKUP(C240, Customers!A$2:C$301, 3, FALSE)</f>
        <v>26</v>
      </c>
      <c r="Q240" t="str">
        <f>VLOOKUP(E240, Sales_Reps!A$2:C$31, 3, FALSE)</f>
        <v>West</v>
      </c>
      <c r="R240">
        <f>VLOOKUP(D240, Products!A$2:D$61, 4, FALSE)</f>
        <v>2027</v>
      </c>
    </row>
    <row r="241" spans="1:18" x14ac:dyDescent="0.3">
      <c r="A241" s="13" t="s">
        <v>586</v>
      </c>
      <c r="B241" s="14">
        <v>45480</v>
      </c>
      <c r="C241" s="13" t="s">
        <v>460</v>
      </c>
      <c r="D241" s="13" t="s">
        <v>282</v>
      </c>
      <c r="E241" s="13" t="s">
        <v>139</v>
      </c>
      <c r="F241" s="15">
        <v>6</v>
      </c>
      <c r="G241" s="15">
        <v>300</v>
      </c>
      <c r="H241" s="15">
        <v>17.399999999999999</v>
      </c>
      <c r="I241" s="15">
        <v>1486.8</v>
      </c>
      <c r="J241" s="13" t="s">
        <v>140</v>
      </c>
      <c r="K241" s="13" t="s">
        <v>88</v>
      </c>
      <c r="L241">
        <f>IF(COUNTIF(A$2:A241, A241)=1, IF(COUNTIF(A$2:A$2001, A241)&gt;1, 1, 0), 0)</f>
        <v>0</v>
      </c>
      <c r="M241" t="b">
        <f>VLOOKUP(D241, Products!A$2:F$61, 6, FALSE)</f>
        <v>1</v>
      </c>
      <c r="N241" t="str">
        <f>VLOOKUP(D241, Products!A$2:C$61, 3, FALSE)</f>
        <v>Electronics</v>
      </c>
      <c r="O241" t="str">
        <f>VLOOKUP(C241, Customers!A$2:E$301, 5, FALSE)</f>
        <v>Corporate</v>
      </c>
      <c r="P241">
        <f>VLOOKUP(C241, Customers!A$2:C$301, 3, FALSE)</f>
        <v>37</v>
      </c>
      <c r="Q241" t="str">
        <f>VLOOKUP(E241, Sales_Reps!A$2:C$31, 3, FALSE)</f>
        <v>North</v>
      </c>
      <c r="R241">
        <f>VLOOKUP(D241, Products!A$2:D$61, 4, FALSE)</f>
        <v>128</v>
      </c>
    </row>
    <row r="242" spans="1:18" x14ac:dyDescent="0.3">
      <c r="A242" s="13" t="s">
        <v>587</v>
      </c>
      <c r="B242" s="14">
        <v>45488</v>
      </c>
      <c r="C242" s="13" t="s">
        <v>126</v>
      </c>
      <c r="D242" s="13" t="s">
        <v>184</v>
      </c>
      <c r="E242" s="13" t="s">
        <v>98</v>
      </c>
      <c r="F242" s="15">
        <v>1</v>
      </c>
      <c r="G242" s="15">
        <v>4880</v>
      </c>
      <c r="H242" s="15">
        <v>17.5</v>
      </c>
      <c r="I242" s="15">
        <v>4026</v>
      </c>
      <c r="J242" s="13" t="s">
        <v>87</v>
      </c>
      <c r="K242" s="13" t="s">
        <v>88</v>
      </c>
      <c r="L242">
        <f>IF(COUNTIF(A$2:A242, A242)=1, IF(COUNTIF(A$2:A$2001, A242)&gt;1, 1, 0), 0)</f>
        <v>0</v>
      </c>
      <c r="M242" t="b">
        <f>VLOOKUP(D242, Products!A$2:F$61, 6, FALSE)</f>
        <v>1</v>
      </c>
      <c r="N242" t="str">
        <f>VLOOKUP(D242, Products!A$2:C$61, 3, FALSE)</f>
        <v>Beauty</v>
      </c>
      <c r="O242" t="str">
        <f>VLOOKUP(C242, Customers!A$2:E$301, 5, FALSE)</f>
        <v>Retail</v>
      </c>
      <c r="P242">
        <f>VLOOKUP(C242, Customers!A$2:C$301, 3, FALSE)</f>
        <v>56</v>
      </c>
      <c r="Q242" t="str">
        <f>VLOOKUP(E242, Sales_Reps!A$2:C$31, 3, FALSE)</f>
        <v>South</v>
      </c>
      <c r="R242">
        <f>VLOOKUP(D242, Products!A$2:D$61, 4, FALSE)</f>
        <v>2768</v>
      </c>
    </row>
    <row r="243" spans="1:18" x14ac:dyDescent="0.3">
      <c r="A243" s="13" t="s">
        <v>588</v>
      </c>
      <c r="B243" s="14">
        <v>45326</v>
      </c>
      <c r="C243" s="13" t="s">
        <v>589</v>
      </c>
      <c r="D243" s="13" t="s">
        <v>195</v>
      </c>
      <c r="E243" s="13" t="s">
        <v>343</v>
      </c>
      <c r="F243" s="15">
        <v>3</v>
      </c>
      <c r="G243" s="15">
        <v>2860</v>
      </c>
      <c r="H243" s="15">
        <v>20.100000000000001</v>
      </c>
      <c r="I243" s="15">
        <v>6855.42</v>
      </c>
      <c r="J243" s="13" t="s">
        <v>87</v>
      </c>
      <c r="K243" s="13" t="s">
        <v>94</v>
      </c>
      <c r="L243">
        <f>IF(COUNTIF(A$2:A243, A243)=1, IF(COUNTIF(A$2:A$2001, A243)&gt;1, 1, 0), 0)</f>
        <v>0</v>
      </c>
      <c r="M243" t="b">
        <f>VLOOKUP(D243, Products!A$2:F$61, 6, FALSE)</f>
        <v>1</v>
      </c>
      <c r="N243" t="str">
        <f>VLOOKUP(D243, Products!A$2:C$61, 3, FALSE)</f>
        <v>Sports</v>
      </c>
      <c r="O243" t="str">
        <f>VLOOKUP(C243, Customers!A$2:E$301, 5, FALSE)</f>
        <v>Corporate</v>
      </c>
      <c r="P243">
        <f>VLOOKUP(C243, Customers!A$2:C$301, 3, FALSE)</f>
        <v>30</v>
      </c>
      <c r="Q243" t="str">
        <f>VLOOKUP(E243, Sales_Reps!A$2:C$31, 3, FALSE)</f>
        <v>West</v>
      </c>
      <c r="R243">
        <f>VLOOKUP(D243, Products!A$2:D$61, 4, FALSE)</f>
        <v>2028</v>
      </c>
    </row>
    <row r="244" spans="1:18" x14ac:dyDescent="0.3">
      <c r="A244" s="13" t="s">
        <v>590</v>
      </c>
      <c r="B244" s="14">
        <v>45627</v>
      </c>
      <c r="C244" s="13" t="s">
        <v>308</v>
      </c>
      <c r="D244" s="13" t="s">
        <v>259</v>
      </c>
      <c r="E244" s="13" t="s">
        <v>297</v>
      </c>
      <c r="F244" s="15">
        <v>3</v>
      </c>
      <c r="G244" s="15">
        <v>1540</v>
      </c>
      <c r="H244" s="15">
        <v>20.9</v>
      </c>
      <c r="I244" s="15">
        <v>3654.42</v>
      </c>
      <c r="J244" s="13" t="s">
        <v>87</v>
      </c>
      <c r="K244" s="13" t="s">
        <v>88</v>
      </c>
      <c r="L244">
        <f>IF(COUNTIF(A$2:A244, A244)=1, IF(COUNTIF(A$2:A$2001, A244)&gt;1, 1, 0), 0)</f>
        <v>0</v>
      </c>
      <c r="M244" t="b">
        <f>VLOOKUP(D244, Products!A$2:F$61, 6, FALSE)</f>
        <v>0</v>
      </c>
      <c r="N244" t="str">
        <f>VLOOKUP(D244, Products!A$2:C$61, 3, FALSE)</f>
        <v>Beauty</v>
      </c>
      <c r="O244" t="str">
        <f>VLOOKUP(C244, Customers!A$2:E$301, 5, FALSE)</f>
        <v>SMB</v>
      </c>
      <c r="P244">
        <f>VLOOKUP(C244, Customers!A$2:C$301, 3, FALSE)</f>
        <v>54</v>
      </c>
      <c r="Q244" t="str">
        <f>VLOOKUP(E244, Sales_Reps!A$2:C$31, 3, FALSE)</f>
        <v>North</v>
      </c>
      <c r="R244">
        <f>VLOOKUP(D244, Products!A$2:D$61, 4, FALSE)</f>
        <v>647</v>
      </c>
    </row>
    <row r="245" spans="1:18" x14ac:dyDescent="0.3">
      <c r="A245" s="13" t="s">
        <v>591</v>
      </c>
      <c r="B245" s="14">
        <v>45576</v>
      </c>
      <c r="C245" s="13" t="s">
        <v>592</v>
      </c>
      <c r="D245" s="13" t="s">
        <v>135</v>
      </c>
      <c r="E245" s="13" t="s">
        <v>132</v>
      </c>
      <c r="F245" s="15">
        <v>10</v>
      </c>
      <c r="G245" s="15">
        <v>2640</v>
      </c>
      <c r="H245" s="15">
        <v>11.2</v>
      </c>
      <c r="I245" s="15">
        <v>23443.200000000001</v>
      </c>
      <c r="J245" s="13" t="s">
        <v>93</v>
      </c>
      <c r="K245" s="13" t="s">
        <v>133</v>
      </c>
      <c r="L245">
        <f>IF(COUNTIF(A$2:A245, A245)=1, IF(COUNTIF(A$2:A$2001, A245)&gt;1, 1, 0), 0)</f>
        <v>0</v>
      </c>
      <c r="M245" t="b">
        <f>VLOOKUP(D245, Products!A$2:F$61, 6, FALSE)</f>
        <v>1</v>
      </c>
      <c r="N245" t="str">
        <f>VLOOKUP(D245, Products!A$2:C$61, 3, FALSE)</f>
        <v>Electronics</v>
      </c>
      <c r="O245" t="str">
        <f>VLOOKUP(C245, Customers!A$2:E$301, 5, FALSE)</f>
        <v>Retail</v>
      </c>
      <c r="P245">
        <f>VLOOKUP(C245, Customers!A$2:C$301, 3, FALSE)</f>
        <v>22</v>
      </c>
      <c r="Q245" t="str">
        <f>VLOOKUP(E245, Sales_Reps!A$2:C$31, 3, FALSE)</f>
        <v>South</v>
      </c>
      <c r="R245">
        <f>VLOOKUP(D245, Products!A$2:D$61, 4, FALSE)</f>
        <v>1149</v>
      </c>
    </row>
    <row r="246" spans="1:18" x14ac:dyDescent="0.3">
      <c r="A246" s="13" t="s">
        <v>593</v>
      </c>
      <c r="B246" s="14">
        <v>45317</v>
      </c>
      <c r="C246" s="13" t="s">
        <v>416</v>
      </c>
      <c r="D246" s="13" t="s">
        <v>106</v>
      </c>
      <c r="E246" s="13" t="s">
        <v>252</v>
      </c>
      <c r="F246" s="15">
        <v>1</v>
      </c>
      <c r="G246" s="15">
        <v>3160</v>
      </c>
      <c r="H246" s="15">
        <v>11.5</v>
      </c>
      <c r="I246" s="15">
        <v>2796.6</v>
      </c>
      <c r="J246" s="13" t="s">
        <v>87</v>
      </c>
      <c r="K246" s="13" t="s">
        <v>117</v>
      </c>
      <c r="L246">
        <f>IF(COUNTIF(A$2:A246, A246)=1, IF(COUNTIF(A$2:A$2001, A246)&gt;1, 1, 0), 0)</f>
        <v>0</v>
      </c>
      <c r="M246" t="b">
        <f>VLOOKUP(D246, Products!A$2:F$61, 6, FALSE)</f>
        <v>1</v>
      </c>
      <c r="N246" t="str">
        <f>VLOOKUP(D246, Products!A$2:C$61, 3, FALSE)</f>
        <v>Apparel</v>
      </c>
      <c r="O246" t="str">
        <f>VLOOKUP(C246, Customers!A$2:E$301, 5, FALSE)</f>
        <v>Corporate</v>
      </c>
      <c r="P246">
        <f>VLOOKUP(C246, Customers!A$2:C$301, 3, FALSE)</f>
        <v>42</v>
      </c>
      <c r="Q246" t="str">
        <f>VLOOKUP(E246, Sales_Reps!A$2:C$31, 3, FALSE)</f>
        <v>South</v>
      </c>
      <c r="R246">
        <f>VLOOKUP(D246, Products!A$2:D$61, 4, FALSE)</f>
        <v>1886</v>
      </c>
    </row>
    <row r="247" spans="1:18" x14ac:dyDescent="0.3">
      <c r="A247" s="13" t="s">
        <v>594</v>
      </c>
      <c r="B247" s="14">
        <v>45650</v>
      </c>
      <c r="C247" s="13" t="s">
        <v>595</v>
      </c>
      <c r="D247" s="13" t="s">
        <v>164</v>
      </c>
      <c r="E247" s="13" t="s">
        <v>86</v>
      </c>
      <c r="F247" s="15">
        <v>4</v>
      </c>
      <c r="G247" s="15">
        <v>1080</v>
      </c>
      <c r="H247" s="15">
        <v>20.7</v>
      </c>
      <c r="I247" s="15">
        <v>3425.76</v>
      </c>
      <c r="J247" s="13" t="s">
        <v>93</v>
      </c>
      <c r="K247" s="13" t="s">
        <v>99</v>
      </c>
      <c r="L247">
        <f>IF(COUNTIF(A$2:A247, A247)=1, IF(COUNTIF(A$2:A$2001, A247)&gt;1, 1, 0), 0)</f>
        <v>0</v>
      </c>
      <c r="M247" t="b">
        <f>VLOOKUP(D247, Products!A$2:F$61, 6, FALSE)</f>
        <v>1</v>
      </c>
      <c r="N247" t="str">
        <f>VLOOKUP(D247, Products!A$2:C$61, 3, FALSE)</f>
        <v>Home</v>
      </c>
      <c r="O247" t="str">
        <f>VLOOKUP(C247, Customers!A$2:E$301, 5, FALSE)</f>
        <v>SMB</v>
      </c>
      <c r="P247">
        <f>VLOOKUP(C247, Customers!A$2:C$301, 3, FALSE)</f>
        <v>48</v>
      </c>
      <c r="Q247" t="str">
        <f>VLOOKUP(E247, Sales_Reps!A$2:C$31, 3, FALSE)</f>
        <v>North</v>
      </c>
      <c r="R247">
        <f>VLOOKUP(D247, Products!A$2:D$61, 4, FALSE)</f>
        <v>519</v>
      </c>
    </row>
    <row r="248" spans="1:18" x14ac:dyDescent="0.3">
      <c r="A248" s="13" t="s">
        <v>596</v>
      </c>
      <c r="B248" s="14">
        <v>45585</v>
      </c>
      <c r="C248" s="13" t="s">
        <v>597</v>
      </c>
      <c r="D248" s="13" t="s">
        <v>182</v>
      </c>
      <c r="E248" s="13" t="s">
        <v>252</v>
      </c>
      <c r="F248" s="15">
        <v>4</v>
      </c>
      <c r="G248" s="15">
        <v>1010</v>
      </c>
      <c r="H248" s="15">
        <v>29.5</v>
      </c>
      <c r="I248" s="15">
        <v>2848.2</v>
      </c>
      <c r="J248" s="13" t="s">
        <v>93</v>
      </c>
      <c r="K248" s="13" t="s">
        <v>112</v>
      </c>
      <c r="L248">
        <f>IF(COUNTIF(A$2:A248, A248)=1, IF(COUNTIF(A$2:A$2001, A248)&gt;1, 1, 0), 0)</f>
        <v>0</v>
      </c>
      <c r="M248" t="b">
        <f>VLOOKUP(D248, Products!A$2:F$61, 6, FALSE)</f>
        <v>1</v>
      </c>
      <c r="N248" t="str">
        <f>VLOOKUP(D248, Products!A$2:C$61, 3, FALSE)</f>
        <v>Sports</v>
      </c>
      <c r="O248" t="str">
        <f>VLOOKUP(C248, Customers!A$2:E$301, 5, FALSE)</f>
        <v>Retail</v>
      </c>
      <c r="P248">
        <f>VLOOKUP(C248, Customers!A$2:C$301, 3, FALSE)</f>
        <v>39</v>
      </c>
      <c r="Q248" t="str">
        <f>VLOOKUP(E248, Sales_Reps!A$2:C$31, 3, FALSE)</f>
        <v>South</v>
      </c>
      <c r="R248">
        <f>VLOOKUP(D248, Products!A$2:D$61, 4, FALSE)</f>
        <v>516</v>
      </c>
    </row>
    <row r="249" spans="1:18" x14ac:dyDescent="0.3">
      <c r="A249" s="13" t="s">
        <v>598</v>
      </c>
      <c r="B249" s="14">
        <v>45545</v>
      </c>
      <c r="C249" s="13" t="s">
        <v>599</v>
      </c>
      <c r="D249" s="13" t="s">
        <v>138</v>
      </c>
      <c r="E249" s="13" t="s">
        <v>343</v>
      </c>
      <c r="F249" s="15">
        <v>7</v>
      </c>
      <c r="G249" s="15">
        <v>2600</v>
      </c>
      <c r="H249" s="15">
        <v>6.6</v>
      </c>
      <c r="I249" s="15">
        <v>16998.8</v>
      </c>
      <c r="J249" s="13" t="s">
        <v>87</v>
      </c>
      <c r="K249" s="13" t="s">
        <v>117</v>
      </c>
      <c r="L249">
        <f>IF(COUNTIF(A$2:A249, A249)=1, IF(COUNTIF(A$2:A$2001, A249)&gt;1, 1, 0), 0)</f>
        <v>0</v>
      </c>
      <c r="M249" t="b">
        <f>VLOOKUP(D249, Products!A$2:F$61, 6, FALSE)</f>
        <v>1</v>
      </c>
      <c r="N249" t="str">
        <f>VLOOKUP(D249, Products!A$2:C$61, 3, FALSE)</f>
        <v>Electronics</v>
      </c>
      <c r="O249" t="str">
        <f>VLOOKUP(C249, Customers!A$2:E$301, 5, FALSE)</f>
        <v>Corporate</v>
      </c>
      <c r="P249">
        <f>VLOOKUP(C249, Customers!A$2:C$301, 3, FALSE)</f>
        <v>26</v>
      </c>
      <c r="Q249" t="str">
        <f>VLOOKUP(E249, Sales_Reps!A$2:C$31, 3, FALSE)</f>
        <v>West</v>
      </c>
      <c r="R249">
        <f>VLOOKUP(D249, Products!A$2:D$61, 4, FALSE)</f>
        <v>1052</v>
      </c>
    </row>
    <row r="250" spans="1:18" x14ac:dyDescent="0.3">
      <c r="A250" s="13" t="s">
        <v>600</v>
      </c>
      <c r="B250" s="14">
        <v>45395</v>
      </c>
      <c r="C250" s="13" t="s">
        <v>258</v>
      </c>
      <c r="D250" s="13" t="s">
        <v>355</v>
      </c>
      <c r="E250" s="13" t="s">
        <v>204</v>
      </c>
      <c r="F250" s="15">
        <v>4</v>
      </c>
      <c r="G250" s="15">
        <v>2510</v>
      </c>
      <c r="H250" s="15">
        <v>1</v>
      </c>
      <c r="I250" s="15">
        <v>9939.6</v>
      </c>
      <c r="J250" s="13" t="s">
        <v>87</v>
      </c>
      <c r="K250" s="13" t="s">
        <v>99</v>
      </c>
      <c r="L250">
        <f>IF(COUNTIF(A$2:A250, A250)=1, IF(COUNTIF(A$2:A$2001, A250)&gt;1, 1, 0), 0)</f>
        <v>0</v>
      </c>
      <c r="M250" t="b">
        <f>VLOOKUP(D250, Products!A$2:F$61, 6, FALSE)</f>
        <v>0</v>
      </c>
      <c r="N250" t="str">
        <f>VLOOKUP(D250, Products!A$2:C$61, 3, FALSE)</f>
        <v>Apparel</v>
      </c>
      <c r="O250" t="str">
        <f>VLOOKUP(C250, Customers!A$2:E$301, 5, FALSE)</f>
        <v>SMB</v>
      </c>
      <c r="P250">
        <f>VLOOKUP(C250, Customers!A$2:C$301, 3, FALSE)</f>
        <v>55</v>
      </c>
      <c r="Q250" t="str">
        <f>VLOOKUP(E250, Sales_Reps!A$2:C$31, 3, FALSE)</f>
        <v>South</v>
      </c>
      <c r="R250">
        <f>VLOOKUP(D250, Products!A$2:D$61, 4, FALSE)</f>
        <v>1075</v>
      </c>
    </row>
    <row r="251" spans="1:18" x14ac:dyDescent="0.3">
      <c r="A251" s="13" t="s">
        <v>601</v>
      </c>
      <c r="B251" s="14">
        <v>45636</v>
      </c>
      <c r="C251" s="13" t="s">
        <v>602</v>
      </c>
      <c r="D251" s="13" t="s">
        <v>264</v>
      </c>
      <c r="E251" s="13" t="s">
        <v>285</v>
      </c>
      <c r="F251" s="15">
        <v>9</v>
      </c>
      <c r="G251" s="15">
        <v>4070</v>
      </c>
      <c r="H251" s="15">
        <v>6.7</v>
      </c>
      <c r="I251" s="15">
        <v>34175.79</v>
      </c>
      <c r="J251" s="13" t="s">
        <v>140</v>
      </c>
      <c r="K251" s="13" t="s">
        <v>94</v>
      </c>
      <c r="L251">
        <f>IF(COUNTIF(A$2:A251, A251)=1, IF(COUNTIF(A$2:A$2001, A251)&gt;1, 1, 0), 0)</f>
        <v>0</v>
      </c>
      <c r="M251" t="b">
        <f>VLOOKUP(D251, Products!A$2:F$61, 6, FALSE)</f>
        <v>1</v>
      </c>
      <c r="N251" t="str">
        <f>VLOOKUP(D251, Products!A$2:C$61, 3, FALSE)</f>
        <v>Grocery</v>
      </c>
      <c r="O251" t="str">
        <f>VLOOKUP(C251, Customers!A$2:E$301, 5, FALSE)</f>
        <v>Retail</v>
      </c>
      <c r="P251">
        <f>VLOOKUP(C251, Customers!A$2:C$301, 3, FALSE)</f>
        <v>61</v>
      </c>
      <c r="Q251" t="str">
        <f>VLOOKUP(E251, Sales_Reps!A$2:C$31, 3, FALSE)</f>
        <v>East</v>
      </c>
      <c r="R251">
        <f>VLOOKUP(D251, Products!A$2:D$61, 4, FALSE)</f>
        <v>2027</v>
      </c>
    </row>
    <row r="252" spans="1:18" x14ac:dyDescent="0.3">
      <c r="A252" s="13" t="s">
        <v>603</v>
      </c>
      <c r="B252" s="14">
        <v>45612</v>
      </c>
      <c r="C252" s="13" t="s">
        <v>604</v>
      </c>
      <c r="D252" s="13" t="s">
        <v>91</v>
      </c>
      <c r="E252" s="13" t="s">
        <v>132</v>
      </c>
      <c r="F252" s="15">
        <v>6</v>
      </c>
      <c r="G252" s="15">
        <v>820</v>
      </c>
      <c r="H252" s="15">
        <v>14</v>
      </c>
      <c r="I252" s="15">
        <v>4231.2</v>
      </c>
      <c r="J252" s="13" t="s">
        <v>87</v>
      </c>
      <c r="K252" s="13" t="s">
        <v>117</v>
      </c>
      <c r="L252">
        <f>IF(COUNTIF(A$2:A252, A252)=1, IF(COUNTIF(A$2:A$2001, A252)&gt;1, 1, 0), 0)</f>
        <v>0</v>
      </c>
      <c r="M252" t="b">
        <f>VLOOKUP(D252, Products!A$2:F$61, 6, FALSE)</f>
        <v>1</v>
      </c>
      <c r="N252" t="str">
        <f>VLOOKUP(D252, Products!A$2:C$61, 3, FALSE)</f>
        <v>Apparel</v>
      </c>
      <c r="O252" t="str">
        <f>VLOOKUP(C252, Customers!A$2:E$301, 5, FALSE)</f>
        <v>Retail</v>
      </c>
      <c r="P252">
        <f>VLOOKUP(C252, Customers!A$2:C$301, 3, FALSE)</f>
        <v>34</v>
      </c>
      <c r="Q252" t="str">
        <f>VLOOKUP(E252, Sales_Reps!A$2:C$31, 3, FALSE)</f>
        <v>South</v>
      </c>
      <c r="R252">
        <f>VLOOKUP(D252, Products!A$2:D$61, 4, FALSE)</f>
        <v>391</v>
      </c>
    </row>
    <row r="253" spans="1:18" x14ac:dyDescent="0.3">
      <c r="A253" s="13" t="s">
        <v>605</v>
      </c>
      <c r="B253" s="14">
        <v>45495</v>
      </c>
      <c r="C253" s="13" t="s">
        <v>606</v>
      </c>
      <c r="D253" s="13" t="s">
        <v>127</v>
      </c>
      <c r="E253" s="13" t="s">
        <v>92</v>
      </c>
      <c r="F253" s="15">
        <v>2</v>
      </c>
      <c r="G253" s="15">
        <v>970</v>
      </c>
      <c r="H253" s="15">
        <v>23.8</v>
      </c>
      <c r="I253" s="15">
        <v>1478.28</v>
      </c>
      <c r="J253" s="13" t="s">
        <v>87</v>
      </c>
      <c r="K253" s="13" t="s">
        <v>112</v>
      </c>
      <c r="L253">
        <f>IF(COUNTIF(A$2:A253, A253)=1, IF(COUNTIF(A$2:A$2001, A253)&gt;1, 1, 0), 0)</f>
        <v>0</v>
      </c>
      <c r="M253" t="b">
        <f>VLOOKUP(D253, Products!A$2:F$61, 6, FALSE)</f>
        <v>1</v>
      </c>
      <c r="N253" t="str">
        <f>VLOOKUP(D253, Products!A$2:C$61, 3, FALSE)</f>
        <v>Grocery</v>
      </c>
      <c r="O253" t="str">
        <f>VLOOKUP(C253, Customers!A$2:E$301, 5, FALSE)</f>
        <v>Retail</v>
      </c>
      <c r="P253">
        <f>VLOOKUP(C253, Customers!A$2:C$301, 3, FALSE)</f>
        <v>52</v>
      </c>
      <c r="Q253" t="str">
        <f>VLOOKUP(E253, Sales_Reps!A$2:C$31, 3, FALSE)</f>
        <v>North</v>
      </c>
      <c r="R253">
        <f>VLOOKUP(D253, Products!A$2:D$61, 4, FALSE)</f>
        <v>434</v>
      </c>
    </row>
    <row r="254" spans="1:18" x14ac:dyDescent="0.3">
      <c r="A254" s="13" t="s">
        <v>607</v>
      </c>
      <c r="B254" s="14">
        <v>45337</v>
      </c>
      <c r="C254" s="13" t="s">
        <v>608</v>
      </c>
      <c r="D254" s="13" t="s">
        <v>264</v>
      </c>
      <c r="E254" s="13" t="s">
        <v>325</v>
      </c>
      <c r="F254" s="15">
        <v>4</v>
      </c>
      <c r="G254" s="15">
        <v>4070</v>
      </c>
      <c r="H254" s="15">
        <v>19</v>
      </c>
      <c r="I254" s="15">
        <v>13186.8</v>
      </c>
      <c r="J254" s="13" t="s">
        <v>93</v>
      </c>
      <c r="K254" s="13" t="s">
        <v>88</v>
      </c>
      <c r="L254">
        <f>IF(COUNTIF(A$2:A254, A254)=1, IF(COUNTIF(A$2:A$2001, A254)&gt;1, 1, 0), 0)</f>
        <v>0</v>
      </c>
      <c r="M254" t="b">
        <f>VLOOKUP(D254, Products!A$2:F$61, 6, FALSE)</f>
        <v>1</v>
      </c>
      <c r="N254" t="str">
        <f>VLOOKUP(D254, Products!A$2:C$61, 3, FALSE)</f>
        <v>Grocery</v>
      </c>
      <c r="O254" t="str">
        <f>VLOOKUP(C254, Customers!A$2:E$301, 5, FALSE)</f>
        <v>Corporate</v>
      </c>
      <c r="P254">
        <f>VLOOKUP(C254, Customers!A$2:C$301, 3, FALSE)</f>
        <v>40</v>
      </c>
      <c r="Q254" t="str">
        <f>VLOOKUP(E254, Sales_Reps!A$2:C$31, 3, FALSE)</f>
        <v>South</v>
      </c>
      <c r="R254">
        <f>VLOOKUP(D254, Products!A$2:D$61, 4, FALSE)</f>
        <v>2027</v>
      </c>
    </row>
    <row r="255" spans="1:18" x14ac:dyDescent="0.3">
      <c r="A255" s="13" t="s">
        <v>609</v>
      </c>
      <c r="B255" s="14">
        <v>45333</v>
      </c>
      <c r="C255" s="13" t="s">
        <v>610</v>
      </c>
      <c r="D255" s="13" t="s">
        <v>157</v>
      </c>
      <c r="E255" s="13" t="s">
        <v>238</v>
      </c>
      <c r="F255" s="15">
        <v>3</v>
      </c>
      <c r="G255" s="15">
        <v>3450</v>
      </c>
      <c r="H255" s="15">
        <v>4.4000000000000004</v>
      </c>
      <c r="I255" s="15">
        <v>9894.6</v>
      </c>
      <c r="J255" s="13" t="s">
        <v>140</v>
      </c>
      <c r="K255" s="13" t="s">
        <v>117</v>
      </c>
      <c r="L255">
        <f>IF(COUNTIF(A$2:A255, A255)=1, IF(COUNTIF(A$2:A$2001, A255)&gt;1, 1, 0), 0)</f>
        <v>0</v>
      </c>
      <c r="M255" t="b">
        <f>VLOOKUP(D255, Products!A$2:F$61, 6, FALSE)</f>
        <v>1</v>
      </c>
      <c r="N255" t="str">
        <f>VLOOKUP(D255, Products!A$2:C$61, 3, FALSE)</f>
        <v>Beauty</v>
      </c>
      <c r="O255" t="str">
        <f>VLOOKUP(C255, Customers!A$2:E$301, 5, FALSE)</f>
        <v>SMB</v>
      </c>
      <c r="P255">
        <f>VLOOKUP(C255, Customers!A$2:C$301, 3, FALSE)</f>
        <v>42</v>
      </c>
      <c r="Q255" t="str">
        <f>VLOOKUP(E255, Sales_Reps!A$2:C$31, 3, FALSE)</f>
        <v>East</v>
      </c>
      <c r="R255">
        <f>VLOOKUP(D255, Products!A$2:D$61, 4, FALSE)</f>
        <v>2420</v>
      </c>
    </row>
    <row r="256" spans="1:18" x14ac:dyDescent="0.3">
      <c r="A256" s="13" t="s">
        <v>611</v>
      </c>
      <c r="B256" s="14">
        <v>45511</v>
      </c>
      <c r="C256" s="13" t="s">
        <v>336</v>
      </c>
      <c r="D256" s="13" t="s">
        <v>234</v>
      </c>
      <c r="E256" s="13" t="s">
        <v>132</v>
      </c>
      <c r="F256" s="15">
        <v>5</v>
      </c>
      <c r="G256" s="15">
        <v>3780</v>
      </c>
      <c r="H256" s="15">
        <v>13.5</v>
      </c>
      <c r="I256" s="15">
        <v>16348.5</v>
      </c>
      <c r="J256" s="13" t="s">
        <v>87</v>
      </c>
      <c r="K256" s="13" t="s">
        <v>112</v>
      </c>
      <c r="L256">
        <f>IF(COUNTIF(A$2:A256, A256)=1, IF(COUNTIF(A$2:A$2001, A256)&gt;1, 1, 0), 0)</f>
        <v>0</v>
      </c>
      <c r="M256" t="b">
        <f>VLOOKUP(D256, Products!A$2:F$61, 6, FALSE)</f>
        <v>1</v>
      </c>
      <c r="N256" t="str">
        <f>VLOOKUP(D256, Products!A$2:C$61, 3, FALSE)</f>
        <v>Grocery</v>
      </c>
      <c r="O256" t="str">
        <f>VLOOKUP(C256, Customers!A$2:E$301, 5, FALSE)</f>
        <v>Retail</v>
      </c>
      <c r="P256">
        <f>VLOOKUP(C256, Customers!A$2:C$301, 3, FALSE)</f>
        <v>49</v>
      </c>
      <c r="Q256" t="str">
        <f>VLOOKUP(E256, Sales_Reps!A$2:C$31, 3, FALSE)</f>
        <v>South</v>
      </c>
      <c r="R256">
        <f>VLOOKUP(D256, Products!A$2:D$61, 4, FALSE)</f>
        <v>2436</v>
      </c>
    </row>
    <row r="257" spans="1:18" x14ac:dyDescent="0.3">
      <c r="A257" s="13" t="s">
        <v>612</v>
      </c>
      <c r="B257" s="14">
        <v>45595</v>
      </c>
      <c r="C257" s="13" t="s">
        <v>613</v>
      </c>
      <c r="D257" s="13" t="s">
        <v>115</v>
      </c>
      <c r="E257" s="13" t="s">
        <v>139</v>
      </c>
      <c r="F257" s="15">
        <v>1</v>
      </c>
      <c r="G257" s="15">
        <v>960</v>
      </c>
      <c r="H257" s="15">
        <v>29.2</v>
      </c>
      <c r="I257" s="15">
        <v>679.68</v>
      </c>
      <c r="J257" s="13" t="s">
        <v>87</v>
      </c>
      <c r="K257" s="13" t="s">
        <v>112</v>
      </c>
      <c r="L257">
        <f>IF(COUNTIF(A$2:A257, A257)=1, IF(COUNTIF(A$2:A$2001, A257)&gt;1, 1, 0), 0)</f>
        <v>0</v>
      </c>
      <c r="M257" t="b">
        <f>VLOOKUP(D257, Products!A$2:F$61, 6, FALSE)</f>
        <v>1</v>
      </c>
      <c r="N257" t="str">
        <f>VLOOKUP(D257, Products!A$2:C$61, 3, FALSE)</f>
        <v>Sports</v>
      </c>
      <c r="O257" t="str">
        <f>VLOOKUP(C257, Customers!A$2:E$301, 5, FALSE)</f>
        <v>Retail</v>
      </c>
      <c r="P257">
        <f>VLOOKUP(C257, Customers!A$2:C$301, 3, FALSE)</f>
        <v>44</v>
      </c>
      <c r="Q257" t="str">
        <f>VLOOKUP(E257, Sales_Reps!A$2:C$31, 3, FALSE)</f>
        <v>North</v>
      </c>
      <c r="R257">
        <f>VLOOKUP(D257, Products!A$2:D$61, 4, FALSE)</f>
        <v>705</v>
      </c>
    </row>
    <row r="258" spans="1:18" x14ac:dyDescent="0.3">
      <c r="A258" s="13" t="s">
        <v>614</v>
      </c>
      <c r="B258" s="14">
        <v>45321</v>
      </c>
      <c r="C258" s="13" t="s">
        <v>615</v>
      </c>
      <c r="D258" s="13" t="s">
        <v>187</v>
      </c>
      <c r="E258" s="13" t="s">
        <v>285</v>
      </c>
      <c r="F258" s="15">
        <v>10</v>
      </c>
      <c r="G258" s="15">
        <v>3570</v>
      </c>
      <c r="H258" s="15">
        <v>10.7</v>
      </c>
      <c r="I258" s="15">
        <v>31880.1</v>
      </c>
      <c r="J258" s="13" t="s">
        <v>87</v>
      </c>
      <c r="K258" s="13" t="s">
        <v>112</v>
      </c>
      <c r="L258">
        <f>IF(COUNTIF(A$2:A258, A258)=1, IF(COUNTIF(A$2:A$2001, A258)&gt;1, 1, 0), 0)</f>
        <v>0</v>
      </c>
      <c r="M258" t="b">
        <f>VLOOKUP(D258, Products!A$2:F$61, 6, FALSE)</f>
        <v>1</v>
      </c>
      <c r="N258" t="str">
        <f>VLOOKUP(D258, Products!A$2:C$61, 3, FALSE)</f>
        <v>Electronics</v>
      </c>
      <c r="O258" t="str">
        <f>VLOOKUP(C258, Customers!A$2:E$301, 5, FALSE)</f>
        <v>Retail</v>
      </c>
      <c r="P258">
        <f>VLOOKUP(C258, Customers!A$2:C$301, 3, FALSE)</f>
        <v>53</v>
      </c>
      <c r="Q258" t="str">
        <f>VLOOKUP(E258, Sales_Reps!A$2:C$31, 3, FALSE)</f>
        <v>East</v>
      </c>
      <c r="R258">
        <f>VLOOKUP(D258, Products!A$2:D$61, 4, FALSE)</f>
        <v>1665</v>
      </c>
    </row>
    <row r="259" spans="1:18" x14ac:dyDescent="0.3">
      <c r="A259" s="13" t="s">
        <v>616</v>
      </c>
      <c r="B259" s="14">
        <v>45511</v>
      </c>
      <c r="C259" s="13" t="s">
        <v>617</v>
      </c>
      <c r="D259" s="13" t="s">
        <v>187</v>
      </c>
      <c r="E259" s="13" t="s">
        <v>116</v>
      </c>
      <c r="F259" s="15">
        <v>7</v>
      </c>
      <c r="G259" s="15">
        <v>3570</v>
      </c>
      <c r="H259" s="15">
        <v>12.2</v>
      </c>
      <c r="I259" s="15">
        <v>21941.22</v>
      </c>
      <c r="J259" s="13" t="s">
        <v>87</v>
      </c>
      <c r="K259" s="13" t="s">
        <v>112</v>
      </c>
      <c r="L259">
        <f>IF(COUNTIF(A$2:A259, A259)=1, IF(COUNTIF(A$2:A$2001, A259)&gt;1, 1, 0), 0)</f>
        <v>0</v>
      </c>
      <c r="M259" t="b">
        <f>VLOOKUP(D259, Products!A$2:F$61, 6, FALSE)</f>
        <v>1</v>
      </c>
      <c r="N259" t="str">
        <f>VLOOKUP(D259, Products!A$2:C$61, 3, FALSE)</f>
        <v>Electronics</v>
      </c>
      <c r="O259" t="str">
        <f>VLOOKUP(C259, Customers!A$2:E$301, 5, FALSE)</f>
        <v>SMB</v>
      </c>
      <c r="P259">
        <f>VLOOKUP(C259, Customers!A$2:C$301, 3, FALSE)</f>
        <v>65</v>
      </c>
      <c r="Q259" t="str">
        <f>VLOOKUP(E259, Sales_Reps!A$2:C$31, 3, FALSE)</f>
        <v>West</v>
      </c>
      <c r="R259">
        <f>VLOOKUP(D259, Products!A$2:D$61, 4, FALSE)</f>
        <v>1665</v>
      </c>
    </row>
    <row r="260" spans="1:18" x14ac:dyDescent="0.3">
      <c r="A260" s="13" t="s">
        <v>618</v>
      </c>
      <c r="B260" s="14">
        <v>45575</v>
      </c>
      <c r="C260" s="13" t="s">
        <v>510</v>
      </c>
      <c r="D260" s="13" t="s">
        <v>164</v>
      </c>
      <c r="E260" s="13" t="s">
        <v>98</v>
      </c>
      <c r="F260" s="15">
        <v>6</v>
      </c>
      <c r="G260" s="15">
        <v>1080</v>
      </c>
      <c r="H260" s="15">
        <v>19.8</v>
      </c>
      <c r="I260" s="15">
        <v>5196.96</v>
      </c>
      <c r="J260" s="13" t="s">
        <v>87</v>
      </c>
      <c r="K260" s="13" t="s">
        <v>117</v>
      </c>
      <c r="L260">
        <f>IF(COUNTIF(A$2:A260, A260)=1, IF(COUNTIF(A$2:A$2001, A260)&gt;1, 1, 0), 0)</f>
        <v>0</v>
      </c>
      <c r="M260" t="b">
        <f>VLOOKUP(D260, Products!A$2:F$61, 6, FALSE)</f>
        <v>1</v>
      </c>
      <c r="N260" t="str">
        <f>VLOOKUP(D260, Products!A$2:C$61, 3, FALSE)</f>
        <v>Home</v>
      </c>
      <c r="O260" t="str">
        <f>VLOOKUP(C260, Customers!A$2:E$301, 5, FALSE)</f>
        <v>SMB</v>
      </c>
      <c r="P260">
        <f>VLOOKUP(C260, Customers!A$2:C$301, 3, FALSE)</f>
        <v>26</v>
      </c>
      <c r="Q260" t="str">
        <f>VLOOKUP(E260, Sales_Reps!A$2:C$31, 3, FALSE)</f>
        <v>South</v>
      </c>
      <c r="R260">
        <f>VLOOKUP(D260, Products!A$2:D$61, 4, FALSE)</f>
        <v>519</v>
      </c>
    </row>
    <row r="261" spans="1:18" x14ac:dyDescent="0.3">
      <c r="A261" s="13" t="s">
        <v>619</v>
      </c>
      <c r="B261" s="14">
        <v>45649</v>
      </c>
      <c r="C261" s="13" t="s">
        <v>175</v>
      </c>
      <c r="D261" s="13" t="s">
        <v>452</v>
      </c>
      <c r="E261" s="13" t="s">
        <v>132</v>
      </c>
      <c r="F261" s="15">
        <v>8</v>
      </c>
      <c r="G261" s="15">
        <v>3450</v>
      </c>
      <c r="H261" s="15">
        <v>19</v>
      </c>
      <c r="I261" s="15">
        <v>22356</v>
      </c>
      <c r="J261" s="13" t="s">
        <v>87</v>
      </c>
      <c r="K261" s="13" t="s">
        <v>133</v>
      </c>
      <c r="L261">
        <f>IF(COUNTIF(A$2:A261, A261)=1, IF(COUNTIF(A$2:A$2001, A261)&gt;1, 1, 0), 0)</f>
        <v>0</v>
      </c>
      <c r="M261" t="b">
        <f>VLOOKUP(D261, Products!A$2:F$61, 6, FALSE)</f>
        <v>1</v>
      </c>
      <c r="N261" t="str">
        <f>VLOOKUP(D261, Products!A$2:C$61, 3, FALSE)</f>
        <v>Apparel</v>
      </c>
      <c r="O261" t="str">
        <f>VLOOKUP(C261, Customers!A$2:E$301, 5, FALSE)</f>
        <v>SMB</v>
      </c>
      <c r="P261">
        <f>VLOOKUP(C261, Customers!A$2:C$301, 3, FALSE)</f>
        <v>40</v>
      </c>
      <c r="Q261" t="str">
        <f>VLOOKUP(E261, Sales_Reps!A$2:C$31, 3, FALSE)</f>
        <v>South</v>
      </c>
      <c r="R261">
        <f>VLOOKUP(D261, Products!A$2:D$61, 4, FALSE)</f>
        <v>1748</v>
      </c>
    </row>
    <row r="262" spans="1:18" x14ac:dyDescent="0.3">
      <c r="A262" s="13" t="s">
        <v>620</v>
      </c>
      <c r="B262" s="14">
        <v>45371</v>
      </c>
      <c r="C262" s="13" t="s">
        <v>621</v>
      </c>
      <c r="D262" s="13" t="s">
        <v>279</v>
      </c>
      <c r="E262" s="13" t="s">
        <v>154</v>
      </c>
      <c r="F262" s="15">
        <v>4</v>
      </c>
      <c r="G262" s="15">
        <v>2660</v>
      </c>
      <c r="H262" s="15">
        <v>18.8</v>
      </c>
      <c r="I262" s="15">
        <v>8639.68</v>
      </c>
      <c r="J262" s="13" t="s">
        <v>93</v>
      </c>
      <c r="K262" s="13" t="s">
        <v>94</v>
      </c>
      <c r="L262">
        <f>IF(COUNTIF(A$2:A262, A262)=1, IF(COUNTIF(A$2:A$2001, A262)&gt;1, 1, 0), 0)</f>
        <v>0</v>
      </c>
      <c r="M262" t="b">
        <f>VLOOKUP(D262, Products!A$2:F$61, 6, FALSE)</f>
        <v>0</v>
      </c>
      <c r="N262" t="str">
        <f>VLOOKUP(D262, Products!A$2:C$61, 3, FALSE)</f>
        <v>Electronics</v>
      </c>
      <c r="O262" t="str">
        <f>VLOOKUP(C262, Customers!A$2:E$301, 5, FALSE)</f>
        <v>Corporate</v>
      </c>
      <c r="P262">
        <f>VLOOKUP(C262, Customers!A$2:C$301, 3, FALSE)</f>
        <v>22</v>
      </c>
      <c r="Q262" t="str">
        <f>VLOOKUP(E262, Sales_Reps!A$2:C$31, 3, FALSE)</f>
        <v>East</v>
      </c>
      <c r="R262">
        <f>VLOOKUP(D262, Products!A$2:D$61, 4, FALSE)</f>
        <v>1259</v>
      </c>
    </row>
    <row r="263" spans="1:18" x14ac:dyDescent="0.3">
      <c r="A263" s="13" t="s">
        <v>622</v>
      </c>
      <c r="B263" s="14">
        <v>45522</v>
      </c>
      <c r="C263" s="13" t="s">
        <v>305</v>
      </c>
      <c r="D263" s="13" t="s">
        <v>151</v>
      </c>
      <c r="E263" s="13" t="s">
        <v>204</v>
      </c>
      <c r="F263" s="15">
        <v>4</v>
      </c>
      <c r="G263" s="15">
        <v>2400</v>
      </c>
      <c r="H263" s="15">
        <v>5.6</v>
      </c>
      <c r="I263" s="15">
        <v>9062.4</v>
      </c>
      <c r="J263" s="13" t="s">
        <v>87</v>
      </c>
      <c r="K263" s="13" t="s">
        <v>133</v>
      </c>
      <c r="L263">
        <f>IF(COUNTIF(A$2:A263, A263)=1, IF(COUNTIF(A$2:A$2001, A263)&gt;1, 1, 0), 0)</f>
        <v>0</v>
      </c>
      <c r="M263" t="b">
        <f>VLOOKUP(D263, Products!A$2:F$61, 6, FALSE)</f>
        <v>1</v>
      </c>
      <c r="N263" t="str">
        <f>VLOOKUP(D263, Products!A$2:C$61, 3, FALSE)</f>
        <v>Sports</v>
      </c>
      <c r="O263" t="str">
        <f>VLOOKUP(C263, Customers!A$2:E$301, 5, FALSE)</f>
        <v>Corporate</v>
      </c>
      <c r="P263">
        <f>VLOOKUP(C263, Customers!A$2:C$301, 3, FALSE)</f>
        <v>46</v>
      </c>
      <c r="Q263" t="str">
        <f>VLOOKUP(E263, Sales_Reps!A$2:C$31, 3, FALSE)</f>
        <v>South</v>
      </c>
      <c r="R263">
        <f>VLOOKUP(D263, Products!A$2:D$61, 4, FALSE)</f>
        <v>974</v>
      </c>
    </row>
    <row r="264" spans="1:18" x14ac:dyDescent="0.3">
      <c r="A264" s="13" t="s">
        <v>623</v>
      </c>
      <c r="B264" s="14">
        <v>45513</v>
      </c>
      <c r="C264" s="13" t="s">
        <v>624</v>
      </c>
      <c r="D264" s="13" t="s">
        <v>138</v>
      </c>
      <c r="E264" s="13" t="s">
        <v>148</v>
      </c>
      <c r="F264" s="15">
        <v>10</v>
      </c>
      <c r="G264" s="15">
        <v>2600</v>
      </c>
      <c r="H264" s="15">
        <v>24.7</v>
      </c>
      <c r="I264" s="15">
        <v>19578</v>
      </c>
      <c r="J264" s="13" t="s">
        <v>87</v>
      </c>
      <c r="K264" s="13" t="s">
        <v>88</v>
      </c>
      <c r="L264">
        <f>IF(COUNTIF(A$2:A264, A264)=1, IF(COUNTIF(A$2:A$2001, A264)&gt;1, 1, 0), 0)</f>
        <v>0</v>
      </c>
      <c r="M264" t="b">
        <f>VLOOKUP(D264, Products!A$2:F$61, 6, FALSE)</f>
        <v>1</v>
      </c>
      <c r="N264" t="str">
        <f>VLOOKUP(D264, Products!A$2:C$61, 3, FALSE)</f>
        <v>Electronics</v>
      </c>
      <c r="O264" t="str">
        <f>VLOOKUP(C264, Customers!A$2:E$301, 5, FALSE)</f>
        <v>Corporate</v>
      </c>
      <c r="P264">
        <f>VLOOKUP(C264, Customers!A$2:C$301, 3, FALSE)</f>
        <v>31</v>
      </c>
      <c r="Q264" t="str">
        <f>VLOOKUP(E264, Sales_Reps!A$2:C$31, 3, FALSE)</f>
        <v>North</v>
      </c>
      <c r="R264">
        <f>VLOOKUP(D264, Products!A$2:D$61, 4, FALSE)</f>
        <v>1052</v>
      </c>
    </row>
    <row r="265" spans="1:18" x14ac:dyDescent="0.3">
      <c r="A265" s="13" t="s">
        <v>625</v>
      </c>
      <c r="B265" s="14">
        <v>45513</v>
      </c>
      <c r="C265" s="13" t="s">
        <v>626</v>
      </c>
      <c r="D265" s="13" t="s">
        <v>351</v>
      </c>
      <c r="E265" s="13" t="s">
        <v>139</v>
      </c>
      <c r="F265" s="15">
        <v>3</v>
      </c>
      <c r="G265" s="15">
        <v>4060</v>
      </c>
      <c r="H265" s="15">
        <v>6.9</v>
      </c>
      <c r="I265" s="15">
        <v>11339.58</v>
      </c>
      <c r="J265" s="13" t="s">
        <v>87</v>
      </c>
      <c r="K265" s="13" t="s">
        <v>99</v>
      </c>
      <c r="L265">
        <f>IF(COUNTIF(A$2:A265, A265)=1, IF(COUNTIF(A$2:A$2001, A265)&gt;1, 1, 0), 0)</f>
        <v>0</v>
      </c>
      <c r="M265" t="b">
        <f>VLOOKUP(D265, Products!A$2:F$61, 6, FALSE)</f>
        <v>1</v>
      </c>
      <c r="N265" t="str">
        <f>VLOOKUP(D265, Products!A$2:C$61, 3, FALSE)</f>
        <v>Grocery</v>
      </c>
      <c r="O265" t="str">
        <f>VLOOKUP(C265, Customers!A$2:E$301, 5, FALSE)</f>
        <v>Retail</v>
      </c>
      <c r="P265">
        <f>VLOOKUP(C265, Customers!A$2:C$301, 3, FALSE)</f>
        <v>40</v>
      </c>
      <c r="Q265" t="str">
        <f>VLOOKUP(E265, Sales_Reps!A$2:C$31, 3, FALSE)</f>
        <v>North</v>
      </c>
      <c r="R265">
        <f>VLOOKUP(D265, Products!A$2:D$61, 4, FALSE)</f>
        <v>2911</v>
      </c>
    </row>
    <row r="266" spans="1:18" x14ac:dyDescent="0.3">
      <c r="A266" s="13" t="s">
        <v>627</v>
      </c>
      <c r="B266" s="14">
        <v>45465</v>
      </c>
      <c r="C266" s="13" t="s">
        <v>628</v>
      </c>
      <c r="D266" s="13" t="s">
        <v>124</v>
      </c>
      <c r="E266" s="13" t="s">
        <v>154</v>
      </c>
      <c r="F266" s="15">
        <v>6</v>
      </c>
      <c r="G266" s="15">
        <v>5490</v>
      </c>
      <c r="H266" s="15">
        <v>8.4</v>
      </c>
      <c r="I266" s="15">
        <v>30173.040000000001</v>
      </c>
      <c r="J266" s="13" t="s">
        <v>87</v>
      </c>
      <c r="K266" s="13" t="s">
        <v>133</v>
      </c>
      <c r="L266">
        <f>IF(COUNTIF(A$2:A266, A266)=1, IF(COUNTIF(A$2:A$2001, A266)&gt;1, 1, 0), 0)</f>
        <v>0</v>
      </c>
      <c r="M266" t="b">
        <f>VLOOKUP(D266, Products!A$2:F$61, 6, FALSE)</f>
        <v>1</v>
      </c>
      <c r="N266" t="str">
        <f>VLOOKUP(D266, Products!A$2:C$61, 3, FALSE)</f>
        <v>Home</v>
      </c>
      <c r="O266" t="str">
        <f>VLOOKUP(C266, Customers!A$2:E$301, 5, FALSE)</f>
        <v>Corporate</v>
      </c>
      <c r="P266">
        <f>VLOOKUP(C266, Customers!A$2:C$301, 3, FALSE)</f>
        <v>22</v>
      </c>
      <c r="Q266" t="str">
        <f>VLOOKUP(E266, Sales_Reps!A$2:C$31, 3, FALSE)</f>
        <v>East</v>
      </c>
      <c r="R266">
        <f>VLOOKUP(D266, Products!A$2:D$61, 4, FALSE)</f>
        <v>2549</v>
      </c>
    </row>
    <row r="267" spans="1:18" x14ac:dyDescent="0.3">
      <c r="A267" s="13" t="s">
        <v>629</v>
      </c>
      <c r="B267" s="14">
        <v>45407</v>
      </c>
      <c r="C267" s="13" t="s">
        <v>485</v>
      </c>
      <c r="D267" s="13" t="s">
        <v>110</v>
      </c>
      <c r="E267" s="13" t="s">
        <v>303</v>
      </c>
      <c r="F267" s="15">
        <v>6</v>
      </c>
      <c r="G267" s="15">
        <v>370</v>
      </c>
      <c r="H267" s="15">
        <v>15.1</v>
      </c>
      <c r="I267" s="15">
        <v>1884.78</v>
      </c>
      <c r="J267" s="13" t="s">
        <v>87</v>
      </c>
      <c r="K267" s="13" t="s">
        <v>88</v>
      </c>
      <c r="L267">
        <f>IF(COUNTIF(A$2:A267, A267)=1, IF(COUNTIF(A$2:A$2001, A267)&gt;1, 1, 0), 0)</f>
        <v>0</v>
      </c>
      <c r="M267" t="b">
        <f>VLOOKUP(D267, Products!A$2:F$61, 6, FALSE)</f>
        <v>1</v>
      </c>
      <c r="N267" t="str">
        <f>VLOOKUP(D267, Products!A$2:C$61, 3, FALSE)</f>
        <v>Home</v>
      </c>
      <c r="O267" t="str">
        <f>VLOOKUP(C267, Customers!A$2:E$301, 5, FALSE)</f>
        <v>Retail</v>
      </c>
      <c r="P267">
        <f>VLOOKUP(C267, Customers!A$2:C$301, 3, FALSE)</f>
        <v>49</v>
      </c>
      <c r="Q267" t="str">
        <f>VLOOKUP(E267, Sales_Reps!A$2:C$31, 3, FALSE)</f>
        <v>East</v>
      </c>
      <c r="R267">
        <f>VLOOKUP(D267, Products!A$2:D$61, 4, FALSE)</f>
        <v>288</v>
      </c>
    </row>
    <row r="268" spans="1:18" x14ac:dyDescent="0.3">
      <c r="A268" s="13" t="s">
        <v>630</v>
      </c>
      <c r="B268" s="14">
        <v>45405</v>
      </c>
      <c r="C268" s="13" t="s">
        <v>357</v>
      </c>
      <c r="D268" s="13" t="s">
        <v>292</v>
      </c>
      <c r="E268" s="13" t="s">
        <v>154</v>
      </c>
      <c r="F268" s="15">
        <v>5</v>
      </c>
      <c r="G268" s="15">
        <v>620</v>
      </c>
      <c r="H268" s="15">
        <v>13.1</v>
      </c>
      <c r="I268" s="15">
        <v>2693.9</v>
      </c>
      <c r="J268" s="13" t="s">
        <v>140</v>
      </c>
      <c r="K268" s="13" t="s">
        <v>99</v>
      </c>
      <c r="L268">
        <f>IF(COUNTIF(A$2:A268, A268)=1, IF(COUNTIF(A$2:A$2001, A268)&gt;1, 1, 0), 0)</f>
        <v>0</v>
      </c>
      <c r="M268" t="b">
        <f>VLOOKUP(D268, Products!A$2:F$61, 6, FALSE)</f>
        <v>1</v>
      </c>
      <c r="N268" t="str">
        <f>VLOOKUP(D268, Products!A$2:C$61, 3, FALSE)</f>
        <v>Apparel</v>
      </c>
      <c r="O268" t="str">
        <f>VLOOKUP(C268, Customers!A$2:E$301, 5, FALSE)</f>
        <v>SMB</v>
      </c>
      <c r="P268">
        <f>VLOOKUP(C268, Customers!A$2:C$301, 3, FALSE)</f>
        <v>38</v>
      </c>
      <c r="Q268" t="str">
        <f>VLOOKUP(E268, Sales_Reps!A$2:C$31, 3, FALSE)</f>
        <v>East</v>
      </c>
      <c r="R268">
        <f>VLOOKUP(D268, Products!A$2:D$61, 4, FALSE)</f>
        <v>396</v>
      </c>
    </row>
    <row r="269" spans="1:18" x14ac:dyDescent="0.3">
      <c r="A269" s="13" t="s">
        <v>631</v>
      </c>
      <c r="B269" s="14">
        <v>45332</v>
      </c>
      <c r="C269" s="13" t="s">
        <v>342</v>
      </c>
      <c r="D269" s="13" t="s">
        <v>143</v>
      </c>
      <c r="E269" s="13" t="s">
        <v>229</v>
      </c>
      <c r="F269" s="15">
        <v>9</v>
      </c>
      <c r="G269" s="15">
        <v>3250</v>
      </c>
      <c r="H269" s="15">
        <v>16.5</v>
      </c>
      <c r="I269" s="15">
        <v>24423.75</v>
      </c>
      <c r="J269" s="13" t="s">
        <v>87</v>
      </c>
      <c r="K269" s="13" t="s">
        <v>94</v>
      </c>
      <c r="L269">
        <f>IF(COUNTIF(A$2:A269, A269)=1, IF(COUNTIF(A$2:A$2001, A269)&gt;1, 1, 0), 0)</f>
        <v>1</v>
      </c>
      <c r="M269" t="b">
        <f>VLOOKUP(D269, Products!A$2:F$61, 6, FALSE)</f>
        <v>1</v>
      </c>
      <c r="N269" t="str">
        <f>VLOOKUP(D269, Products!A$2:C$61, 3, FALSE)</f>
        <v>Home</v>
      </c>
      <c r="O269" t="str">
        <f>VLOOKUP(C269, Customers!A$2:E$301, 5, FALSE)</f>
        <v>Retail</v>
      </c>
      <c r="P269">
        <f>VLOOKUP(C269, Customers!A$2:C$301, 3, FALSE)</f>
        <v>26</v>
      </c>
      <c r="Q269" t="str">
        <f>VLOOKUP(E269, Sales_Reps!A$2:C$31, 3, FALSE)</f>
        <v>West</v>
      </c>
      <c r="R269">
        <f>VLOOKUP(D269, Products!A$2:D$61, 4, FALSE)</f>
        <v>1556</v>
      </c>
    </row>
    <row r="270" spans="1:18" x14ac:dyDescent="0.3">
      <c r="A270" s="13" t="s">
        <v>632</v>
      </c>
      <c r="B270" s="14">
        <v>45299</v>
      </c>
      <c r="C270" s="13" t="s">
        <v>228</v>
      </c>
      <c r="D270" s="13" t="s">
        <v>241</v>
      </c>
      <c r="E270" s="13" t="s">
        <v>273</v>
      </c>
      <c r="F270" s="15">
        <v>1</v>
      </c>
      <c r="G270" s="15">
        <v>6080</v>
      </c>
      <c r="H270" s="15">
        <v>0.1</v>
      </c>
      <c r="I270" s="15">
        <v>6073.92</v>
      </c>
      <c r="J270" s="13" t="s">
        <v>87</v>
      </c>
      <c r="K270" s="13" t="s">
        <v>112</v>
      </c>
      <c r="L270">
        <f>IF(COUNTIF(A$2:A270, A270)=1, IF(COUNTIF(A$2:A$2001, A270)&gt;1, 1, 0), 0)</f>
        <v>0</v>
      </c>
      <c r="M270" t="b">
        <f>VLOOKUP(D270, Products!A$2:F$61, 6, FALSE)</f>
        <v>1</v>
      </c>
      <c r="N270" t="str">
        <f>VLOOKUP(D270, Products!A$2:C$61, 3, FALSE)</f>
        <v>Beauty</v>
      </c>
      <c r="O270" t="str">
        <f>VLOOKUP(C270, Customers!A$2:E$301, 5, FALSE)</f>
        <v>SMB</v>
      </c>
      <c r="P270">
        <f>VLOOKUP(C270, Customers!A$2:C$301, 3, FALSE)</f>
        <v>54</v>
      </c>
      <c r="Q270" t="str">
        <f>VLOOKUP(E270, Sales_Reps!A$2:C$31, 3, FALSE)</f>
        <v>South</v>
      </c>
      <c r="R270">
        <f>VLOOKUP(D270, Products!A$2:D$61, 4, FALSE)</f>
        <v>2617</v>
      </c>
    </row>
    <row r="271" spans="1:18" x14ac:dyDescent="0.3">
      <c r="A271" s="13" t="s">
        <v>633</v>
      </c>
      <c r="B271" s="14">
        <v>45386</v>
      </c>
      <c r="C271" s="13" t="s">
        <v>589</v>
      </c>
      <c r="D271" s="13" t="s">
        <v>237</v>
      </c>
      <c r="E271" s="13" t="s">
        <v>98</v>
      </c>
      <c r="F271" s="15">
        <v>8</v>
      </c>
      <c r="G271" s="15">
        <v>3640</v>
      </c>
      <c r="H271" s="15">
        <v>13.5</v>
      </c>
      <c r="I271" s="15">
        <v>25188.799999999999</v>
      </c>
      <c r="J271" s="13" t="s">
        <v>87</v>
      </c>
      <c r="K271" s="13" t="s">
        <v>94</v>
      </c>
      <c r="L271">
        <f>IF(COUNTIF(A$2:A271, A271)=1, IF(COUNTIF(A$2:A$2001, A271)&gt;1, 1, 0), 0)</f>
        <v>0</v>
      </c>
      <c r="M271" t="b">
        <f>VLOOKUP(D271, Products!A$2:F$61, 6, FALSE)</f>
        <v>1</v>
      </c>
      <c r="N271" t="str">
        <f>VLOOKUP(D271, Products!A$2:C$61, 3, FALSE)</f>
        <v>Apparel</v>
      </c>
      <c r="O271" t="str">
        <f>VLOOKUP(C271, Customers!A$2:E$301, 5, FALSE)</f>
        <v>Corporate</v>
      </c>
      <c r="P271">
        <f>VLOOKUP(C271, Customers!A$2:C$301, 3, FALSE)</f>
        <v>30</v>
      </c>
      <c r="Q271" t="str">
        <f>VLOOKUP(E271, Sales_Reps!A$2:C$31, 3, FALSE)</f>
        <v>South</v>
      </c>
      <c r="R271">
        <f>VLOOKUP(D271, Products!A$2:D$61, 4, FALSE)</f>
        <v>2611</v>
      </c>
    </row>
    <row r="272" spans="1:18" x14ac:dyDescent="0.3">
      <c r="A272" s="13" t="s">
        <v>634</v>
      </c>
      <c r="B272" s="14">
        <v>45472</v>
      </c>
      <c r="C272" s="13" t="s">
        <v>635</v>
      </c>
      <c r="D272" s="13" t="s">
        <v>106</v>
      </c>
      <c r="E272" s="13" t="s">
        <v>92</v>
      </c>
      <c r="F272" s="15">
        <v>9</v>
      </c>
      <c r="G272" s="15">
        <v>3160</v>
      </c>
      <c r="H272" s="15">
        <v>29.7</v>
      </c>
      <c r="I272" s="15">
        <v>19993.32</v>
      </c>
      <c r="J272" s="13" t="s">
        <v>87</v>
      </c>
      <c r="K272" s="13" t="s">
        <v>99</v>
      </c>
      <c r="L272">
        <f>IF(COUNTIF(A$2:A272, A272)=1, IF(COUNTIF(A$2:A$2001, A272)&gt;1, 1, 0), 0)</f>
        <v>0</v>
      </c>
      <c r="M272" t="b">
        <f>VLOOKUP(D272, Products!A$2:F$61, 6, FALSE)</f>
        <v>1</v>
      </c>
      <c r="N272" t="str">
        <f>VLOOKUP(D272, Products!A$2:C$61, 3, FALSE)</f>
        <v>Apparel</v>
      </c>
      <c r="O272" t="str">
        <f>VLOOKUP(C272, Customers!A$2:E$301, 5, FALSE)</f>
        <v>Retail</v>
      </c>
      <c r="P272">
        <f>VLOOKUP(C272, Customers!A$2:C$301, 3, FALSE)</f>
        <v>49</v>
      </c>
      <c r="Q272" t="str">
        <f>VLOOKUP(E272, Sales_Reps!A$2:C$31, 3, FALSE)</f>
        <v>North</v>
      </c>
      <c r="R272">
        <f>VLOOKUP(D272, Products!A$2:D$61, 4, FALSE)</f>
        <v>1886</v>
      </c>
    </row>
    <row r="273" spans="1:18" x14ac:dyDescent="0.3">
      <c r="A273" s="13" t="s">
        <v>636</v>
      </c>
      <c r="B273" s="14">
        <v>45428</v>
      </c>
      <c r="C273" s="13" t="s">
        <v>561</v>
      </c>
      <c r="D273" s="13" t="s">
        <v>248</v>
      </c>
      <c r="E273" s="13" t="s">
        <v>86</v>
      </c>
      <c r="F273" s="15">
        <v>2</v>
      </c>
      <c r="G273" s="15">
        <v>3870</v>
      </c>
      <c r="H273" s="15">
        <v>18.100000000000001</v>
      </c>
      <c r="I273" s="15">
        <v>6339.06</v>
      </c>
      <c r="J273" s="13" t="s">
        <v>140</v>
      </c>
      <c r="K273" s="13" t="s">
        <v>133</v>
      </c>
      <c r="L273">
        <f>IF(COUNTIF(A$2:A273, A273)=1, IF(COUNTIF(A$2:A$2001, A273)&gt;1, 1, 0), 0)</f>
        <v>0</v>
      </c>
      <c r="M273" t="b">
        <f>VLOOKUP(D273, Products!A$2:F$61, 6, FALSE)</f>
        <v>1</v>
      </c>
      <c r="N273" t="str">
        <f>VLOOKUP(D273, Products!A$2:C$61, 3, FALSE)</f>
        <v>Electronics</v>
      </c>
      <c r="O273" t="str">
        <f>VLOOKUP(C273, Customers!A$2:E$301, 5, FALSE)</f>
        <v>SMB</v>
      </c>
      <c r="P273">
        <f>VLOOKUP(C273, Customers!A$2:C$301, 3, FALSE)</f>
        <v>43</v>
      </c>
      <c r="Q273" t="str">
        <f>VLOOKUP(E273, Sales_Reps!A$2:C$31, 3, FALSE)</f>
        <v>North</v>
      </c>
      <c r="R273">
        <f>VLOOKUP(D273, Products!A$2:D$61, 4, FALSE)</f>
        <v>1559</v>
      </c>
    </row>
    <row r="274" spans="1:18" x14ac:dyDescent="0.3">
      <c r="A274" s="13" t="s">
        <v>637</v>
      </c>
      <c r="B274" s="14">
        <v>45430</v>
      </c>
      <c r="C274" s="13" t="s">
        <v>638</v>
      </c>
      <c r="D274" s="13" t="s">
        <v>203</v>
      </c>
      <c r="E274" s="13" t="s">
        <v>170</v>
      </c>
      <c r="F274" s="15">
        <v>3</v>
      </c>
      <c r="G274" s="15">
        <v>660</v>
      </c>
      <c r="H274" s="15">
        <v>9.1999999999999993</v>
      </c>
      <c r="I274" s="15">
        <v>1797.84</v>
      </c>
      <c r="J274" s="13" t="s">
        <v>87</v>
      </c>
      <c r="K274" s="13" t="s">
        <v>99</v>
      </c>
      <c r="L274">
        <f>IF(COUNTIF(A$2:A274, A274)=1, IF(COUNTIF(A$2:A$2001, A274)&gt;1, 1, 0), 0)</f>
        <v>0</v>
      </c>
      <c r="M274" t="b">
        <f>VLOOKUP(D274, Products!A$2:F$61, 6, FALSE)</f>
        <v>1</v>
      </c>
      <c r="N274" t="str">
        <f>VLOOKUP(D274, Products!A$2:C$61, 3, FALSE)</f>
        <v>Home</v>
      </c>
      <c r="O274" t="str">
        <f>VLOOKUP(C274, Customers!A$2:E$301, 5, FALSE)</f>
        <v>Retail</v>
      </c>
      <c r="P274">
        <f>VLOOKUP(C274, Customers!A$2:C$301, 3, FALSE)</f>
        <v>43</v>
      </c>
      <c r="Q274" t="str">
        <f>VLOOKUP(E274, Sales_Reps!A$2:C$31, 3, FALSE)</f>
        <v>West</v>
      </c>
      <c r="R274">
        <f>VLOOKUP(D274, Products!A$2:D$61, 4, FALSE)</f>
        <v>329</v>
      </c>
    </row>
    <row r="275" spans="1:18" x14ac:dyDescent="0.3">
      <c r="A275" s="13" t="s">
        <v>639</v>
      </c>
      <c r="B275" s="14">
        <v>45418</v>
      </c>
      <c r="C275" s="13" t="s">
        <v>405</v>
      </c>
      <c r="D275" s="13" t="s">
        <v>351</v>
      </c>
      <c r="E275" s="13" t="s">
        <v>252</v>
      </c>
      <c r="F275" s="15">
        <v>4</v>
      </c>
      <c r="G275" s="15">
        <v>4060</v>
      </c>
      <c r="H275" s="15">
        <v>28</v>
      </c>
      <c r="I275" s="15">
        <v>11692.8</v>
      </c>
      <c r="J275" s="13" t="s">
        <v>87</v>
      </c>
      <c r="K275" s="13" t="s">
        <v>94</v>
      </c>
      <c r="L275">
        <f>IF(COUNTIF(A$2:A275, A275)=1, IF(COUNTIF(A$2:A$2001, A275)&gt;1, 1, 0), 0)</f>
        <v>0</v>
      </c>
      <c r="M275" t="b">
        <f>VLOOKUP(D275, Products!A$2:F$61, 6, FALSE)</f>
        <v>1</v>
      </c>
      <c r="N275" t="str">
        <f>VLOOKUP(D275, Products!A$2:C$61, 3, FALSE)</f>
        <v>Grocery</v>
      </c>
      <c r="O275" t="str">
        <f>VLOOKUP(C275, Customers!A$2:E$301, 5, FALSE)</f>
        <v>Corporate</v>
      </c>
      <c r="P275">
        <f>VLOOKUP(C275, Customers!A$2:C$301, 3, FALSE)</f>
        <v>24</v>
      </c>
      <c r="Q275" t="str">
        <f>VLOOKUP(E275, Sales_Reps!A$2:C$31, 3, FALSE)</f>
        <v>South</v>
      </c>
      <c r="R275">
        <f>VLOOKUP(D275, Products!A$2:D$61, 4, FALSE)</f>
        <v>2911</v>
      </c>
    </row>
    <row r="276" spans="1:18" x14ac:dyDescent="0.3">
      <c r="A276" s="13" t="s">
        <v>640</v>
      </c>
      <c r="B276" s="14">
        <v>45360</v>
      </c>
      <c r="C276" s="13" t="s">
        <v>357</v>
      </c>
      <c r="D276" s="13" t="s">
        <v>443</v>
      </c>
      <c r="E276" s="13" t="s">
        <v>346</v>
      </c>
      <c r="F276" s="15">
        <v>2</v>
      </c>
      <c r="G276" s="15">
        <v>5080</v>
      </c>
      <c r="H276" s="15">
        <v>7.7</v>
      </c>
      <c r="I276" s="15">
        <v>9377.68</v>
      </c>
      <c r="J276" s="13" t="s">
        <v>144</v>
      </c>
      <c r="K276" s="13" t="s">
        <v>99</v>
      </c>
      <c r="L276">
        <f>IF(COUNTIF(A$2:A276, A276)=1, IF(COUNTIF(A$2:A$2001, A276)&gt;1, 1, 0), 0)</f>
        <v>0</v>
      </c>
      <c r="M276" t="b">
        <f>VLOOKUP(D276, Products!A$2:F$61, 6, FALSE)</f>
        <v>1</v>
      </c>
      <c r="N276" t="str">
        <f>VLOOKUP(D276, Products!A$2:C$61, 3, FALSE)</f>
        <v>Home</v>
      </c>
      <c r="O276" t="str">
        <f>VLOOKUP(C276, Customers!A$2:E$301, 5, FALSE)</f>
        <v>SMB</v>
      </c>
      <c r="P276">
        <f>VLOOKUP(C276, Customers!A$2:C$301, 3, FALSE)</f>
        <v>38</v>
      </c>
      <c r="Q276" t="str">
        <f>VLOOKUP(E276, Sales_Reps!A$2:C$31, 3, FALSE)</f>
        <v>South</v>
      </c>
      <c r="R276">
        <f>VLOOKUP(D276, Products!A$2:D$61, 4, FALSE)</f>
        <v>2459</v>
      </c>
    </row>
    <row r="277" spans="1:18" x14ac:dyDescent="0.3">
      <c r="A277" s="13" t="s">
        <v>641</v>
      </c>
      <c r="B277" s="14">
        <v>45296</v>
      </c>
      <c r="C277" s="13" t="s">
        <v>312</v>
      </c>
      <c r="D277" s="13" t="s">
        <v>187</v>
      </c>
      <c r="E277" s="13" t="s">
        <v>92</v>
      </c>
      <c r="F277" s="15">
        <v>3</v>
      </c>
      <c r="G277" s="15">
        <v>3570</v>
      </c>
      <c r="H277" s="15">
        <v>9.5</v>
      </c>
      <c r="I277" s="15">
        <v>9692.5499999999993</v>
      </c>
      <c r="J277" s="13" t="s">
        <v>87</v>
      </c>
      <c r="K277" s="13" t="s">
        <v>133</v>
      </c>
      <c r="L277">
        <f>IF(COUNTIF(A$2:A277, A277)=1, IF(COUNTIF(A$2:A$2001, A277)&gt;1, 1, 0), 0)</f>
        <v>0</v>
      </c>
      <c r="M277" t="b">
        <f>VLOOKUP(D277, Products!A$2:F$61, 6, FALSE)</f>
        <v>1</v>
      </c>
      <c r="N277" t="str">
        <f>VLOOKUP(D277, Products!A$2:C$61, 3, FALSE)</f>
        <v>Electronics</v>
      </c>
      <c r="O277" t="str">
        <f>VLOOKUP(C277, Customers!A$2:E$301, 5, FALSE)</f>
        <v>Retail</v>
      </c>
      <c r="P277">
        <f>VLOOKUP(C277, Customers!A$2:C$301, 3, FALSE)</f>
        <v>46</v>
      </c>
      <c r="Q277" t="str">
        <f>VLOOKUP(E277, Sales_Reps!A$2:C$31, 3, FALSE)</f>
        <v>North</v>
      </c>
      <c r="R277">
        <f>VLOOKUP(D277, Products!A$2:D$61, 4, FALSE)</f>
        <v>1665</v>
      </c>
    </row>
    <row r="278" spans="1:18" x14ac:dyDescent="0.3">
      <c r="A278" s="13" t="s">
        <v>642</v>
      </c>
      <c r="B278" s="14">
        <v>45460</v>
      </c>
      <c r="C278" s="13" t="s">
        <v>643</v>
      </c>
      <c r="D278" s="13" t="s">
        <v>292</v>
      </c>
      <c r="E278" s="13" t="s">
        <v>192</v>
      </c>
      <c r="F278" s="15">
        <v>2</v>
      </c>
      <c r="G278" s="15">
        <v>620</v>
      </c>
      <c r="H278" s="15">
        <v>29.5</v>
      </c>
      <c r="I278" s="15">
        <v>874.2</v>
      </c>
      <c r="J278" s="13" t="s">
        <v>87</v>
      </c>
      <c r="K278" s="13" t="s">
        <v>112</v>
      </c>
      <c r="L278">
        <f>IF(COUNTIF(A$2:A278, A278)=1, IF(COUNTIF(A$2:A$2001, A278)&gt;1, 1, 0), 0)</f>
        <v>0</v>
      </c>
      <c r="M278" t="b">
        <f>VLOOKUP(D278, Products!A$2:F$61, 6, FALSE)</f>
        <v>1</v>
      </c>
      <c r="N278" t="str">
        <f>VLOOKUP(D278, Products!A$2:C$61, 3, FALSE)</f>
        <v>Apparel</v>
      </c>
      <c r="O278" t="str">
        <f>VLOOKUP(C278, Customers!A$2:E$301, 5, FALSE)</f>
        <v>SMB</v>
      </c>
      <c r="P278">
        <f>VLOOKUP(C278, Customers!A$2:C$301, 3, FALSE)</f>
        <v>27</v>
      </c>
      <c r="Q278" t="str">
        <f>VLOOKUP(E278, Sales_Reps!A$2:C$31, 3, FALSE)</f>
        <v>East</v>
      </c>
      <c r="R278">
        <f>VLOOKUP(D278, Products!A$2:D$61, 4, FALSE)</f>
        <v>396</v>
      </c>
    </row>
    <row r="279" spans="1:18" x14ac:dyDescent="0.3">
      <c r="A279" s="13" t="s">
        <v>644</v>
      </c>
      <c r="B279" s="14">
        <v>45638</v>
      </c>
      <c r="C279" s="13" t="s">
        <v>403</v>
      </c>
      <c r="D279" s="13" t="s">
        <v>452</v>
      </c>
      <c r="E279" s="13" t="s">
        <v>252</v>
      </c>
      <c r="F279" s="15">
        <v>3</v>
      </c>
      <c r="G279" s="15">
        <v>3450</v>
      </c>
      <c r="H279" s="15">
        <v>3</v>
      </c>
      <c r="I279" s="15">
        <v>10039.5</v>
      </c>
      <c r="J279" s="13" t="s">
        <v>87</v>
      </c>
      <c r="K279" s="13" t="s">
        <v>117</v>
      </c>
      <c r="L279">
        <f>IF(COUNTIF(A$2:A279, A279)=1, IF(COUNTIF(A$2:A$2001, A279)&gt;1, 1, 0), 0)</f>
        <v>0</v>
      </c>
      <c r="M279" t="b">
        <f>VLOOKUP(D279, Products!A$2:F$61, 6, FALSE)</f>
        <v>1</v>
      </c>
      <c r="N279" t="str">
        <f>VLOOKUP(D279, Products!A$2:C$61, 3, FALSE)</f>
        <v>Apparel</v>
      </c>
      <c r="O279" t="str">
        <f>VLOOKUP(C279, Customers!A$2:E$301, 5, FALSE)</f>
        <v>Retail</v>
      </c>
      <c r="P279">
        <f>VLOOKUP(C279, Customers!A$2:C$301, 3, FALSE)</f>
        <v>59</v>
      </c>
      <c r="Q279" t="str">
        <f>VLOOKUP(E279, Sales_Reps!A$2:C$31, 3, FALSE)</f>
        <v>South</v>
      </c>
      <c r="R279">
        <f>VLOOKUP(D279, Products!A$2:D$61, 4, FALSE)</f>
        <v>1748</v>
      </c>
    </row>
    <row r="280" spans="1:18" x14ac:dyDescent="0.3">
      <c r="A280" s="13" t="s">
        <v>645</v>
      </c>
      <c r="B280" s="14">
        <v>45408</v>
      </c>
      <c r="C280" s="13" t="s">
        <v>522</v>
      </c>
      <c r="D280" s="13" t="s">
        <v>191</v>
      </c>
      <c r="E280" s="13" t="s">
        <v>103</v>
      </c>
      <c r="F280" s="15">
        <v>7</v>
      </c>
      <c r="G280" s="15">
        <v>5100</v>
      </c>
      <c r="H280" s="15">
        <v>4.3</v>
      </c>
      <c r="I280" s="15">
        <v>34164.9</v>
      </c>
      <c r="J280" s="13" t="s">
        <v>87</v>
      </c>
      <c r="K280" s="13" t="s">
        <v>99</v>
      </c>
      <c r="L280">
        <f>IF(COUNTIF(A$2:A280, A280)=1, IF(COUNTIF(A$2:A$2001, A280)&gt;1, 1, 0), 0)</f>
        <v>0</v>
      </c>
      <c r="M280" t="b">
        <f>VLOOKUP(D280, Products!A$2:F$61, 6, FALSE)</f>
        <v>1</v>
      </c>
      <c r="N280" t="str">
        <f>VLOOKUP(D280, Products!A$2:C$61, 3, FALSE)</f>
        <v>Beauty</v>
      </c>
      <c r="O280" t="str">
        <f>VLOOKUP(C280, Customers!A$2:E$301, 5, FALSE)</f>
        <v>SMB</v>
      </c>
      <c r="P280">
        <f>VLOOKUP(C280, Customers!A$2:C$301, 3, FALSE)</f>
        <v>55</v>
      </c>
      <c r="Q280" t="str">
        <f>VLOOKUP(E280, Sales_Reps!A$2:C$31, 3, FALSE)</f>
        <v>North</v>
      </c>
      <c r="R280">
        <f>VLOOKUP(D280, Products!A$2:D$61, 4, FALSE)</f>
        <v>2237</v>
      </c>
    </row>
    <row r="281" spans="1:18" x14ac:dyDescent="0.3">
      <c r="A281" s="13" t="s">
        <v>646</v>
      </c>
      <c r="B281" s="14">
        <v>45541</v>
      </c>
      <c r="C281" s="13" t="s">
        <v>429</v>
      </c>
      <c r="D281" s="13" t="s">
        <v>248</v>
      </c>
      <c r="E281" s="13" t="s">
        <v>148</v>
      </c>
      <c r="F281" s="15">
        <v>9</v>
      </c>
      <c r="G281" s="15">
        <v>3870</v>
      </c>
      <c r="H281" s="15">
        <v>4.8</v>
      </c>
      <c r="I281" s="15">
        <v>33158.160000000003</v>
      </c>
      <c r="J281" s="13" t="s">
        <v>87</v>
      </c>
      <c r="K281" s="13" t="s">
        <v>117</v>
      </c>
      <c r="L281">
        <f>IF(COUNTIF(A$2:A281, A281)=1, IF(COUNTIF(A$2:A$2001, A281)&gt;1, 1, 0), 0)</f>
        <v>0</v>
      </c>
      <c r="M281" t="b">
        <f>VLOOKUP(D281, Products!A$2:F$61, 6, FALSE)</f>
        <v>1</v>
      </c>
      <c r="N281" t="str">
        <f>VLOOKUP(D281, Products!A$2:C$61, 3, FALSE)</f>
        <v>Electronics</v>
      </c>
      <c r="O281" t="str">
        <f>VLOOKUP(C281, Customers!A$2:E$301, 5, FALSE)</f>
        <v>Retail</v>
      </c>
      <c r="P281">
        <f>VLOOKUP(C281, Customers!A$2:C$301, 3, FALSE)</f>
        <v>55</v>
      </c>
      <c r="Q281" t="str">
        <f>VLOOKUP(E281, Sales_Reps!A$2:C$31, 3, FALSE)</f>
        <v>North</v>
      </c>
      <c r="R281">
        <f>VLOOKUP(D281, Products!A$2:D$61, 4, FALSE)</f>
        <v>1559</v>
      </c>
    </row>
    <row r="282" spans="1:18" x14ac:dyDescent="0.3">
      <c r="A282" s="13" t="s">
        <v>647</v>
      </c>
      <c r="B282" s="14">
        <v>45633</v>
      </c>
      <c r="C282" s="13" t="s">
        <v>608</v>
      </c>
      <c r="D282" s="13" t="s">
        <v>267</v>
      </c>
      <c r="E282" s="13" t="s">
        <v>229</v>
      </c>
      <c r="F282" s="15">
        <v>5</v>
      </c>
      <c r="G282" s="15">
        <v>1220</v>
      </c>
      <c r="H282" s="15">
        <v>4</v>
      </c>
      <c r="I282" s="15">
        <v>5856</v>
      </c>
      <c r="J282" s="13" t="s">
        <v>140</v>
      </c>
      <c r="K282" s="13" t="s">
        <v>88</v>
      </c>
      <c r="L282">
        <f>IF(COUNTIF(A$2:A282, A282)=1, IF(COUNTIF(A$2:A$2001, A282)&gt;1, 1, 0), 0)</f>
        <v>0</v>
      </c>
      <c r="M282" t="b">
        <f>VLOOKUP(D282, Products!A$2:F$61, 6, FALSE)</f>
        <v>1</v>
      </c>
      <c r="N282" t="str">
        <f>VLOOKUP(D282, Products!A$2:C$61, 3, FALSE)</f>
        <v>Electronics</v>
      </c>
      <c r="O282" t="str">
        <f>VLOOKUP(C282, Customers!A$2:E$301, 5, FALSE)</f>
        <v>Corporate</v>
      </c>
      <c r="P282">
        <f>VLOOKUP(C282, Customers!A$2:C$301, 3, FALSE)</f>
        <v>40</v>
      </c>
      <c r="Q282" t="str">
        <f>VLOOKUP(E282, Sales_Reps!A$2:C$31, 3, FALSE)</f>
        <v>West</v>
      </c>
      <c r="R282">
        <f>VLOOKUP(D282, Products!A$2:D$61, 4, FALSE)</f>
        <v>517</v>
      </c>
    </row>
    <row r="283" spans="1:18" x14ac:dyDescent="0.3">
      <c r="A283" s="13" t="s">
        <v>648</v>
      </c>
      <c r="B283" s="14">
        <v>45338</v>
      </c>
      <c r="C283" s="13" t="s">
        <v>166</v>
      </c>
      <c r="D283" s="13" t="s">
        <v>124</v>
      </c>
      <c r="E283" s="13" t="s">
        <v>154</v>
      </c>
      <c r="F283" s="15">
        <v>5</v>
      </c>
      <c r="G283" s="15">
        <v>5490</v>
      </c>
      <c r="H283" s="15">
        <v>19.8</v>
      </c>
      <c r="I283" s="15">
        <v>22014.9</v>
      </c>
      <c r="J283" s="13" t="s">
        <v>87</v>
      </c>
      <c r="K283" s="13" t="s">
        <v>133</v>
      </c>
      <c r="L283">
        <f>IF(COUNTIF(A$2:A283, A283)=1, IF(COUNTIF(A$2:A$2001, A283)&gt;1, 1, 0), 0)</f>
        <v>0</v>
      </c>
      <c r="M283" t="b">
        <f>VLOOKUP(D283, Products!A$2:F$61, 6, FALSE)</f>
        <v>1</v>
      </c>
      <c r="N283" t="str">
        <f>VLOOKUP(D283, Products!A$2:C$61, 3, FALSE)</f>
        <v>Home</v>
      </c>
      <c r="O283" t="str">
        <f>VLOOKUP(C283, Customers!A$2:E$301, 5, FALSE)</f>
        <v>Retail</v>
      </c>
      <c r="P283">
        <f>VLOOKUP(C283, Customers!A$2:C$301, 3, FALSE)</f>
        <v>32</v>
      </c>
      <c r="Q283" t="str">
        <f>VLOOKUP(E283, Sales_Reps!A$2:C$31, 3, FALSE)</f>
        <v>East</v>
      </c>
      <c r="R283">
        <f>VLOOKUP(D283, Products!A$2:D$61, 4, FALSE)</f>
        <v>2549</v>
      </c>
    </row>
    <row r="284" spans="1:18" x14ac:dyDescent="0.3">
      <c r="A284" s="13" t="s">
        <v>649</v>
      </c>
      <c r="B284" s="14">
        <v>45529</v>
      </c>
      <c r="C284" s="13" t="s">
        <v>385</v>
      </c>
      <c r="D284" s="13" t="s">
        <v>176</v>
      </c>
      <c r="E284" s="13" t="s">
        <v>215</v>
      </c>
      <c r="F284" s="15">
        <v>1</v>
      </c>
      <c r="G284" s="15">
        <v>1650</v>
      </c>
      <c r="H284" s="15">
        <v>26.2</v>
      </c>
      <c r="I284" s="15">
        <v>1217.7</v>
      </c>
      <c r="J284" s="13" t="s">
        <v>87</v>
      </c>
      <c r="K284" s="13" t="s">
        <v>117</v>
      </c>
      <c r="L284">
        <f>IF(COUNTIF(A$2:A284, A284)=1, IF(COUNTIF(A$2:A$2001, A284)&gt;1, 1, 0), 0)</f>
        <v>0</v>
      </c>
      <c r="M284" t="b">
        <f>VLOOKUP(D284, Products!A$2:F$61, 6, FALSE)</f>
        <v>1</v>
      </c>
      <c r="N284" t="str">
        <f>VLOOKUP(D284, Products!A$2:C$61, 3, FALSE)</f>
        <v>Beauty</v>
      </c>
      <c r="O284" t="str">
        <f>VLOOKUP(C284, Customers!A$2:E$301, 5, FALSE)</f>
        <v>Retail</v>
      </c>
      <c r="P284">
        <f>VLOOKUP(C284, Customers!A$2:C$301, 3, FALSE)</f>
        <v>23</v>
      </c>
      <c r="Q284" t="str">
        <f>VLOOKUP(E284, Sales_Reps!A$2:C$31, 3, FALSE)</f>
        <v>North</v>
      </c>
      <c r="R284">
        <f>VLOOKUP(D284, Products!A$2:D$61, 4, FALSE)</f>
        <v>1222</v>
      </c>
    </row>
    <row r="285" spans="1:18" x14ac:dyDescent="0.3">
      <c r="A285" s="13" t="s">
        <v>650</v>
      </c>
      <c r="B285" s="14">
        <v>45460</v>
      </c>
      <c r="C285" s="13" t="s">
        <v>651</v>
      </c>
      <c r="D285" s="13" t="s">
        <v>279</v>
      </c>
      <c r="E285" s="13" t="s">
        <v>148</v>
      </c>
      <c r="F285" s="15">
        <v>1</v>
      </c>
      <c r="G285" s="15">
        <v>2660</v>
      </c>
      <c r="H285" s="15">
        <v>21</v>
      </c>
      <c r="I285" s="15">
        <v>2101.4</v>
      </c>
      <c r="J285" s="13" t="s">
        <v>87</v>
      </c>
      <c r="K285" s="13" t="s">
        <v>133</v>
      </c>
      <c r="L285">
        <f>IF(COUNTIF(A$2:A285, A285)=1, IF(COUNTIF(A$2:A$2001, A285)&gt;1, 1, 0), 0)</f>
        <v>0</v>
      </c>
      <c r="M285" t="b">
        <f>VLOOKUP(D285, Products!A$2:F$61, 6, FALSE)</f>
        <v>0</v>
      </c>
      <c r="N285" t="str">
        <f>VLOOKUP(D285, Products!A$2:C$61, 3, FALSE)</f>
        <v>Electronics</v>
      </c>
      <c r="O285" t="str">
        <f>VLOOKUP(C285, Customers!A$2:E$301, 5, FALSE)</f>
        <v>Retail</v>
      </c>
      <c r="P285">
        <f>VLOOKUP(C285, Customers!A$2:C$301, 3, FALSE)</f>
        <v>50</v>
      </c>
      <c r="Q285" t="str">
        <f>VLOOKUP(E285, Sales_Reps!A$2:C$31, 3, FALSE)</f>
        <v>North</v>
      </c>
      <c r="R285">
        <f>VLOOKUP(D285, Products!A$2:D$61, 4, FALSE)</f>
        <v>1259</v>
      </c>
    </row>
    <row r="286" spans="1:18" x14ac:dyDescent="0.3">
      <c r="A286" s="13" t="s">
        <v>652</v>
      </c>
      <c r="B286" s="14">
        <v>45375</v>
      </c>
      <c r="C286" s="13" t="s">
        <v>331</v>
      </c>
      <c r="D286" s="13" t="s">
        <v>338</v>
      </c>
      <c r="E286" s="13" t="s">
        <v>148</v>
      </c>
      <c r="F286" s="15">
        <v>6</v>
      </c>
      <c r="G286" s="15">
        <v>2210</v>
      </c>
      <c r="H286" s="15">
        <v>9.8000000000000007</v>
      </c>
      <c r="I286" s="15">
        <v>11960.52</v>
      </c>
      <c r="J286" s="13" t="s">
        <v>93</v>
      </c>
      <c r="K286" s="13" t="s">
        <v>117</v>
      </c>
      <c r="L286">
        <f>IF(COUNTIF(A$2:A286, A286)=1, IF(COUNTIF(A$2:A$2001, A286)&gt;1, 1, 0), 0)</f>
        <v>0</v>
      </c>
      <c r="M286" t="b">
        <f>VLOOKUP(D286, Products!A$2:F$61, 6, FALSE)</f>
        <v>1</v>
      </c>
      <c r="N286" t="str">
        <f>VLOOKUP(D286, Products!A$2:C$61, 3, FALSE)</f>
        <v>Grocery</v>
      </c>
      <c r="O286" t="str">
        <f>VLOOKUP(C286, Customers!A$2:E$301, 5, FALSE)</f>
        <v>Corporate</v>
      </c>
      <c r="P286">
        <f>VLOOKUP(C286, Customers!A$2:C$301, 3, FALSE)</f>
        <v>59</v>
      </c>
      <c r="Q286" t="str">
        <f>VLOOKUP(E286, Sales_Reps!A$2:C$31, 3, FALSE)</f>
        <v>North</v>
      </c>
      <c r="R286">
        <f>VLOOKUP(D286, Products!A$2:D$61, 4, FALSE)</f>
        <v>1010</v>
      </c>
    </row>
    <row r="287" spans="1:18" x14ac:dyDescent="0.3">
      <c r="A287" s="13" t="s">
        <v>653</v>
      </c>
      <c r="B287" s="14">
        <v>45310</v>
      </c>
      <c r="C287" s="13" t="s">
        <v>522</v>
      </c>
      <c r="D287" s="13" t="s">
        <v>138</v>
      </c>
      <c r="E287" s="13" t="s">
        <v>215</v>
      </c>
      <c r="F287" s="15">
        <v>9</v>
      </c>
      <c r="G287" s="15">
        <v>2600</v>
      </c>
      <c r="H287" s="15">
        <v>15.7</v>
      </c>
      <c r="I287" s="15">
        <v>19726.2</v>
      </c>
      <c r="J287" s="13" t="s">
        <v>87</v>
      </c>
      <c r="K287" s="13" t="s">
        <v>99</v>
      </c>
      <c r="L287">
        <f>IF(COUNTIF(A$2:A287, A287)=1, IF(COUNTIF(A$2:A$2001, A287)&gt;1, 1, 0), 0)</f>
        <v>0</v>
      </c>
      <c r="M287" t="b">
        <f>VLOOKUP(D287, Products!A$2:F$61, 6, FALSE)</f>
        <v>1</v>
      </c>
      <c r="N287" t="str">
        <f>VLOOKUP(D287, Products!A$2:C$61, 3, FALSE)</f>
        <v>Electronics</v>
      </c>
      <c r="O287" t="str">
        <f>VLOOKUP(C287, Customers!A$2:E$301, 5, FALSE)</f>
        <v>SMB</v>
      </c>
      <c r="P287">
        <f>VLOOKUP(C287, Customers!A$2:C$301, 3, FALSE)</f>
        <v>55</v>
      </c>
      <c r="Q287" t="str">
        <f>VLOOKUP(E287, Sales_Reps!A$2:C$31, 3, FALSE)</f>
        <v>North</v>
      </c>
      <c r="R287">
        <f>VLOOKUP(D287, Products!A$2:D$61, 4, FALSE)</f>
        <v>1052</v>
      </c>
    </row>
    <row r="288" spans="1:18" x14ac:dyDescent="0.3">
      <c r="A288" s="13" t="s">
        <v>654</v>
      </c>
      <c r="B288" s="14">
        <v>45314</v>
      </c>
      <c r="C288" s="13" t="s">
        <v>655</v>
      </c>
      <c r="D288" s="13" t="s">
        <v>276</v>
      </c>
      <c r="E288" s="13" t="s">
        <v>111</v>
      </c>
      <c r="F288" s="15">
        <v>3</v>
      </c>
      <c r="G288" s="15">
        <v>3020</v>
      </c>
      <c r="H288" s="15">
        <v>22.6</v>
      </c>
      <c r="I288" s="15">
        <v>7012.44</v>
      </c>
      <c r="J288" s="13" t="s">
        <v>87</v>
      </c>
      <c r="K288" s="13" t="s">
        <v>133</v>
      </c>
      <c r="L288">
        <f>IF(COUNTIF(A$2:A288, A288)=1, IF(COUNTIF(A$2:A$2001, A288)&gt;1, 1, 0), 0)</f>
        <v>0</v>
      </c>
      <c r="M288" t="b">
        <f>VLOOKUP(D288, Products!A$2:F$61, 6, FALSE)</f>
        <v>1</v>
      </c>
      <c r="N288" t="str">
        <f>VLOOKUP(D288, Products!A$2:C$61, 3, FALSE)</f>
        <v>Beauty</v>
      </c>
      <c r="O288" t="str">
        <f>VLOOKUP(C288, Customers!A$2:E$301, 5, FALSE)</f>
        <v>Retail</v>
      </c>
      <c r="P288">
        <f>VLOOKUP(C288, Customers!A$2:C$301, 3, FALSE)</f>
        <v>27</v>
      </c>
      <c r="Q288" t="str">
        <f>VLOOKUP(E288, Sales_Reps!A$2:C$31, 3, FALSE)</f>
        <v>West</v>
      </c>
      <c r="R288">
        <f>VLOOKUP(D288, Products!A$2:D$61, 4, FALSE)</f>
        <v>1626</v>
      </c>
    </row>
    <row r="289" spans="1:18" x14ac:dyDescent="0.3">
      <c r="A289" s="13" t="s">
        <v>656</v>
      </c>
      <c r="B289" s="14">
        <v>45459</v>
      </c>
      <c r="C289" s="13" t="s">
        <v>314</v>
      </c>
      <c r="D289" s="13" t="s">
        <v>110</v>
      </c>
      <c r="E289" s="13" t="s">
        <v>92</v>
      </c>
      <c r="F289" s="15">
        <v>6</v>
      </c>
      <c r="G289" s="15">
        <v>370</v>
      </c>
      <c r="H289" s="15">
        <v>12.4</v>
      </c>
      <c r="I289" s="15">
        <v>1944.72</v>
      </c>
      <c r="J289" s="13" t="s">
        <v>87</v>
      </c>
      <c r="K289" s="13" t="s">
        <v>88</v>
      </c>
      <c r="L289">
        <f>IF(COUNTIF(A$2:A289, A289)=1, IF(COUNTIF(A$2:A$2001, A289)&gt;1, 1, 0), 0)</f>
        <v>0</v>
      </c>
      <c r="M289" t="b">
        <f>VLOOKUP(D289, Products!A$2:F$61, 6, FALSE)</f>
        <v>1</v>
      </c>
      <c r="N289" t="str">
        <f>VLOOKUP(D289, Products!A$2:C$61, 3, FALSE)</f>
        <v>Home</v>
      </c>
      <c r="O289" t="str">
        <f>VLOOKUP(C289, Customers!A$2:E$301, 5, FALSE)</f>
        <v>Corporate</v>
      </c>
      <c r="P289">
        <f>VLOOKUP(C289, Customers!A$2:C$301, 3, FALSE)</f>
        <v>33</v>
      </c>
      <c r="Q289" t="str">
        <f>VLOOKUP(E289, Sales_Reps!A$2:C$31, 3, FALSE)</f>
        <v>North</v>
      </c>
      <c r="R289">
        <f>VLOOKUP(D289, Products!A$2:D$61, 4, FALSE)</f>
        <v>288</v>
      </c>
    </row>
    <row r="290" spans="1:18" x14ac:dyDescent="0.3">
      <c r="A290" s="13" t="s">
        <v>657</v>
      </c>
      <c r="B290" s="14">
        <v>45312</v>
      </c>
      <c r="C290" s="13" t="s">
        <v>615</v>
      </c>
      <c r="D290" s="13" t="s">
        <v>364</v>
      </c>
      <c r="E290" s="13" t="s">
        <v>103</v>
      </c>
      <c r="F290" s="15">
        <v>8</v>
      </c>
      <c r="G290" s="15">
        <v>5330</v>
      </c>
      <c r="H290" s="15">
        <v>16.2</v>
      </c>
      <c r="I290" s="15">
        <v>35732.32</v>
      </c>
      <c r="J290" s="13" t="s">
        <v>87</v>
      </c>
      <c r="K290" s="13" t="s">
        <v>112</v>
      </c>
      <c r="L290">
        <f>IF(COUNTIF(A$2:A290, A290)=1, IF(COUNTIF(A$2:A$2001, A290)&gt;1, 1, 0), 0)</f>
        <v>0</v>
      </c>
      <c r="M290" t="b">
        <f>VLOOKUP(D290, Products!A$2:F$61, 6, FALSE)</f>
        <v>1</v>
      </c>
      <c r="N290" t="str">
        <f>VLOOKUP(D290, Products!A$2:C$61, 3, FALSE)</f>
        <v>Electronics</v>
      </c>
      <c r="O290" t="str">
        <f>VLOOKUP(C290, Customers!A$2:E$301, 5, FALSE)</f>
        <v>Retail</v>
      </c>
      <c r="P290">
        <f>VLOOKUP(C290, Customers!A$2:C$301, 3, FALSE)</f>
        <v>53</v>
      </c>
      <c r="Q290" t="str">
        <f>VLOOKUP(E290, Sales_Reps!A$2:C$31, 3, FALSE)</f>
        <v>North</v>
      </c>
      <c r="R290">
        <f>VLOOKUP(D290, Products!A$2:D$61, 4, FALSE)</f>
        <v>2405</v>
      </c>
    </row>
    <row r="291" spans="1:18" x14ac:dyDescent="0.3">
      <c r="A291" s="13" t="s">
        <v>658</v>
      </c>
      <c r="B291" s="14">
        <v>45500</v>
      </c>
      <c r="C291" s="13" t="s">
        <v>225</v>
      </c>
      <c r="D291" s="13" t="s">
        <v>659</v>
      </c>
      <c r="E291" s="13" t="s">
        <v>170</v>
      </c>
      <c r="F291" s="15">
        <v>4</v>
      </c>
      <c r="G291" s="15">
        <v>3560</v>
      </c>
      <c r="H291" s="15">
        <v>10.5</v>
      </c>
      <c r="I291" s="15">
        <v>12744.8</v>
      </c>
      <c r="J291" s="13" t="s">
        <v>87</v>
      </c>
      <c r="K291" s="13" t="s">
        <v>94</v>
      </c>
      <c r="L291">
        <f>IF(COUNTIF(A$2:A291, A291)=1, IF(COUNTIF(A$2:A$2001, A291)&gt;1, 1, 0), 0)</f>
        <v>0</v>
      </c>
      <c r="M291" t="b">
        <f>VLOOKUP(D291, Products!A$2:F$61, 6, FALSE)</f>
        <v>1</v>
      </c>
      <c r="N291" t="str">
        <f>VLOOKUP(D291, Products!A$2:C$61, 3, FALSE)</f>
        <v>Apparel</v>
      </c>
      <c r="O291" t="str">
        <f>VLOOKUP(C291, Customers!A$2:E$301, 5, FALSE)</f>
        <v>Retail</v>
      </c>
      <c r="P291">
        <f>VLOOKUP(C291, Customers!A$2:C$301, 3, FALSE)</f>
        <v>37</v>
      </c>
      <c r="Q291" t="str">
        <f>VLOOKUP(E291, Sales_Reps!A$2:C$31, 3, FALSE)</f>
        <v>West</v>
      </c>
      <c r="R291">
        <f>VLOOKUP(D291, Products!A$2:D$61, 4, FALSE)</f>
        <v>2629</v>
      </c>
    </row>
    <row r="292" spans="1:18" x14ac:dyDescent="0.3">
      <c r="A292" s="13" t="s">
        <v>660</v>
      </c>
      <c r="B292" s="14">
        <v>45389</v>
      </c>
      <c r="C292" s="13" t="s">
        <v>604</v>
      </c>
      <c r="D292" s="13" t="s">
        <v>182</v>
      </c>
      <c r="E292" s="13" t="s">
        <v>170</v>
      </c>
      <c r="F292" s="15">
        <v>10</v>
      </c>
      <c r="G292" s="15">
        <v>1010</v>
      </c>
      <c r="H292" s="15">
        <v>10.8</v>
      </c>
      <c r="I292" s="15">
        <v>9009.2000000000007</v>
      </c>
      <c r="J292" s="13" t="s">
        <v>87</v>
      </c>
      <c r="K292" s="13" t="s">
        <v>117</v>
      </c>
      <c r="L292">
        <f>IF(COUNTIF(A$2:A292, A292)=1, IF(COUNTIF(A$2:A$2001, A292)&gt;1, 1, 0), 0)</f>
        <v>0</v>
      </c>
      <c r="M292" t="b">
        <f>VLOOKUP(D292, Products!A$2:F$61, 6, FALSE)</f>
        <v>1</v>
      </c>
      <c r="N292" t="str">
        <f>VLOOKUP(D292, Products!A$2:C$61, 3, FALSE)</f>
        <v>Sports</v>
      </c>
      <c r="O292" t="str">
        <f>VLOOKUP(C292, Customers!A$2:E$301, 5, FALSE)</f>
        <v>Retail</v>
      </c>
      <c r="P292">
        <f>VLOOKUP(C292, Customers!A$2:C$301, 3, FALSE)</f>
        <v>34</v>
      </c>
      <c r="Q292" t="str">
        <f>VLOOKUP(E292, Sales_Reps!A$2:C$31, 3, FALSE)</f>
        <v>West</v>
      </c>
      <c r="R292">
        <f>VLOOKUP(D292, Products!A$2:D$61, 4, FALSE)</f>
        <v>516</v>
      </c>
    </row>
    <row r="293" spans="1:18" x14ac:dyDescent="0.3">
      <c r="A293" s="13" t="s">
        <v>661</v>
      </c>
      <c r="B293" s="14">
        <v>45619</v>
      </c>
      <c r="C293" s="13" t="s">
        <v>662</v>
      </c>
      <c r="D293" s="13" t="s">
        <v>515</v>
      </c>
      <c r="E293" s="13" t="s">
        <v>103</v>
      </c>
      <c r="F293" s="15">
        <v>8</v>
      </c>
      <c r="G293" s="15">
        <v>6940</v>
      </c>
      <c r="H293" s="15">
        <v>3.2</v>
      </c>
      <c r="I293" s="15">
        <v>53743.360000000001</v>
      </c>
      <c r="J293" s="13" t="s">
        <v>140</v>
      </c>
      <c r="K293" s="13" t="s">
        <v>94</v>
      </c>
      <c r="L293">
        <f>IF(COUNTIF(A$2:A293, A293)=1, IF(COUNTIF(A$2:A$2001, A293)&gt;1, 1, 0), 0)</f>
        <v>0</v>
      </c>
      <c r="M293" t="b">
        <f>VLOOKUP(D293, Products!A$2:F$61, 6, FALSE)</f>
        <v>1</v>
      </c>
      <c r="N293" t="str">
        <f>VLOOKUP(D293, Products!A$2:C$61, 3, FALSE)</f>
        <v>Sports</v>
      </c>
      <c r="O293" t="str">
        <f>VLOOKUP(C293, Customers!A$2:E$301, 5, FALSE)</f>
        <v>Corporate</v>
      </c>
      <c r="P293">
        <f>VLOOKUP(C293, Customers!A$2:C$301, 3, FALSE)</f>
        <v>41</v>
      </c>
      <c r="Q293" t="str">
        <f>VLOOKUP(E293, Sales_Reps!A$2:C$31, 3, FALSE)</f>
        <v>North</v>
      </c>
      <c r="R293">
        <f>VLOOKUP(D293, Products!A$2:D$61, 4, FALSE)</f>
        <v>2827</v>
      </c>
    </row>
    <row r="294" spans="1:18" x14ac:dyDescent="0.3">
      <c r="A294" s="13" t="s">
        <v>663</v>
      </c>
      <c r="B294" s="14">
        <v>45617</v>
      </c>
      <c r="C294" s="13" t="s">
        <v>312</v>
      </c>
      <c r="D294" s="13" t="s">
        <v>106</v>
      </c>
      <c r="E294" s="13" t="s">
        <v>188</v>
      </c>
      <c r="F294" s="15">
        <v>7</v>
      </c>
      <c r="G294" s="15">
        <v>3160</v>
      </c>
      <c r="H294" s="15">
        <v>3.6</v>
      </c>
      <c r="I294" s="15">
        <v>21323.68</v>
      </c>
      <c r="J294" s="13" t="s">
        <v>87</v>
      </c>
      <c r="K294" s="13" t="s">
        <v>133</v>
      </c>
      <c r="L294">
        <f>IF(COUNTIF(A$2:A294, A294)=1, IF(COUNTIF(A$2:A$2001, A294)&gt;1, 1, 0), 0)</f>
        <v>1</v>
      </c>
      <c r="M294" t="b">
        <f>VLOOKUP(D294, Products!A$2:F$61, 6, FALSE)</f>
        <v>1</v>
      </c>
      <c r="N294" t="str">
        <f>VLOOKUP(D294, Products!A$2:C$61, 3, FALSE)</f>
        <v>Apparel</v>
      </c>
      <c r="O294" t="str">
        <f>VLOOKUP(C294, Customers!A$2:E$301, 5, FALSE)</f>
        <v>Retail</v>
      </c>
      <c r="P294">
        <f>VLOOKUP(C294, Customers!A$2:C$301, 3, FALSE)</f>
        <v>46</v>
      </c>
      <c r="Q294" t="str">
        <f>VLOOKUP(E294, Sales_Reps!A$2:C$31, 3, FALSE)</f>
        <v>South</v>
      </c>
      <c r="R294">
        <f>VLOOKUP(D294, Products!A$2:D$61, 4, FALSE)</f>
        <v>1886</v>
      </c>
    </row>
    <row r="295" spans="1:18" x14ac:dyDescent="0.3">
      <c r="A295" s="13" t="s">
        <v>664</v>
      </c>
      <c r="B295" s="14">
        <v>45640</v>
      </c>
      <c r="C295" s="13" t="s">
        <v>485</v>
      </c>
      <c r="D295" s="13" t="s">
        <v>102</v>
      </c>
      <c r="E295" s="13" t="s">
        <v>107</v>
      </c>
      <c r="F295" s="15">
        <v>2</v>
      </c>
      <c r="G295" s="15">
        <v>3660</v>
      </c>
      <c r="H295" s="15">
        <v>30</v>
      </c>
      <c r="I295" s="15">
        <v>5124</v>
      </c>
      <c r="J295" s="13" t="s">
        <v>93</v>
      </c>
      <c r="K295" s="13" t="s">
        <v>88</v>
      </c>
      <c r="L295">
        <f>IF(COUNTIF(A$2:A295, A295)=1, IF(COUNTIF(A$2:A$2001, A295)&gt;1, 1, 0), 0)</f>
        <v>0</v>
      </c>
      <c r="M295" t="b">
        <f>VLOOKUP(D295, Products!A$2:F$61, 6, FALSE)</f>
        <v>0</v>
      </c>
      <c r="N295" t="str">
        <f>VLOOKUP(D295, Products!A$2:C$61, 3, FALSE)</f>
        <v>Grocery</v>
      </c>
      <c r="O295" t="str">
        <f>VLOOKUP(C295, Customers!A$2:E$301, 5, FALSE)</f>
        <v>Retail</v>
      </c>
      <c r="P295">
        <f>VLOOKUP(C295, Customers!A$2:C$301, 3, FALSE)</f>
        <v>49</v>
      </c>
      <c r="Q295" t="str">
        <f>VLOOKUP(E295, Sales_Reps!A$2:C$31, 3, FALSE)</f>
        <v>North</v>
      </c>
      <c r="R295">
        <f>VLOOKUP(D295, Products!A$2:D$61, 4, FALSE)</f>
        <v>2214</v>
      </c>
    </row>
    <row r="296" spans="1:18" x14ac:dyDescent="0.3">
      <c r="A296" s="13" t="s">
        <v>665</v>
      </c>
      <c r="B296" s="14">
        <v>45401</v>
      </c>
      <c r="C296" s="13" t="s">
        <v>366</v>
      </c>
      <c r="D296" s="13" t="s">
        <v>131</v>
      </c>
      <c r="E296" s="13" t="s">
        <v>92</v>
      </c>
      <c r="F296" s="15">
        <v>1</v>
      </c>
      <c r="G296" s="15">
        <v>2270</v>
      </c>
      <c r="H296" s="15">
        <v>4.8</v>
      </c>
      <c r="I296" s="15">
        <v>2161.04</v>
      </c>
      <c r="J296" s="13" t="s">
        <v>140</v>
      </c>
      <c r="K296" s="13" t="s">
        <v>112</v>
      </c>
      <c r="L296">
        <f>IF(COUNTIF(A$2:A296, A296)=1, IF(COUNTIF(A$2:A$2001, A296)&gt;1, 1, 0), 0)</f>
        <v>0</v>
      </c>
      <c r="M296" t="b">
        <f>VLOOKUP(D296, Products!A$2:F$61, 6, FALSE)</f>
        <v>1</v>
      </c>
      <c r="N296" t="str">
        <f>VLOOKUP(D296, Products!A$2:C$61, 3, FALSE)</f>
        <v>Grocery</v>
      </c>
      <c r="O296" t="str">
        <f>VLOOKUP(C296, Customers!A$2:E$301, 5, FALSE)</f>
        <v>Retail</v>
      </c>
      <c r="P296">
        <f>VLOOKUP(C296, Customers!A$2:C$301, 3, FALSE)</f>
        <v>25</v>
      </c>
      <c r="Q296" t="str">
        <f>VLOOKUP(E296, Sales_Reps!A$2:C$31, 3, FALSE)</f>
        <v>North</v>
      </c>
      <c r="R296">
        <f>VLOOKUP(D296, Products!A$2:D$61, 4, FALSE)</f>
        <v>1203</v>
      </c>
    </row>
    <row r="297" spans="1:18" x14ac:dyDescent="0.3">
      <c r="A297" s="13" t="s">
        <v>666</v>
      </c>
      <c r="B297" s="14">
        <v>45405</v>
      </c>
      <c r="C297" s="13" t="s">
        <v>223</v>
      </c>
      <c r="D297" s="13" t="s">
        <v>461</v>
      </c>
      <c r="E297" s="13" t="s">
        <v>111</v>
      </c>
      <c r="F297" s="15">
        <v>8</v>
      </c>
      <c r="G297" s="15">
        <v>3780</v>
      </c>
      <c r="H297" s="15">
        <v>13</v>
      </c>
      <c r="I297" s="15">
        <v>26308.799999999999</v>
      </c>
      <c r="J297" s="13" t="s">
        <v>87</v>
      </c>
      <c r="K297" s="13" t="s">
        <v>99</v>
      </c>
      <c r="L297">
        <f>IF(COUNTIF(A$2:A297, A297)=1, IF(COUNTIF(A$2:A$2001, A297)&gt;1, 1, 0), 0)</f>
        <v>0</v>
      </c>
      <c r="M297" t="b">
        <f>VLOOKUP(D297, Products!A$2:F$61, 6, FALSE)</f>
        <v>1</v>
      </c>
      <c r="N297" t="str">
        <f>VLOOKUP(D297, Products!A$2:C$61, 3, FALSE)</f>
        <v>Sports</v>
      </c>
      <c r="O297" t="str">
        <f>VLOOKUP(C297, Customers!A$2:E$301, 5, FALSE)</f>
        <v>Retail</v>
      </c>
      <c r="P297">
        <f>VLOOKUP(C297, Customers!A$2:C$301, 3, FALSE)</f>
        <v>53</v>
      </c>
      <c r="Q297" t="str">
        <f>VLOOKUP(E297, Sales_Reps!A$2:C$31, 3, FALSE)</f>
        <v>West</v>
      </c>
      <c r="R297">
        <f>VLOOKUP(D297, Products!A$2:D$61, 4, FALSE)</f>
        <v>1860</v>
      </c>
    </row>
    <row r="298" spans="1:18" x14ac:dyDescent="0.3">
      <c r="A298" s="13" t="s">
        <v>667</v>
      </c>
      <c r="B298" s="14">
        <v>45537</v>
      </c>
      <c r="C298" s="13" t="s">
        <v>617</v>
      </c>
      <c r="D298" s="13" t="s">
        <v>237</v>
      </c>
      <c r="E298" s="13" t="s">
        <v>325</v>
      </c>
      <c r="F298" s="15">
        <v>1</v>
      </c>
      <c r="G298" s="15">
        <v>3640</v>
      </c>
      <c r="H298" s="15">
        <v>15.3</v>
      </c>
      <c r="I298" s="15">
        <v>3083.08</v>
      </c>
      <c r="J298" s="13" t="s">
        <v>93</v>
      </c>
      <c r="K298" s="13" t="s">
        <v>112</v>
      </c>
      <c r="L298">
        <f>IF(COUNTIF(A$2:A298, A298)=1, IF(COUNTIF(A$2:A$2001, A298)&gt;1, 1, 0), 0)</f>
        <v>1</v>
      </c>
      <c r="M298" t="b">
        <f>VLOOKUP(D298, Products!A$2:F$61, 6, FALSE)</f>
        <v>1</v>
      </c>
      <c r="N298" t="str">
        <f>VLOOKUP(D298, Products!A$2:C$61, 3, FALSE)</f>
        <v>Apparel</v>
      </c>
      <c r="O298" t="str">
        <f>VLOOKUP(C298, Customers!A$2:E$301, 5, FALSE)</f>
        <v>SMB</v>
      </c>
      <c r="P298">
        <f>VLOOKUP(C298, Customers!A$2:C$301, 3, FALSE)</f>
        <v>65</v>
      </c>
      <c r="Q298" t="str">
        <f>VLOOKUP(E298, Sales_Reps!A$2:C$31, 3, FALSE)</f>
        <v>South</v>
      </c>
      <c r="R298">
        <f>VLOOKUP(D298, Products!A$2:D$61, 4, FALSE)</f>
        <v>2611</v>
      </c>
    </row>
    <row r="299" spans="1:18" x14ac:dyDescent="0.3">
      <c r="A299" s="13" t="s">
        <v>668</v>
      </c>
      <c r="B299" s="14">
        <v>45475</v>
      </c>
      <c r="C299" s="13" t="s">
        <v>669</v>
      </c>
      <c r="D299" s="13" t="s">
        <v>267</v>
      </c>
      <c r="E299" s="13" t="s">
        <v>204</v>
      </c>
      <c r="F299" s="15">
        <v>8</v>
      </c>
      <c r="G299" s="15">
        <v>1220</v>
      </c>
      <c r="H299" s="15">
        <v>28.2</v>
      </c>
      <c r="I299" s="15">
        <v>7007.68</v>
      </c>
      <c r="J299" s="13" t="s">
        <v>87</v>
      </c>
      <c r="K299" s="13" t="s">
        <v>133</v>
      </c>
      <c r="L299">
        <f>IF(COUNTIF(A$2:A299, A299)=1, IF(COUNTIF(A$2:A$2001, A299)&gt;1, 1, 0), 0)</f>
        <v>0</v>
      </c>
      <c r="M299" t="b">
        <f>VLOOKUP(D299, Products!A$2:F$61, 6, FALSE)</f>
        <v>1</v>
      </c>
      <c r="N299" t="str">
        <f>VLOOKUP(D299, Products!A$2:C$61, 3, FALSE)</f>
        <v>Electronics</v>
      </c>
      <c r="O299" t="str">
        <f>VLOOKUP(C299, Customers!A$2:E$301, 5, FALSE)</f>
        <v>Retail</v>
      </c>
      <c r="P299">
        <f>VLOOKUP(C299, Customers!A$2:C$301, 3, FALSE)</f>
        <v>31</v>
      </c>
      <c r="Q299" t="str">
        <f>VLOOKUP(E299, Sales_Reps!A$2:C$31, 3, FALSE)</f>
        <v>South</v>
      </c>
      <c r="R299">
        <f>VLOOKUP(D299, Products!A$2:D$61, 4, FALSE)</f>
        <v>517</v>
      </c>
    </row>
    <row r="300" spans="1:18" x14ac:dyDescent="0.3">
      <c r="A300" s="13" t="s">
        <v>670</v>
      </c>
      <c r="B300" s="14">
        <v>45624</v>
      </c>
      <c r="C300" s="13" t="s">
        <v>269</v>
      </c>
      <c r="D300" s="13" t="s">
        <v>355</v>
      </c>
      <c r="E300" s="13" t="s">
        <v>170</v>
      </c>
      <c r="F300" s="15">
        <v>3</v>
      </c>
      <c r="G300" s="15">
        <v>2510</v>
      </c>
      <c r="H300" s="15">
        <v>17.399999999999999</v>
      </c>
      <c r="I300" s="15">
        <v>6219.78</v>
      </c>
      <c r="J300" s="13" t="s">
        <v>87</v>
      </c>
      <c r="K300" s="13" t="s">
        <v>112</v>
      </c>
      <c r="L300">
        <f>IF(COUNTIF(A$2:A300, A300)=1, IF(COUNTIF(A$2:A$2001, A300)&gt;1, 1, 0), 0)</f>
        <v>0</v>
      </c>
      <c r="M300" t="b">
        <f>VLOOKUP(D300, Products!A$2:F$61, 6, FALSE)</f>
        <v>0</v>
      </c>
      <c r="N300" t="str">
        <f>VLOOKUP(D300, Products!A$2:C$61, 3, FALSE)</f>
        <v>Apparel</v>
      </c>
      <c r="O300" t="str">
        <f>VLOOKUP(C300, Customers!A$2:E$301, 5, FALSE)</f>
        <v>Retail</v>
      </c>
      <c r="P300">
        <f>VLOOKUP(C300, Customers!A$2:C$301, 3, FALSE)</f>
        <v>40</v>
      </c>
      <c r="Q300" t="str">
        <f>VLOOKUP(E300, Sales_Reps!A$2:C$31, 3, FALSE)</f>
        <v>West</v>
      </c>
      <c r="R300">
        <f>VLOOKUP(D300, Products!A$2:D$61, 4, FALSE)</f>
        <v>1075</v>
      </c>
    </row>
    <row r="301" spans="1:18" x14ac:dyDescent="0.3">
      <c r="A301" s="13" t="s">
        <v>671</v>
      </c>
      <c r="B301" s="14">
        <v>45635</v>
      </c>
      <c r="C301" s="13" t="s">
        <v>565</v>
      </c>
      <c r="D301" s="13" t="s">
        <v>164</v>
      </c>
      <c r="E301" s="13" t="s">
        <v>139</v>
      </c>
      <c r="F301" s="15">
        <v>1</v>
      </c>
      <c r="G301" s="15">
        <v>1080</v>
      </c>
      <c r="H301" s="15">
        <v>13.9</v>
      </c>
      <c r="I301" s="15">
        <v>929.88</v>
      </c>
      <c r="J301" s="13" t="s">
        <v>87</v>
      </c>
      <c r="K301" s="13" t="s">
        <v>112</v>
      </c>
      <c r="L301">
        <f>IF(COUNTIF(A$2:A301, A301)=1, IF(COUNTIF(A$2:A$2001, A301)&gt;1, 1, 0), 0)</f>
        <v>0</v>
      </c>
      <c r="M301" t="b">
        <f>VLOOKUP(D301, Products!A$2:F$61, 6, FALSE)</f>
        <v>1</v>
      </c>
      <c r="N301" t="str">
        <f>VLOOKUP(D301, Products!A$2:C$61, 3, FALSE)</f>
        <v>Home</v>
      </c>
      <c r="O301" t="str">
        <f>VLOOKUP(C301, Customers!A$2:E$301, 5, FALSE)</f>
        <v>SMB</v>
      </c>
      <c r="P301">
        <f>VLOOKUP(C301, Customers!A$2:C$301, 3, FALSE)</f>
        <v>61</v>
      </c>
      <c r="Q301" t="str">
        <f>VLOOKUP(E301, Sales_Reps!A$2:C$31, 3, FALSE)</f>
        <v>North</v>
      </c>
      <c r="R301">
        <f>VLOOKUP(D301, Products!A$2:D$61, 4, FALSE)</f>
        <v>519</v>
      </c>
    </row>
    <row r="302" spans="1:18" x14ac:dyDescent="0.3">
      <c r="A302" s="13" t="s">
        <v>672</v>
      </c>
      <c r="B302" s="14">
        <v>45395</v>
      </c>
      <c r="C302" s="13" t="s">
        <v>673</v>
      </c>
      <c r="D302" s="13" t="s">
        <v>295</v>
      </c>
      <c r="E302" s="13" t="s">
        <v>346</v>
      </c>
      <c r="F302" s="15">
        <v>7</v>
      </c>
      <c r="G302" s="15">
        <v>2030</v>
      </c>
      <c r="H302" s="15">
        <v>29.2</v>
      </c>
      <c r="I302" s="15">
        <v>10060.68</v>
      </c>
      <c r="J302" s="13" t="s">
        <v>87</v>
      </c>
      <c r="K302" s="13" t="s">
        <v>112</v>
      </c>
      <c r="L302">
        <f>IF(COUNTIF(A$2:A302, A302)=1, IF(COUNTIF(A$2:A$2001, A302)&gt;1, 1, 0), 0)</f>
        <v>0</v>
      </c>
      <c r="M302" t="b">
        <f>VLOOKUP(D302, Products!A$2:F$61, 6, FALSE)</f>
        <v>1</v>
      </c>
      <c r="N302" t="str">
        <f>VLOOKUP(D302, Products!A$2:C$61, 3, FALSE)</f>
        <v>Home</v>
      </c>
      <c r="O302" t="str">
        <f>VLOOKUP(C302, Customers!A$2:E$301, 5, FALSE)</f>
        <v>Retail</v>
      </c>
      <c r="P302">
        <f>VLOOKUP(C302, Customers!A$2:C$301, 3, FALSE)</f>
        <v>35</v>
      </c>
      <c r="Q302" t="str">
        <f>VLOOKUP(E302, Sales_Reps!A$2:C$31, 3, FALSE)</f>
        <v>South</v>
      </c>
      <c r="R302">
        <f>VLOOKUP(D302, Products!A$2:D$61, 4, FALSE)</f>
        <v>1143</v>
      </c>
    </row>
    <row r="303" spans="1:18" x14ac:dyDescent="0.3">
      <c r="A303" s="13" t="s">
        <v>674</v>
      </c>
      <c r="B303" s="14">
        <v>45415</v>
      </c>
      <c r="C303" s="13" t="s">
        <v>169</v>
      </c>
      <c r="D303" s="13" t="s">
        <v>461</v>
      </c>
      <c r="E303" s="13" t="s">
        <v>192</v>
      </c>
      <c r="F303" s="15">
        <v>6</v>
      </c>
      <c r="G303" s="15">
        <v>3780</v>
      </c>
      <c r="H303" s="15">
        <v>20.9</v>
      </c>
      <c r="I303" s="15">
        <v>17939.88</v>
      </c>
      <c r="J303" s="13" t="s">
        <v>144</v>
      </c>
      <c r="K303" s="13" t="s">
        <v>112</v>
      </c>
      <c r="L303">
        <f>IF(COUNTIF(A$2:A303, A303)=1, IF(COUNTIF(A$2:A$2001, A303)&gt;1, 1, 0), 0)</f>
        <v>0</v>
      </c>
      <c r="M303" t="b">
        <f>VLOOKUP(D303, Products!A$2:F$61, 6, FALSE)</f>
        <v>1</v>
      </c>
      <c r="N303" t="str">
        <f>VLOOKUP(D303, Products!A$2:C$61, 3, FALSE)</f>
        <v>Sports</v>
      </c>
      <c r="O303" t="str">
        <f>VLOOKUP(C303, Customers!A$2:E$301, 5, FALSE)</f>
        <v>Retail</v>
      </c>
      <c r="P303">
        <f>VLOOKUP(C303, Customers!A$2:C$301, 3, FALSE)</f>
        <v>34</v>
      </c>
      <c r="Q303" t="str">
        <f>VLOOKUP(E303, Sales_Reps!A$2:C$31, 3, FALSE)</f>
        <v>East</v>
      </c>
      <c r="R303">
        <f>VLOOKUP(D303, Products!A$2:D$61, 4, FALSE)</f>
        <v>1860</v>
      </c>
    </row>
    <row r="304" spans="1:18" x14ac:dyDescent="0.3">
      <c r="A304" s="13" t="s">
        <v>675</v>
      </c>
      <c r="B304" s="14">
        <v>45653</v>
      </c>
      <c r="C304" s="13" t="s">
        <v>676</v>
      </c>
      <c r="D304" s="13" t="s">
        <v>106</v>
      </c>
      <c r="E304" s="13" t="s">
        <v>346</v>
      </c>
      <c r="F304" s="15">
        <v>1</v>
      </c>
      <c r="G304" s="15">
        <v>3160</v>
      </c>
      <c r="H304" s="15">
        <v>10.7</v>
      </c>
      <c r="I304" s="15">
        <v>2821.88</v>
      </c>
      <c r="J304" s="13" t="s">
        <v>87</v>
      </c>
      <c r="K304" s="13" t="s">
        <v>88</v>
      </c>
      <c r="L304">
        <f>IF(COUNTIF(A$2:A304, A304)=1, IF(COUNTIF(A$2:A$2001, A304)&gt;1, 1, 0), 0)</f>
        <v>0</v>
      </c>
      <c r="M304" t="b">
        <f>VLOOKUP(D304, Products!A$2:F$61, 6, FALSE)</f>
        <v>1</v>
      </c>
      <c r="N304" t="str">
        <f>VLOOKUP(D304, Products!A$2:C$61, 3, FALSE)</f>
        <v>Apparel</v>
      </c>
      <c r="O304" t="str">
        <f>VLOOKUP(C304, Customers!A$2:E$301, 5, FALSE)</f>
        <v>SMB</v>
      </c>
      <c r="P304">
        <f>VLOOKUP(C304, Customers!A$2:C$301, 3, FALSE)</f>
        <v>35</v>
      </c>
      <c r="Q304" t="str">
        <f>VLOOKUP(E304, Sales_Reps!A$2:C$31, 3, FALSE)</f>
        <v>South</v>
      </c>
      <c r="R304">
        <f>VLOOKUP(D304, Products!A$2:D$61, 4, FALSE)</f>
        <v>1886</v>
      </c>
    </row>
    <row r="305" spans="1:18" x14ac:dyDescent="0.3">
      <c r="A305" s="13" t="s">
        <v>677</v>
      </c>
      <c r="B305" s="14">
        <v>45564</v>
      </c>
      <c r="C305" s="13" t="s">
        <v>294</v>
      </c>
      <c r="D305" s="13" t="s">
        <v>184</v>
      </c>
      <c r="E305" s="13" t="s">
        <v>132</v>
      </c>
      <c r="F305" s="15">
        <v>5</v>
      </c>
      <c r="G305" s="15">
        <v>4880</v>
      </c>
      <c r="H305" s="15">
        <v>11.4</v>
      </c>
      <c r="I305" s="15">
        <v>21618.400000000001</v>
      </c>
      <c r="J305" s="13" t="s">
        <v>87</v>
      </c>
      <c r="K305" s="13" t="s">
        <v>133</v>
      </c>
      <c r="L305">
        <f>IF(COUNTIF(A$2:A305, A305)=1, IF(COUNTIF(A$2:A$2001, A305)&gt;1, 1, 0), 0)</f>
        <v>1</v>
      </c>
      <c r="M305" t="b">
        <f>VLOOKUP(D305, Products!A$2:F$61, 6, FALSE)</f>
        <v>1</v>
      </c>
      <c r="N305" t="str">
        <f>VLOOKUP(D305, Products!A$2:C$61, 3, FALSE)</f>
        <v>Beauty</v>
      </c>
      <c r="O305" t="str">
        <f>VLOOKUP(C305, Customers!A$2:E$301, 5, FALSE)</f>
        <v>SMB</v>
      </c>
      <c r="P305">
        <f>VLOOKUP(C305, Customers!A$2:C$301, 3, FALSE)</f>
        <v>43</v>
      </c>
      <c r="Q305" t="str">
        <f>VLOOKUP(E305, Sales_Reps!A$2:C$31, 3, FALSE)</f>
        <v>South</v>
      </c>
      <c r="R305">
        <f>VLOOKUP(D305, Products!A$2:D$61, 4, FALSE)</f>
        <v>2768</v>
      </c>
    </row>
    <row r="306" spans="1:18" x14ac:dyDescent="0.3">
      <c r="A306" s="13" t="s">
        <v>678</v>
      </c>
      <c r="B306" s="14">
        <v>45633</v>
      </c>
      <c r="C306" s="13" t="s">
        <v>638</v>
      </c>
      <c r="D306" s="13" t="s">
        <v>226</v>
      </c>
      <c r="E306" s="13" t="s">
        <v>204</v>
      </c>
      <c r="F306" s="15">
        <v>9</v>
      </c>
      <c r="G306" s="15">
        <v>3730</v>
      </c>
      <c r="H306" s="15">
        <v>10</v>
      </c>
      <c r="I306" s="15">
        <v>30213</v>
      </c>
      <c r="J306" s="13" t="s">
        <v>87</v>
      </c>
      <c r="K306" s="13" t="s">
        <v>99</v>
      </c>
      <c r="L306">
        <f>IF(COUNTIF(A$2:A306, A306)=1, IF(COUNTIF(A$2:A$2001, A306)&gt;1, 1, 0), 0)</f>
        <v>0</v>
      </c>
      <c r="M306" t="b">
        <f>VLOOKUP(D306, Products!A$2:F$61, 6, FALSE)</f>
        <v>1</v>
      </c>
      <c r="N306" t="str">
        <f>VLOOKUP(D306, Products!A$2:C$61, 3, FALSE)</f>
        <v>Home</v>
      </c>
      <c r="O306" t="str">
        <f>VLOOKUP(C306, Customers!A$2:E$301, 5, FALSE)</f>
        <v>Retail</v>
      </c>
      <c r="P306">
        <f>VLOOKUP(C306, Customers!A$2:C$301, 3, FALSE)</f>
        <v>43</v>
      </c>
      <c r="Q306" t="str">
        <f>VLOOKUP(E306, Sales_Reps!A$2:C$31, 3, FALSE)</f>
        <v>South</v>
      </c>
      <c r="R306">
        <f>VLOOKUP(D306, Products!A$2:D$61, 4, FALSE)</f>
        <v>2135</v>
      </c>
    </row>
    <row r="307" spans="1:18" x14ac:dyDescent="0.3">
      <c r="A307" s="13" t="s">
        <v>679</v>
      </c>
      <c r="B307" s="14">
        <v>45309</v>
      </c>
      <c r="C307" s="13" t="s">
        <v>680</v>
      </c>
      <c r="D307" s="13" t="s">
        <v>443</v>
      </c>
      <c r="E307" s="13" t="s">
        <v>139</v>
      </c>
      <c r="F307" s="15">
        <v>5</v>
      </c>
      <c r="G307" s="15">
        <v>5080</v>
      </c>
      <c r="H307" s="15">
        <v>15.3</v>
      </c>
      <c r="I307" s="15">
        <v>21513.8</v>
      </c>
      <c r="J307" s="13" t="s">
        <v>87</v>
      </c>
      <c r="K307" s="13" t="s">
        <v>94</v>
      </c>
      <c r="L307">
        <f>IF(COUNTIF(A$2:A307, A307)=1, IF(COUNTIF(A$2:A$2001, A307)&gt;1, 1, 0), 0)</f>
        <v>0</v>
      </c>
      <c r="M307" t="b">
        <f>VLOOKUP(D307, Products!A$2:F$61, 6, FALSE)</f>
        <v>1</v>
      </c>
      <c r="N307" t="str">
        <f>VLOOKUP(D307, Products!A$2:C$61, 3, FALSE)</f>
        <v>Home</v>
      </c>
      <c r="O307" t="str">
        <f>VLOOKUP(C307, Customers!A$2:E$301, 5, FALSE)</f>
        <v>Retail</v>
      </c>
      <c r="P307">
        <f>VLOOKUP(C307, Customers!A$2:C$301, 3, FALSE)</f>
        <v>26</v>
      </c>
      <c r="Q307" t="str">
        <f>VLOOKUP(E307, Sales_Reps!A$2:C$31, 3, FALSE)</f>
        <v>North</v>
      </c>
      <c r="R307">
        <f>VLOOKUP(D307, Products!A$2:D$61, 4, FALSE)</f>
        <v>2459</v>
      </c>
    </row>
    <row r="308" spans="1:18" x14ac:dyDescent="0.3">
      <c r="A308" s="13" t="s">
        <v>681</v>
      </c>
      <c r="B308" s="14">
        <v>45403</v>
      </c>
      <c r="C308" s="13" t="s">
        <v>160</v>
      </c>
      <c r="D308" s="13" t="s">
        <v>386</v>
      </c>
      <c r="E308" s="13" t="s">
        <v>252</v>
      </c>
      <c r="F308" s="15">
        <v>9</v>
      </c>
      <c r="G308" s="15">
        <v>2290</v>
      </c>
      <c r="H308" s="15">
        <v>3.3</v>
      </c>
      <c r="I308" s="15">
        <v>19929.87</v>
      </c>
      <c r="J308" s="13" t="s">
        <v>93</v>
      </c>
      <c r="K308" s="13" t="s">
        <v>112</v>
      </c>
      <c r="L308">
        <f>IF(COUNTIF(A$2:A308, A308)=1, IF(COUNTIF(A$2:A$2001, A308)&gt;1, 1, 0), 0)</f>
        <v>0</v>
      </c>
      <c r="M308" t="b">
        <f>VLOOKUP(D308, Products!A$2:F$61, 6, FALSE)</f>
        <v>1</v>
      </c>
      <c r="N308" t="str">
        <f>VLOOKUP(D308, Products!A$2:C$61, 3, FALSE)</f>
        <v>Beauty</v>
      </c>
      <c r="O308" t="str">
        <f>VLOOKUP(C308, Customers!A$2:E$301, 5, FALSE)</f>
        <v>Retail</v>
      </c>
      <c r="P308">
        <f>VLOOKUP(C308, Customers!A$2:C$301, 3, FALSE)</f>
        <v>54</v>
      </c>
      <c r="Q308" t="str">
        <f>VLOOKUP(E308, Sales_Reps!A$2:C$31, 3, FALSE)</f>
        <v>South</v>
      </c>
      <c r="R308">
        <f>VLOOKUP(D308, Products!A$2:D$61, 4, FALSE)</f>
        <v>1219</v>
      </c>
    </row>
    <row r="309" spans="1:18" x14ac:dyDescent="0.3">
      <c r="A309" s="13" t="s">
        <v>682</v>
      </c>
      <c r="B309" s="14">
        <v>45554</v>
      </c>
      <c r="C309" s="13" t="s">
        <v>546</v>
      </c>
      <c r="D309" s="13" t="s">
        <v>279</v>
      </c>
      <c r="E309" s="13" t="s">
        <v>132</v>
      </c>
      <c r="F309" s="15">
        <v>5</v>
      </c>
      <c r="G309" s="15">
        <v>2660</v>
      </c>
      <c r="H309" s="15">
        <v>8.3000000000000007</v>
      </c>
      <c r="I309" s="15">
        <v>12196.1</v>
      </c>
      <c r="J309" s="13" t="s">
        <v>87</v>
      </c>
      <c r="K309" s="13" t="s">
        <v>99</v>
      </c>
      <c r="L309">
        <f>IF(COUNTIF(A$2:A309, A309)=1, IF(COUNTIF(A$2:A$2001, A309)&gt;1, 1, 0), 0)</f>
        <v>0</v>
      </c>
      <c r="M309" t="b">
        <f>VLOOKUP(D309, Products!A$2:F$61, 6, FALSE)</f>
        <v>0</v>
      </c>
      <c r="N309" t="str">
        <f>VLOOKUP(D309, Products!A$2:C$61, 3, FALSE)</f>
        <v>Electronics</v>
      </c>
      <c r="O309" t="str">
        <f>VLOOKUP(C309, Customers!A$2:E$301, 5, FALSE)</f>
        <v>SMB</v>
      </c>
      <c r="P309">
        <f>VLOOKUP(C309, Customers!A$2:C$301, 3, FALSE)</f>
        <v>29</v>
      </c>
      <c r="Q309" t="str">
        <f>VLOOKUP(E309, Sales_Reps!A$2:C$31, 3, FALSE)</f>
        <v>South</v>
      </c>
      <c r="R309">
        <f>VLOOKUP(D309, Products!A$2:D$61, 4, FALSE)</f>
        <v>1259</v>
      </c>
    </row>
    <row r="310" spans="1:18" x14ac:dyDescent="0.3">
      <c r="A310" s="13" t="s">
        <v>683</v>
      </c>
      <c r="B310" s="14">
        <v>45529</v>
      </c>
      <c r="C310" s="13" t="s">
        <v>684</v>
      </c>
      <c r="D310" s="13" t="s">
        <v>234</v>
      </c>
      <c r="E310" s="13" t="s">
        <v>111</v>
      </c>
      <c r="F310" s="15">
        <v>6</v>
      </c>
      <c r="G310" s="15">
        <v>3780</v>
      </c>
      <c r="H310" s="15">
        <v>28.3</v>
      </c>
      <c r="I310" s="15">
        <v>16261.56</v>
      </c>
      <c r="J310" s="13" t="s">
        <v>87</v>
      </c>
      <c r="K310" s="13" t="s">
        <v>99</v>
      </c>
      <c r="L310">
        <f>IF(COUNTIF(A$2:A310, A310)=1, IF(COUNTIF(A$2:A$2001, A310)&gt;1, 1, 0), 0)</f>
        <v>0</v>
      </c>
      <c r="M310" t="b">
        <f>VLOOKUP(D310, Products!A$2:F$61, 6, FALSE)</f>
        <v>1</v>
      </c>
      <c r="N310" t="str">
        <f>VLOOKUP(D310, Products!A$2:C$61, 3, FALSE)</f>
        <v>Grocery</v>
      </c>
      <c r="O310" t="str">
        <f>VLOOKUP(C310, Customers!A$2:E$301, 5, FALSE)</f>
        <v>Retail</v>
      </c>
      <c r="P310">
        <f>VLOOKUP(C310, Customers!A$2:C$301, 3, FALSE)</f>
        <v>41</v>
      </c>
      <c r="Q310" t="str">
        <f>VLOOKUP(E310, Sales_Reps!A$2:C$31, 3, FALSE)</f>
        <v>West</v>
      </c>
      <c r="R310">
        <f>VLOOKUP(D310, Products!A$2:D$61, 4, FALSE)</f>
        <v>2436</v>
      </c>
    </row>
    <row r="311" spans="1:18" x14ac:dyDescent="0.3">
      <c r="A311" s="13" t="s">
        <v>685</v>
      </c>
      <c r="B311" s="14">
        <v>45300</v>
      </c>
      <c r="C311" s="13" t="s">
        <v>686</v>
      </c>
      <c r="D311" s="13" t="s">
        <v>200</v>
      </c>
      <c r="E311" s="13" t="s">
        <v>128</v>
      </c>
      <c r="F311" s="15">
        <v>5</v>
      </c>
      <c r="G311" s="15">
        <v>2760</v>
      </c>
      <c r="H311" s="15">
        <v>4.9000000000000004</v>
      </c>
      <c r="I311" s="15">
        <v>13123.8</v>
      </c>
      <c r="J311" s="13" t="s">
        <v>87</v>
      </c>
      <c r="K311" s="13" t="s">
        <v>112</v>
      </c>
      <c r="L311">
        <f>IF(COUNTIF(A$2:A311, A311)=1, IF(COUNTIF(A$2:A$2001, A311)&gt;1, 1, 0), 0)</f>
        <v>0</v>
      </c>
      <c r="M311" t="b">
        <f>VLOOKUP(D311, Products!A$2:F$61, 6, FALSE)</f>
        <v>1</v>
      </c>
      <c r="N311" t="str">
        <f>VLOOKUP(D311, Products!A$2:C$61, 3, FALSE)</f>
        <v>Grocery</v>
      </c>
      <c r="O311" t="str">
        <f>VLOOKUP(C311, Customers!A$2:E$301, 5, FALSE)</f>
        <v>Retail</v>
      </c>
      <c r="P311">
        <f>VLOOKUP(C311, Customers!A$2:C$301, 3, FALSE)</f>
        <v>35</v>
      </c>
      <c r="Q311" t="str">
        <f>VLOOKUP(E311, Sales_Reps!A$2:C$31, 3, FALSE)</f>
        <v>West</v>
      </c>
      <c r="R311">
        <f>VLOOKUP(D311, Products!A$2:D$61, 4, FALSE)</f>
        <v>1435</v>
      </c>
    </row>
    <row r="312" spans="1:18" x14ac:dyDescent="0.3">
      <c r="A312" s="13" t="s">
        <v>687</v>
      </c>
      <c r="B312" s="14">
        <v>45368</v>
      </c>
      <c r="C312" s="13" t="s">
        <v>333</v>
      </c>
      <c r="D312" s="13" t="s">
        <v>259</v>
      </c>
      <c r="E312" s="13" t="s">
        <v>103</v>
      </c>
      <c r="F312" s="15">
        <v>8</v>
      </c>
      <c r="G312" s="15">
        <v>1540</v>
      </c>
      <c r="H312" s="15">
        <v>29.4</v>
      </c>
      <c r="I312" s="15">
        <v>8697.92</v>
      </c>
      <c r="J312" s="13" t="s">
        <v>140</v>
      </c>
      <c r="K312" s="13" t="s">
        <v>133</v>
      </c>
      <c r="L312">
        <f>IF(COUNTIF(A$2:A312, A312)=1, IF(COUNTIF(A$2:A$2001, A312)&gt;1, 1, 0), 0)</f>
        <v>0</v>
      </c>
      <c r="M312" t="b">
        <f>VLOOKUP(D312, Products!A$2:F$61, 6, FALSE)</f>
        <v>0</v>
      </c>
      <c r="N312" t="str">
        <f>VLOOKUP(D312, Products!A$2:C$61, 3, FALSE)</f>
        <v>Beauty</v>
      </c>
      <c r="O312" t="str">
        <f>VLOOKUP(C312, Customers!A$2:E$301, 5, FALSE)</f>
        <v>SMB</v>
      </c>
      <c r="P312">
        <f>VLOOKUP(C312, Customers!A$2:C$301, 3, FALSE)</f>
        <v>65</v>
      </c>
      <c r="Q312" t="str">
        <f>VLOOKUP(E312, Sales_Reps!A$2:C$31, 3, FALSE)</f>
        <v>North</v>
      </c>
      <c r="R312">
        <f>VLOOKUP(D312, Products!A$2:D$61, 4, FALSE)</f>
        <v>647</v>
      </c>
    </row>
    <row r="313" spans="1:18" x14ac:dyDescent="0.3">
      <c r="A313" s="13" t="s">
        <v>688</v>
      </c>
      <c r="B313" s="14">
        <v>45374</v>
      </c>
      <c r="C313" s="13" t="s">
        <v>689</v>
      </c>
      <c r="D313" s="13" t="s">
        <v>184</v>
      </c>
      <c r="E313" s="13" t="s">
        <v>285</v>
      </c>
      <c r="F313" s="15">
        <v>1</v>
      </c>
      <c r="G313" s="15">
        <v>4880</v>
      </c>
      <c r="H313" s="15">
        <v>18.100000000000001</v>
      </c>
      <c r="I313" s="15">
        <v>3996.72</v>
      </c>
      <c r="J313" s="13" t="s">
        <v>87</v>
      </c>
      <c r="K313" s="13" t="s">
        <v>133</v>
      </c>
      <c r="L313">
        <f>IF(COUNTIF(A$2:A313, A313)=1, IF(COUNTIF(A$2:A$2001, A313)&gt;1, 1, 0), 0)</f>
        <v>0</v>
      </c>
      <c r="M313" t="b">
        <f>VLOOKUP(D313, Products!A$2:F$61, 6, FALSE)</f>
        <v>1</v>
      </c>
      <c r="N313" t="str">
        <f>VLOOKUP(D313, Products!A$2:C$61, 3, FALSE)</f>
        <v>Beauty</v>
      </c>
      <c r="O313" t="str">
        <f>VLOOKUP(C313, Customers!A$2:E$301, 5, FALSE)</f>
        <v>Retail</v>
      </c>
      <c r="P313">
        <f>VLOOKUP(C313, Customers!A$2:C$301, 3, FALSE)</f>
        <v>28</v>
      </c>
      <c r="Q313" t="str">
        <f>VLOOKUP(E313, Sales_Reps!A$2:C$31, 3, FALSE)</f>
        <v>East</v>
      </c>
      <c r="R313">
        <f>VLOOKUP(D313, Products!A$2:D$61, 4, FALSE)</f>
        <v>2768</v>
      </c>
    </row>
    <row r="314" spans="1:18" x14ac:dyDescent="0.3">
      <c r="A314" s="13" t="s">
        <v>690</v>
      </c>
      <c r="B314" s="14">
        <v>45592</v>
      </c>
      <c r="C314" s="13" t="s">
        <v>482</v>
      </c>
      <c r="D314" s="13" t="s">
        <v>131</v>
      </c>
      <c r="E314" s="13" t="s">
        <v>188</v>
      </c>
      <c r="F314" s="15">
        <v>8</v>
      </c>
      <c r="G314" s="15">
        <v>2270</v>
      </c>
      <c r="H314" s="15">
        <v>19.8</v>
      </c>
      <c r="I314" s="15">
        <v>14564.32</v>
      </c>
      <c r="J314" s="13" t="s">
        <v>93</v>
      </c>
      <c r="K314" s="13" t="s">
        <v>133</v>
      </c>
      <c r="L314">
        <f>IF(COUNTIF(A$2:A314, A314)=1, IF(COUNTIF(A$2:A$2001, A314)&gt;1, 1, 0), 0)</f>
        <v>0</v>
      </c>
      <c r="M314" t="b">
        <f>VLOOKUP(D314, Products!A$2:F$61, 6, FALSE)</f>
        <v>1</v>
      </c>
      <c r="N314" t="str">
        <f>VLOOKUP(D314, Products!A$2:C$61, 3, FALSE)</f>
        <v>Grocery</v>
      </c>
      <c r="O314" t="str">
        <f>VLOOKUP(C314, Customers!A$2:E$301, 5, FALSE)</f>
        <v>Corporate</v>
      </c>
      <c r="P314">
        <f>VLOOKUP(C314, Customers!A$2:C$301, 3, FALSE)</f>
        <v>52</v>
      </c>
      <c r="Q314" t="str">
        <f>VLOOKUP(E314, Sales_Reps!A$2:C$31, 3, FALSE)</f>
        <v>South</v>
      </c>
      <c r="R314">
        <f>VLOOKUP(D314, Products!A$2:D$61, 4, FALSE)</f>
        <v>1203</v>
      </c>
    </row>
    <row r="315" spans="1:18" x14ac:dyDescent="0.3">
      <c r="A315" s="13" t="s">
        <v>691</v>
      </c>
      <c r="B315" s="14">
        <v>45508</v>
      </c>
      <c r="C315" s="13" t="s">
        <v>615</v>
      </c>
      <c r="D315" s="13" t="s">
        <v>167</v>
      </c>
      <c r="E315" s="13" t="s">
        <v>132</v>
      </c>
      <c r="F315" s="15">
        <v>10</v>
      </c>
      <c r="G315" s="15">
        <v>2480</v>
      </c>
      <c r="H315" s="15">
        <v>24.4</v>
      </c>
      <c r="I315" s="15">
        <v>18748.8</v>
      </c>
      <c r="J315" s="13" t="s">
        <v>93</v>
      </c>
      <c r="K315" s="13" t="s">
        <v>112</v>
      </c>
      <c r="L315">
        <f>IF(COUNTIF(A$2:A315, A315)=1, IF(COUNTIF(A$2:A$2001, A315)&gt;1, 1, 0), 0)</f>
        <v>0</v>
      </c>
      <c r="M315" t="b">
        <f>VLOOKUP(D315, Products!A$2:F$61, 6, FALSE)</f>
        <v>1</v>
      </c>
      <c r="N315" t="str">
        <f>VLOOKUP(D315, Products!A$2:C$61, 3, FALSE)</f>
        <v>Apparel</v>
      </c>
      <c r="O315" t="str">
        <f>VLOOKUP(C315, Customers!A$2:E$301, 5, FALSE)</f>
        <v>Retail</v>
      </c>
      <c r="P315">
        <f>VLOOKUP(C315, Customers!A$2:C$301, 3, FALSE)</f>
        <v>53</v>
      </c>
      <c r="Q315" t="str">
        <f>VLOOKUP(E315, Sales_Reps!A$2:C$31, 3, FALSE)</f>
        <v>South</v>
      </c>
      <c r="R315">
        <f>VLOOKUP(D315, Products!A$2:D$61, 4, FALSE)</f>
        <v>1173</v>
      </c>
    </row>
    <row r="316" spans="1:18" x14ac:dyDescent="0.3">
      <c r="A316" s="13" t="s">
        <v>692</v>
      </c>
      <c r="B316" s="14">
        <v>45481</v>
      </c>
      <c r="C316" s="13" t="s">
        <v>130</v>
      </c>
      <c r="D316" s="13" t="s">
        <v>276</v>
      </c>
      <c r="E316" s="13" t="s">
        <v>98</v>
      </c>
      <c r="F316" s="15">
        <v>8</v>
      </c>
      <c r="G316" s="15">
        <v>3020</v>
      </c>
      <c r="H316" s="15">
        <v>15.2</v>
      </c>
      <c r="I316" s="15">
        <v>20487.68</v>
      </c>
      <c r="J316" s="13" t="s">
        <v>93</v>
      </c>
      <c r="K316" s="13" t="s">
        <v>133</v>
      </c>
      <c r="L316">
        <f>IF(COUNTIF(A$2:A316, A316)=1, IF(COUNTIF(A$2:A$2001, A316)&gt;1, 1, 0), 0)</f>
        <v>0</v>
      </c>
      <c r="M316" t="b">
        <f>VLOOKUP(D316, Products!A$2:F$61, 6, FALSE)</f>
        <v>1</v>
      </c>
      <c r="N316" t="str">
        <f>VLOOKUP(D316, Products!A$2:C$61, 3, FALSE)</f>
        <v>Beauty</v>
      </c>
      <c r="O316" t="str">
        <f>VLOOKUP(C316, Customers!A$2:E$301, 5, FALSE)</f>
        <v>Retail</v>
      </c>
      <c r="P316">
        <f>VLOOKUP(C316, Customers!A$2:C$301, 3, FALSE)</f>
        <v>60</v>
      </c>
      <c r="Q316" t="str">
        <f>VLOOKUP(E316, Sales_Reps!A$2:C$31, 3, FALSE)</f>
        <v>South</v>
      </c>
      <c r="R316">
        <f>VLOOKUP(D316, Products!A$2:D$61, 4, FALSE)</f>
        <v>1626</v>
      </c>
    </row>
    <row r="317" spans="1:18" x14ac:dyDescent="0.3">
      <c r="A317" s="13" t="s">
        <v>693</v>
      </c>
      <c r="B317" s="14">
        <v>45517</v>
      </c>
      <c r="C317" s="13" t="s">
        <v>328</v>
      </c>
      <c r="D317" s="13" t="s">
        <v>259</v>
      </c>
      <c r="E317" s="13" t="s">
        <v>121</v>
      </c>
      <c r="F317" s="15">
        <v>10</v>
      </c>
      <c r="G317" s="15">
        <v>1540</v>
      </c>
      <c r="H317" s="15">
        <v>0.6</v>
      </c>
      <c r="I317" s="15">
        <v>15307.6</v>
      </c>
      <c r="J317" s="13" t="s">
        <v>87</v>
      </c>
      <c r="K317" s="13" t="s">
        <v>94</v>
      </c>
      <c r="L317">
        <f>IF(COUNTIF(A$2:A317, A317)=1, IF(COUNTIF(A$2:A$2001, A317)&gt;1, 1, 0), 0)</f>
        <v>0</v>
      </c>
      <c r="M317" t="b">
        <f>VLOOKUP(D317, Products!A$2:F$61, 6, FALSE)</f>
        <v>0</v>
      </c>
      <c r="N317" t="str">
        <f>VLOOKUP(D317, Products!A$2:C$61, 3, FALSE)</f>
        <v>Beauty</v>
      </c>
      <c r="O317" t="str">
        <f>VLOOKUP(C317, Customers!A$2:E$301, 5, FALSE)</f>
        <v>Retail</v>
      </c>
      <c r="P317">
        <f>VLOOKUP(C317, Customers!A$2:C$301, 3, FALSE)</f>
        <v>28</v>
      </c>
      <c r="Q317" t="str">
        <f>VLOOKUP(E317, Sales_Reps!A$2:C$31, 3, FALSE)</f>
        <v>East</v>
      </c>
      <c r="R317">
        <f>VLOOKUP(D317, Products!A$2:D$61, 4, FALSE)</f>
        <v>647</v>
      </c>
    </row>
    <row r="318" spans="1:18" x14ac:dyDescent="0.3">
      <c r="A318" s="13" t="s">
        <v>694</v>
      </c>
      <c r="B318" s="14">
        <v>45632</v>
      </c>
      <c r="C318" s="13" t="s">
        <v>490</v>
      </c>
      <c r="D318" s="13" t="s">
        <v>106</v>
      </c>
      <c r="E318" s="13" t="s">
        <v>215</v>
      </c>
      <c r="F318" s="15">
        <v>7</v>
      </c>
      <c r="G318" s="15">
        <v>3160</v>
      </c>
      <c r="H318" s="15">
        <v>8.9</v>
      </c>
      <c r="I318" s="15">
        <v>20151.32</v>
      </c>
      <c r="J318" s="13" t="s">
        <v>87</v>
      </c>
      <c r="K318" s="13" t="s">
        <v>99</v>
      </c>
      <c r="L318">
        <f>IF(COUNTIF(A$2:A318, A318)=1, IF(COUNTIF(A$2:A$2001, A318)&gt;1, 1, 0), 0)</f>
        <v>0</v>
      </c>
      <c r="M318" t="b">
        <f>VLOOKUP(D318, Products!A$2:F$61, 6, FALSE)</f>
        <v>1</v>
      </c>
      <c r="N318" t="str">
        <f>VLOOKUP(D318, Products!A$2:C$61, 3, FALSE)</f>
        <v>Apparel</v>
      </c>
      <c r="O318" t="str">
        <f>VLOOKUP(C318, Customers!A$2:E$301, 5, FALSE)</f>
        <v>Retail</v>
      </c>
      <c r="P318">
        <f>VLOOKUP(C318, Customers!A$2:C$301, 3, FALSE)</f>
        <v>59</v>
      </c>
      <c r="Q318" t="str">
        <f>VLOOKUP(E318, Sales_Reps!A$2:C$31, 3, FALSE)</f>
        <v>North</v>
      </c>
      <c r="R318">
        <f>VLOOKUP(D318, Products!A$2:D$61, 4, FALSE)</f>
        <v>1886</v>
      </c>
    </row>
    <row r="319" spans="1:18" x14ac:dyDescent="0.3">
      <c r="A319" s="13" t="s">
        <v>695</v>
      </c>
      <c r="B319" s="14">
        <v>45592</v>
      </c>
      <c r="C319" s="13" t="s">
        <v>210</v>
      </c>
      <c r="D319" s="13" t="s">
        <v>182</v>
      </c>
      <c r="E319" s="13" t="s">
        <v>252</v>
      </c>
      <c r="F319" s="15">
        <v>6</v>
      </c>
      <c r="G319" s="15">
        <v>1010</v>
      </c>
      <c r="H319" s="15">
        <v>12.9</v>
      </c>
      <c r="I319" s="15">
        <v>5278.26</v>
      </c>
      <c r="J319" s="13" t="s">
        <v>87</v>
      </c>
      <c r="K319" s="13" t="s">
        <v>99</v>
      </c>
      <c r="L319">
        <f>IF(COUNTIF(A$2:A319, A319)=1, IF(COUNTIF(A$2:A$2001, A319)&gt;1, 1, 0), 0)</f>
        <v>0</v>
      </c>
      <c r="M319" t="b">
        <f>VLOOKUP(D319, Products!A$2:F$61, 6, FALSE)</f>
        <v>1</v>
      </c>
      <c r="N319" t="str">
        <f>VLOOKUP(D319, Products!A$2:C$61, 3, FALSE)</f>
        <v>Sports</v>
      </c>
      <c r="O319" t="str">
        <f>VLOOKUP(C319, Customers!A$2:E$301, 5, FALSE)</f>
        <v>Retail</v>
      </c>
      <c r="P319">
        <f>VLOOKUP(C319, Customers!A$2:C$301, 3, FALSE)</f>
        <v>41</v>
      </c>
      <c r="Q319" t="str">
        <f>VLOOKUP(E319, Sales_Reps!A$2:C$31, 3, FALSE)</f>
        <v>South</v>
      </c>
      <c r="R319">
        <f>VLOOKUP(D319, Products!A$2:D$61, 4, FALSE)</f>
        <v>516</v>
      </c>
    </row>
    <row r="320" spans="1:18" x14ac:dyDescent="0.3">
      <c r="A320" s="13" t="s">
        <v>696</v>
      </c>
      <c r="B320" s="14">
        <v>45450</v>
      </c>
      <c r="C320" s="13" t="s">
        <v>697</v>
      </c>
      <c r="D320" s="13" t="s">
        <v>270</v>
      </c>
      <c r="E320" s="13" t="s">
        <v>192</v>
      </c>
      <c r="F320" s="15">
        <v>4</v>
      </c>
      <c r="G320" s="15">
        <v>4610</v>
      </c>
      <c r="H320" s="15">
        <v>18.2</v>
      </c>
      <c r="I320" s="15">
        <v>15083.92</v>
      </c>
      <c r="J320" s="13" t="s">
        <v>87</v>
      </c>
      <c r="K320" s="13" t="s">
        <v>133</v>
      </c>
      <c r="L320">
        <f>IF(COUNTIF(A$2:A320, A320)=1, IF(COUNTIF(A$2:A$2001, A320)&gt;1, 1, 0), 0)</f>
        <v>0</v>
      </c>
      <c r="M320" t="b">
        <f>VLOOKUP(D320, Products!A$2:F$61, 6, FALSE)</f>
        <v>1</v>
      </c>
      <c r="N320" t="str">
        <f>VLOOKUP(D320, Products!A$2:C$61, 3, FALSE)</f>
        <v>Home</v>
      </c>
      <c r="O320" t="str">
        <f>VLOOKUP(C320, Customers!A$2:E$301, 5, FALSE)</f>
        <v>Retail</v>
      </c>
      <c r="P320">
        <f>VLOOKUP(C320, Customers!A$2:C$301, 3, FALSE)</f>
        <v>65</v>
      </c>
      <c r="Q320" t="str">
        <f>VLOOKUP(E320, Sales_Reps!A$2:C$31, 3, FALSE)</f>
        <v>East</v>
      </c>
      <c r="R320">
        <f>VLOOKUP(D320, Products!A$2:D$61, 4, FALSE)</f>
        <v>1850</v>
      </c>
    </row>
    <row r="321" spans="1:18" x14ac:dyDescent="0.3">
      <c r="A321" s="13" t="s">
        <v>698</v>
      </c>
      <c r="B321" s="14">
        <v>45343</v>
      </c>
      <c r="C321" s="13" t="s">
        <v>263</v>
      </c>
      <c r="D321" s="13" t="s">
        <v>351</v>
      </c>
      <c r="E321" s="13" t="s">
        <v>229</v>
      </c>
      <c r="F321" s="15">
        <v>6</v>
      </c>
      <c r="G321" s="15">
        <v>4060</v>
      </c>
      <c r="H321" s="15">
        <v>24.3</v>
      </c>
      <c r="I321" s="15">
        <v>18440.52</v>
      </c>
      <c r="J321" s="13" t="s">
        <v>87</v>
      </c>
      <c r="K321" s="13" t="s">
        <v>133</v>
      </c>
      <c r="L321">
        <f>IF(COUNTIF(A$2:A321, A321)=1, IF(COUNTIF(A$2:A$2001, A321)&gt;1, 1, 0), 0)</f>
        <v>0</v>
      </c>
      <c r="M321" t="b">
        <f>VLOOKUP(D321, Products!A$2:F$61, 6, FALSE)</f>
        <v>1</v>
      </c>
      <c r="N321" t="str">
        <f>VLOOKUP(D321, Products!A$2:C$61, 3, FALSE)</f>
        <v>Grocery</v>
      </c>
      <c r="O321" t="str">
        <f>VLOOKUP(C321, Customers!A$2:E$301, 5, FALSE)</f>
        <v>Retail</v>
      </c>
      <c r="P321">
        <f>VLOOKUP(C321, Customers!A$2:C$301, 3, FALSE)</f>
        <v>53</v>
      </c>
      <c r="Q321" t="str">
        <f>VLOOKUP(E321, Sales_Reps!A$2:C$31, 3, FALSE)</f>
        <v>West</v>
      </c>
      <c r="R321">
        <f>VLOOKUP(D321, Products!A$2:D$61, 4, FALSE)</f>
        <v>2911</v>
      </c>
    </row>
    <row r="322" spans="1:18" x14ac:dyDescent="0.3">
      <c r="A322" s="13" t="s">
        <v>699</v>
      </c>
      <c r="B322" s="14">
        <v>45509</v>
      </c>
      <c r="C322" s="13" t="s">
        <v>700</v>
      </c>
      <c r="D322" s="13" t="s">
        <v>292</v>
      </c>
      <c r="E322" s="13" t="s">
        <v>215</v>
      </c>
      <c r="F322" s="15">
        <v>5</v>
      </c>
      <c r="G322" s="15">
        <v>620</v>
      </c>
      <c r="H322" s="15">
        <v>10.7</v>
      </c>
      <c r="I322" s="15">
        <v>2768.3</v>
      </c>
      <c r="J322" s="13" t="s">
        <v>144</v>
      </c>
      <c r="K322" s="13" t="s">
        <v>94</v>
      </c>
      <c r="L322">
        <f>IF(COUNTIF(A$2:A322, A322)=1, IF(COUNTIF(A$2:A$2001, A322)&gt;1, 1, 0), 0)</f>
        <v>0</v>
      </c>
      <c r="M322" t="b">
        <f>VLOOKUP(D322, Products!A$2:F$61, 6, FALSE)</f>
        <v>1</v>
      </c>
      <c r="N322" t="str">
        <f>VLOOKUP(D322, Products!A$2:C$61, 3, FALSE)</f>
        <v>Apparel</v>
      </c>
      <c r="O322" t="str">
        <f>VLOOKUP(C322, Customers!A$2:E$301, 5, FALSE)</f>
        <v>SMB</v>
      </c>
      <c r="P322">
        <f>VLOOKUP(C322, Customers!A$2:C$301, 3, FALSE)</f>
        <v>46</v>
      </c>
      <c r="Q322" t="str">
        <f>VLOOKUP(E322, Sales_Reps!A$2:C$31, 3, FALSE)</f>
        <v>North</v>
      </c>
      <c r="R322">
        <f>VLOOKUP(D322, Products!A$2:D$61, 4, FALSE)</f>
        <v>396</v>
      </c>
    </row>
    <row r="323" spans="1:18" x14ac:dyDescent="0.3">
      <c r="A323" s="13" t="s">
        <v>701</v>
      </c>
      <c r="B323" s="14">
        <v>45513</v>
      </c>
      <c r="C323" s="13" t="s">
        <v>454</v>
      </c>
      <c r="D323" s="13" t="s">
        <v>659</v>
      </c>
      <c r="E323" s="13" t="s">
        <v>148</v>
      </c>
      <c r="F323" s="15">
        <v>3</v>
      </c>
      <c r="G323" s="15">
        <v>3560</v>
      </c>
      <c r="H323" s="15">
        <v>4.0999999999999996</v>
      </c>
      <c r="I323" s="15">
        <v>10242.120000000001</v>
      </c>
      <c r="J323" s="13" t="s">
        <v>87</v>
      </c>
      <c r="K323" s="13" t="s">
        <v>133</v>
      </c>
      <c r="L323">
        <f>IF(COUNTIF(A$2:A323, A323)=1, IF(COUNTIF(A$2:A$2001, A323)&gt;1, 1, 0), 0)</f>
        <v>0</v>
      </c>
      <c r="M323" t="b">
        <f>VLOOKUP(D323, Products!A$2:F$61, 6, FALSE)</f>
        <v>1</v>
      </c>
      <c r="N323" t="str">
        <f>VLOOKUP(D323, Products!A$2:C$61, 3, FALSE)</f>
        <v>Apparel</v>
      </c>
      <c r="O323" t="str">
        <f>VLOOKUP(C323, Customers!A$2:E$301, 5, FALSE)</f>
        <v>Corporate</v>
      </c>
      <c r="P323">
        <f>VLOOKUP(C323, Customers!A$2:C$301, 3, FALSE)</f>
        <v>43</v>
      </c>
      <c r="Q323" t="str">
        <f>VLOOKUP(E323, Sales_Reps!A$2:C$31, 3, FALSE)</f>
        <v>North</v>
      </c>
      <c r="R323">
        <f>VLOOKUP(D323, Products!A$2:D$61, 4, FALSE)</f>
        <v>2629</v>
      </c>
    </row>
    <row r="324" spans="1:18" x14ac:dyDescent="0.3">
      <c r="A324" s="13" t="s">
        <v>702</v>
      </c>
      <c r="B324" s="14">
        <v>45500</v>
      </c>
      <c r="C324" s="13" t="s">
        <v>703</v>
      </c>
      <c r="D324" s="13" t="s">
        <v>151</v>
      </c>
      <c r="E324" s="13" t="s">
        <v>325</v>
      </c>
      <c r="F324" s="15">
        <v>2</v>
      </c>
      <c r="G324" s="15">
        <v>2400</v>
      </c>
      <c r="H324" s="15">
        <v>13</v>
      </c>
      <c r="I324" s="15">
        <v>4176</v>
      </c>
      <c r="J324" s="13" t="s">
        <v>87</v>
      </c>
      <c r="K324" s="13" t="s">
        <v>88</v>
      </c>
      <c r="L324">
        <f>IF(COUNTIF(A$2:A324, A324)=1, IF(COUNTIF(A$2:A$2001, A324)&gt;1, 1, 0), 0)</f>
        <v>0</v>
      </c>
      <c r="M324" t="b">
        <f>VLOOKUP(D324, Products!A$2:F$61, 6, FALSE)</f>
        <v>1</v>
      </c>
      <c r="N324" t="str">
        <f>VLOOKUP(D324, Products!A$2:C$61, 3, FALSE)</f>
        <v>Sports</v>
      </c>
      <c r="O324" t="str">
        <f>VLOOKUP(C324, Customers!A$2:E$301, 5, FALSE)</f>
        <v>Corporate</v>
      </c>
      <c r="P324">
        <f>VLOOKUP(C324, Customers!A$2:C$301, 3, FALSE)</f>
        <v>52</v>
      </c>
      <c r="Q324" t="str">
        <f>VLOOKUP(E324, Sales_Reps!A$2:C$31, 3, FALSE)</f>
        <v>South</v>
      </c>
      <c r="R324">
        <f>VLOOKUP(D324, Products!A$2:D$61, 4, FALSE)</f>
        <v>974</v>
      </c>
    </row>
    <row r="325" spans="1:18" x14ac:dyDescent="0.3">
      <c r="A325" s="13" t="s">
        <v>704</v>
      </c>
      <c r="B325" s="14">
        <v>45407</v>
      </c>
      <c r="C325" s="13" t="s">
        <v>705</v>
      </c>
      <c r="D325" s="13" t="s">
        <v>515</v>
      </c>
      <c r="E325" s="13" t="s">
        <v>103</v>
      </c>
      <c r="F325" s="15">
        <v>9</v>
      </c>
      <c r="G325" s="15">
        <v>6940</v>
      </c>
      <c r="H325" s="15">
        <v>26.2</v>
      </c>
      <c r="I325" s="15">
        <v>46095.48</v>
      </c>
      <c r="J325" s="13" t="s">
        <v>87</v>
      </c>
      <c r="K325" s="13" t="s">
        <v>99</v>
      </c>
      <c r="L325">
        <f>IF(COUNTIF(A$2:A325, A325)=1, IF(COUNTIF(A$2:A$2001, A325)&gt;1, 1, 0), 0)</f>
        <v>0</v>
      </c>
      <c r="M325" t="b">
        <f>VLOOKUP(D325, Products!A$2:F$61, 6, FALSE)</f>
        <v>1</v>
      </c>
      <c r="N325" t="str">
        <f>VLOOKUP(D325, Products!A$2:C$61, 3, FALSE)</f>
        <v>Sports</v>
      </c>
      <c r="O325" t="str">
        <f>VLOOKUP(C325, Customers!A$2:E$301, 5, FALSE)</f>
        <v>Retail</v>
      </c>
      <c r="P325">
        <f>VLOOKUP(C325, Customers!A$2:C$301, 3, FALSE)</f>
        <v>53</v>
      </c>
      <c r="Q325" t="str">
        <f>VLOOKUP(E325, Sales_Reps!A$2:C$31, 3, FALSE)</f>
        <v>North</v>
      </c>
      <c r="R325">
        <f>VLOOKUP(D325, Products!A$2:D$61, 4, FALSE)</f>
        <v>2827</v>
      </c>
    </row>
    <row r="326" spans="1:18" x14ac:dyDescent="0.3">
      <c r="A326" s="13" t="s">
        <v>706</v>
      </c>
      <c r="B326" s="14">
        <v>45385</v>
      </c>
      <c r="C326" s="13" t="s">
        <v>707</v>
      </c>
      <c r="D326" s="13" t="s">
        <v>367</v>
      </c>
      <c r="E326" s="13" t="s">
        <v>111</v>
      </c>
      <c r="F326" s="15">
        <v>9</v>
      </c>
      <c r="G326" s="15">
        <v>2380</v>
      </c>
      <c r="H326" s="15">
        <v>22.7</v>
      </c>
      <c r="I326" s="15">
        <v>16557.66</v>
      </c>
      <c r="J326" s="13" t="s">
        <v>87</v>
      </c>
      <c r="K326" s="13" t="s">
        <v>112</v>
      </c>
      <c r="L326">
        <f>IF(COUNTIF(A$2:A326, A326)=1, IF(COUNTIF(A$2:A$2001, A326)&gt;1, 1, 0), 0)</f>
        <v>0</v>
      </c>
      <c r="M326" t="b">
        <f>VLOOKUP(D326, Products!A$2:F$61, 6, FALSE)</f>
        <v>1</v>
      </c>
      <c r="N326" t="str">
        <f>VLOOKUP(D326, Products!A$2:C$61, 3, FALSE)</f>
        <v>Grocery</v>
      </c>
      <c r="O326" t="str">
        <f>VLOOKUP(C326, Customers!A$2:E$301, 5, FALSE)</f>
        <v>Retail</v>
      </c>
      <c r="P326">
        <f>VLOOKUP(C326, Customers!A$2:C$301, 3, FALSE)</f>
        <v>33</v>
      </c>
      <c r="Q326" t="str">
        <f>VLOOKUP(E326, Sales_Reps!A$2:C$31, 3, FALSE)</f>
        <v>West</v>
      </c>
      <c r="R326">
        <f>VLOOKUP(D326, Products!A$2:D$61, 4, FALSE)</f>
        <v>1182</v>
      </c>
    </row>
    <row r="327" spans="1:18" x14ac:dyDescent="0.3">
      <c r="A327" s="13" t="s">
        <v>708</v>
      </c>
      <c r="B327" s="14">
        <v>45542</v>
      </c>
      <c r="C327" s="13" t="s">
        <v>266</v>
      </c>
      <c r="D327" s="13" t="s">
        <v>85</v>
      </c>
      <c r="E327" s="13" t="s">
        <v>128</v>
      </c>
      <c r="F327" s="15">
        <v>6</v>
      </c>
      <c r="G327" s="15">
        <v>3620</v>
      </c>
      <c r="H327" s="15">
        <v>9.1999999999999993</v>
      </c>
      <c r="I327" s="15">
        <v>19721.759999999998</v>
      </c>
      <c r="J327" s="13" t="s">
        <v>87</v>
      </c>
      <c r="K327" s="13" t="s">
        <v>99</v>
      </c>
      <c r="L327">
        <f>IF(COUNTIF(A$2:A327, A327)=1, IF(COUNTIF(A$2:A$2001, A327)&gt;1, 1, 0), 0)</f>
        <v>0</v>
      </c>
      <c r="M327" t="b">
        <f>VLOOKUP(D327, Products!A$2:F$61, 6, FALSE)</f>
        <v>1</v>
      </c>
      <c r="N327" t="str">
        <f>VLOOKUP(D327, Products!A$2:C$61, 3, FALSE)</f>
        <v>Apparel</v>
      </c>
      <c r="O327" t="str">
        <f>VLOOKUP(C327, Customers!A$2:E$301, 5, FALSE)</f>
        <v>Corporate</v>
      </c>
      <c r="P327">
        <f>VLOOKUP(C327, Customers!A$2:C$301, 3, FALSE)</f>
        <v>55</v>
      </c>
      <c r="Q327" t="str">
        <f>VLOOKUP(E327, Sales_Reps!A$2:C$31, 3, FALSE)</f>
        <v>West</v>
      </c>
      <c r="R327">
        <f>VLOOKUP(D327, Products!A$2:D$61, 4, FALSE)</f>
        <v>2509</v>
      </c>
    </row>
    <row r="328" spans="1:18" x14ac:dyDescent="0.3">
      <c r="A328" s="13" t="s">
        <v>709</v>
      </c>
      <c r="B328" s="14">
        <v>45422</v>
      </c>
      <c r="C328" s="13" t="s">
        <v>454</v>
      </c>
      <c r="D328" s="13" t="s">
        <v>241</v>
      </c>
      <c r="E328" s="13" t="s">
        <v>139</v>
      </c>
      <c r="F328" s="15">
        <v>1</v>
      </c>
      <c r="G328" s="15">
        <v>6080</v>
      </c>
      <c r="H328" s="15">
        <v>29.4</v>
      </c>
      <c r="I328" s="15">
        <v>4292.4799999999996</v>
      </c>
      <c r="J328" s="13" t="s">
        <v>140</v>
      </c>
      <c r="K328" s="13" t="s">
        <v>133</v>
      </c>
      <c r="L328">
        <f>IF(COUNTIF(A$2:A328, A328)=1, IF(COUNTIF(A$2:A$2001, A328)&gt;1, 1, 0), 0)</f>
        <v>0</v>
      </c>
      <c r="M328" t="b">
        <f>VLOOKUP(D328, Products!A$2:F$61, 6, FALSE)</f>
        <v>1</v>
      </c>
      <c r="N328" t="str">
        <f>VLOOKUP(D328, Products!A$2:C$61, 3, FALSE)</f>
        <v>Beauty</v>
      </c>
      <c r="O328" t="str">
        <f>VLOOKUP(C328, Customers!A$2:E$301, 5, FALSE)</f>
        <v>Corporate</v>
      </c>
      <c r="P328">
        <f>VLOOKUP(C328, Customers!A$2:C$301, 3, FALSE)</f>
        <v>43</v>
      </c>
      <c r="Q328" t="str">
        <f>VLOOKUP(E328, Sales_Reps!A$2:C$31, 3, FALSE)</f>
        <v>North</v>
      </c>
      <c r="R328">
        <f>VLOOKUP(D328, Products!A$2:D$61, 4, FALSE)</f>
        <v>2617</v>
      </c>
    </row>
    <row r="329" spans="1:18" x14ac:dyDescent="0.3">
      <c r="A329" s="13" t="s">
        <v>710</v>
      </c>
      <c r="B329" s="14">
        <v>45343</v>
      </c>
      <c r="C329" s="13" t="s">
        <v>680</v>
      </c>
      <c r="D329" s="13" t="s">
        <v>91</v>
      </c>
      <c r="E329" s="13" t="s">
        <v>303</v>
      </c>
      <c r="F329" s="15">
        <v>6</v>
      </c>
      <c r="G329" s="15">
        <v>820</v>
      </c>
      <c r="H329" s="15">
        <v>29.1</v>
      </c>
      <c r="I329" s="15">
        <v>3488.28</v>
      </c>
      <c r="J329" s="13" t="s">
        <v>87</v>
      </c>
      <c r="K329" s="13" t="s">
        <v>94</v>
      </c>
      <c r="L329">
        <f>IF(COUNTIF(A$2:A329, A329)=1, IF(COUNTIF(A$2:A$2001, A329)&gt;1, 1, 0), 0)</f>
        <v>0</v>
      </c>
      <c r="M329" t="b">
        <f>VLOOKUP(D329, Products!A$2:F$61, 6, FALSE)</f>
        <v>1</v>
      </c>
      <c r="N329" t="str">
        <f>VLOOKUP(D329, Products!A$2:C$61, 3, FALSE)</f>
        <v>Apparel</v>
      </c>
      <c r="O329" t="str">
        <f>VLOOKUP(C329, Customers!A$2:E$301, 5, FALSE)</f>
        <v>Retail</v>
      </c>
      <c r="P329">
        <f>VLOOKUP(C329, Customers!A$2:C$301, 3, FALSE)</f>
        <v>26</v>
      </c>
      <c r="Q329" t="str">
        <f>VLOOKUP(E329, Sales_Reps!A$2:C$31, 3, FALSE)</f>
        <v>East</v>
      </c>
      <c r="R329">
        <f>VLOOKUP(D329, Products!A$2:D$61, 4, FALSE)</f>
        <v>391</v>
      </c>
    </row>
    <row r="330" spans="1:18" x14ac:dyDescent="0.3">
      <c r="A330" s="13" t="s">
        <v>711</v>
      </c>
      <c r="B330" s="14">
        <v>45646</v>
      </c>
      <c r="C330" s="13" t="s">
        <v>712</v>
      </c>
      <c r="D330" s="13" t="s">
        <v>276</v>
      </c>
      <c r="E330" s="13" t="s">
        <v>116</v>
      </c>
      <c r="F330" s="15">
        <v>9</v>
      </c>
      <c r="G330" s="15">
        <v>3020</v>
      </c>
      <c r="H330" s="15">
        <v>7.9</v>
      </c>
      <c r="I330" s="15">
        <v>25032.78</v>
      </c>
      <c r="J330" s="13" t="s">
        <v>87</v>
      </c>
      <c r="K330" s="13" t="s">
        <v>112</v>
      </c>
      <c r="L330">
        <f>IF(COUNTIF(A$2:A330, A330)=1, IF(COUNTIF(A$2:A$2001, A330)&gt;1, 1, 0), 0)</f>
        <v>0</v>
      </c>
      <c r="M330" t="b">
        <f>VLOOKUP(D330, Products!A$2:F$61, 6, FALSE)</f>
        <v>1</v>
      </c>
      <c r="N330" t="str">
        <f>VLOOKUP(D330, Products!A$2:C$61, 3, FALSE)</f>
        <v>Beauty</v>
      </c>
      <c r="O330" t="str">
        <f>VLOOKUP(C330, Customers!A$2:E$301, 5, FALSE)</f>
        <v>Corporate</v>
      </c>
      <c r="P330">
        <f>VLOOKUP(C330, Customers!A$2:C$301, 3, FALSE)</f>
        <v>51</v>
      </c>
      <c r="Q330" t="str">
        <f>VLOOKUP(E330, Sales_Reps!A$2:C$31, 3, FALSE)</f>
        <v>West</v>
      </c>
      <c r="R330">
        <f>VLOOKUP(D330, Products!A$2:D$61, 4, FALSE)</f>
        <v>1626</v>
      </c>
    </row>
    <row r="331" spans="1:18" x14ac:dyDescent="0.3">
      <c r="A331" s="13" t="s">
        <v>713</v>
      </c>
      <c r="B331" s="14">
        <v>45645</v>
      </c>
      <c r="C331" s="13" t="s">
        <v>714</v>
      </c>
      <c r="D331" s="13" t="s">
        <v>248</v>
      </c>
      <c r="E331" s="13" t="s">
        <v>229</v>
      </c>
      <c r="F331" s="15">
        <v>8</v>
      </c>
      <c r="G331" s="15">
        <v>3870</v>
      </c>
      <c r="H331" s="15">
        <v>11.9</v>
      </c>
      <c r="I331" s="15">
        <v>27275.759999999998</v>
      </c>
      <c r="J331" s="13" t="s">
        <v>87</v>
      </c>
      <c r="K331" s="13" t="s">
        <v>99</v>
      </c>
      <c r="L331">
        <f>IF(COUNTIF(A$2:A331, A331)=1, IF(COUNTIF(A$2:A$2001, A331)&gt;1, 1, 0), 0)</f>
        <v>0</v>
      </c>
      <c r="M331" t="b">
        <f>VLOOKUP(D331, Products!A$2:F$61, 6, FALSE)</f>
        <v>1</v>
      </c>
      <c r="N331" t="str">
        <f>VLOOKUP(D331, Products!A$2:C$61, 3, FALSE)</f>
        <v>Electronics</v>
      </c>
      <c r="O331" t="str">
        <f>VLOOKUP(C331, Customers!A$2:E$301, 5, FALSE)</f>
        <v>Retail</v>
      </c>
      <c r="P331">
        <f>VLOOKUP(C331, Customers!A$2:C$301, 3, FALSE)</f>
        <v>24</v>
      </c>
      <c r="Q331" t="str">
        <f>VLOOKUP(E331, Sales_Reps!A$2:C$31, 3, FALSE)</f>
        <v>West</v>
      </c>
      <c r="R331">
        <f>VLOOKUP(D331, Products!A$2:D$61, 4, FALSE)</f>
        <v>1559</v>
      </c>
    </row>
    <row r="332" spans="1:18" x14ac:dyDescent="0.3">
      <c r="A332" s="13" t="s">
        <v>715</v>
      </c>
      <c r="B332" s="14">
        <v>45528</v>
      </c>
      <c r="C332" s="13" t="s">
        <v>440</v>
      </c>
      <c r="D332" s="13" t="s">
        <v>157</v>
      </c>
      <c r="E332" s="13" t="s">
        <v>170</v>
      </c>
      <c r="F332" s="15">
        <v>6</v>
      </c>
      <c r="G332" s="15">
        <v>3450</v>
      </c>
      <c r="H332" s="15">
        <v>13.9</v>
      </c>
      <c r="I332" s="15">
        <v>17822.7</v>
      </c>
      <c r="J332" s="13" t="s">
        <v>87</v>
      </c>
      <c r="K332" s="13" t="s">
        <v>88</v>
      </c>
      <c r="L332">
        <f>IF(COUNTIF(A$2:A332, A332)=1, IF(COUNTIF(A$2:A$2001, A332)&gt;1, 1, 0), 0)</f>
        <v>0</v>
      </c>
      <c r="M332" t="b">
        <f>VLOOKUP(D332, Products!A$2:F$61, 6, FALSE)</f>
        <v>1</v>
      </c>
      <c r="N332" t="str">
        <f>VLOOKUP(D332, Products!A$2:C$61, 3, FALSE)</f>
        <v>Beauty</v>
      </c>
      <c r="O332" t="str">
        <f>VLOOKUP(C332, Customers!A$2:E$301, 5, FALSE)</f>
        <v>SMB</v>
      </c>
      <c r="P332">
        <f>VLOOKUP(C332, Customers!A$2:C$301, 3, FALSE)</f>
        <v>30</v>
      </c>
      <c r="Q332" t="str">
        <f>VLOOKUP(E332, Sales_Reps!A$2:C$31, 3, FALSE)</f>
        <v>West</v>
      </c>
      <c r="R332">
        <f>VLOOKUP(D332, Products!A$2:D$61, 4, FALSE)</f>
        <v>2420</v>
      </c>
    </row>
    <row r="333" spans="1:18" x14ac:dyDescent="0.3">
      <c r="A333" s="13" t="s">
        <v>716</v>
      </c>
      <c r="B333" s="14">
        <v>45655</v>
      </c>
      <c r="C333" s="13" t="s">
        <v>717</v>
      </c>
      <c r="D333" s="13" t="s">
        <v>191</v>
      </c>
      <c r="E333" s="13" t="s">
        <v>107</v>
      </c>
      <c r="F333" s="15">
        <v>9</v>
      </c>
      <c r="G333" s="15">
        <v>5100</v>
      </c>
      <c r="H333" s="15">
        <v>2.1</v>
      </c>
      <c r="I333" s="15">
        <v>44936.1</v>
      </c>
      <c r="J333" s="13" t="s">
        <v>87</v>
      </c>
      <c r="K333" s="13" t="s">
        <v>94</v>
      </c>
      <c r="L333">
        <f>IF(COUNTIF(A$2:A333, A333)=1, IF(COUNTIF(A$2:A$2001, A333)&gt;1, 1, 0), 0)</f>
        <v>0</v>
      </c>
      <c r="M333" t="b">
        <f>VLOOKUP(D333, Products!A$2:F$61, 6, FALSE)</f>
        <v>1</v>
      </c>
      <c r="N333" t="str">
        <f>VLOOKUP(D333, Products!A$2:C$61, 3, FALSE)</f>
        <v>Beauty</v>
      </c>
      <c r="O333" t="str">
        <f>VLOOKUP(C333, Customers!A$2:E$301, 5, FALSE)</f>
        <v>Retail</v>
      </c>
      <c r="P333">
        <f>VLOOKUP(C333, Customers!A$2:C$301, 3, FALSE)</f>
        <v>24</v>
      </c>
      <c r="Q333" t="str">
        <f>VLOOKUP(E333, Sales_Reps!A$2:C$31, 3, FALSE)</f>
        <v>North</v>
      </c>
      <c r="R333">
        <f>VLOOKUP(D333, Products!A$2:D$61, 4, FALSE)</f>
        <v>2237</v>
      </c>
    </row>
    <row r="334" spans="1:18" x14ac:dyDescent="0.3">
      <c r="A334" s="13" t="s">
        <v>718</v>
      </c>
      <c r="B334" s="14">
        <v>45518</v>
      </c>
      <c r="C334" s="13" t="s">
        <v>399</v>
      </c>
      <c r="D334" s="13" t="s">
        <v>264</v>
      </c>
      <c r="E334" s="13" t="s">
        <v>107</v>
      </c>
      <c r="F334" s="15">
        <v>2</v>
      </c>
      <c r="G334" s="15">
        <v>4070</v>
      </c>
      <c r="H334" s="15">
        <v>28.6</v>
      </c>
      <c r="I334" s="15">
        <v>5811.96</v>
      </c>
      <c r="J334" s="13" t="s">
        <v>87</v>
      </c>
      <c r="K334" s="13" t="s">
        <v>99</v>
      </c>
      <c r="L334">
        <f>IF(COUNTIF(A$2:A334, A334)=1, IF(COUNTIF(A$2:A$2001, A334)&gt;1, 1, 0), 0)</f>
        <v>0</v>
      </c>
      <c r="M334" t="b">
        <f>VLOOKUP(D334, Products!A$2:F$61, 6, FALSE)</f>
        <v>1</v>
      </c>
      <c r="N334" t="str">
        <f>VLOOKUP(D334, Products!A$2:C$61, 3, FALSE)</f>
        <v>Grocery</v>
      </c>
      <c r="O334" t="str">
        <f>VLOOKUP(C334, Customers!A$2:E$301, 5, FALSE)</f>
        <v>SMB</v>
      </c>
      <c r="P334">
        <f>VLOOKUP(C334, Customers!A$2:C$301, 3, FALSE)</f>
        <v>53</v>
      </c>
      <c r="Q334" t="str">
        <f>VLOOKUP(E334, Sales_Reps!A$2:C$31, 3, FALSE)</f>
        <v>North</v>
      </c>
      <c r="R334">
        <f>VLOOKUP(D334, Products!A$2:D$61, 4, FALSE)</f>
        <v>2027</v>
      </c>
    </row>
    <row r="335" spans="1:18" x14ac:dyDescent="0.3">
      <c r="A335" s="13" t="s">
        <v>719</v>
      </c>
      <c r="B335" s="14">
        <v>45339</v>
      </c>
      <c r="C335" s="13" t="s">
        <v>676</v>
      </c>
      <c r="D335" s="13" t="s">
        <v>364</v>
      </c>
      <c r="E335" s="13" t="s">
        <v>86</v>
      </c>
      <c r="F335" s="15">
        <v>9</v>
      </c>
      <c r="G335" s="15">
        <v>5330</v>
      </c>
      <c r="H335" s="15">
        <v>6.2</v>
      </c>
      <c r="I335" s="15">
        <v>44995.86</v>
      </c>
      <c r="J335" s="13" t="s">
        <v>87</v>
      </c>
      <c r="K335" s="13" t="s">
        <v>88</v>
      </c>
      <c r="L335">
        <f>IF(COUNTIF(A$2:A335, A335)=1, IF(COUNTIF(A$2:A$2001, A335)&gt;1, 1, 0), 0)</f>
        <v>0</v>
      </c>
      <c r="M335" t="b">
        <f>VLOOKUP(D335, Products!A$2:F$61, 6, FALSE)</f>
        <v>1</v>
      </c>
      <c r="N335" t="str">
        <f>VLOOKUP(D335, Products!A$2:C$61, 3, FALSE)</f>
        <v>Electronics</v>
      </c>
      <c r="O335" t="str">
        <f>VLOOKUP(C335, Customers!A$2:E$301, 5, FALSE)</f>
        <v>SMB</v>
      </c>
      <c r="P335">
        <f>VLOOKUP(C335, Customers!A$2:C$301, 3, FALSE)</f>
        <v>35</v>
      </c>
      <c r="Q335" t="str">
        <f>VLOOKUP(E335, Sales_Reps!A$2:C$31, 3, FALSE)</f>
        <v>North</v>
      </c>
      <c r="R335">
        <f>VLOOKUP(D335, Products!A$2:D$61, 4, FALSE)</f>
        <v>2405</v>
      </c>
    </row>
    <row r="336" spans="1:18" x14ac:dyDescent="0.3">
      <c r="A336" s="13" t="s">
        <v>663</v>
      </c>
      <c r="B336" s="14">
        <v>45319</v>
      </c>
      <c r="C336" s="13" t="s">
        <v>720</v>
      </c>
      <c r="D336" s="13" t="s">
        <v>131</v>
      </c>
      <c r="E336" s="13" t="s">
        <v>192</v>
      </c>
      <c r="F336" s="15">
        <v>6</v>
      </c>
      <c r="G336" s="15">
        <v>2270</v>
      </c>
      <c r="H336" s="15">
        <v>23.7</v>
      </c>
      <c r="I336" s="15">
        <v>10392.06</v>
      </c>
      <c r="J336" s="13" t="s">
        <v>87</v>
      </c>
      <c r="K336" s="13" t="s">
        <v>721</v>
      </c>
      <c r="L336">
        <f>IF(COUNTIF(A$2:A336, A336)=1, IF(COUNTIF(A$2:A$2001, A336)&gt;1, 1, 0), 0)</f>
        <v>0</v>
      </c>
      <c r="M336" t="b">
        <f>VLOOKUP(D336, Products!A$2:F$61, 6, FALSE)</f>
        <v>1</v>
      </c>
      <c r="N336" t="str">
        <f>VLOOKUP(D336, Products!A$2:C$61, 3, FALSE)</f>
        <v>Grocery</v>
      </c>
      <c r="O336" t="str">
        <f>VLOOKUP(C336, Customers!A$2:E$301, 5, FALSE)</f>
        <v>Retail</v>
      </c>
      <c r="P336">
        <f>VLOOKUP(C336, Customers!A$2:C$301, 3, FALSE)</f>
        <v>48</v>
      </c>
      <c r="Q336" t="str">
        <f>VLOOKUP(E336, Sales_Reps!A$2:C$31, 3, FALSE)</f>
        <v>East</v>
      </c>
      <c r="R336">
        <f>VLOOKUP(D336, Products!A$2:D$61, 4, FALSE)</f>
        <v>1203</v>
      </c>
    </row>
    <row r="337" spans="1:18" x14ac:dyDescent="0.3">
      <c r="A337" s="13" t="s">
        <v>722</v>
      </c>
      <c r="B337" s="14">
        <v>45618</v>
      </c>
      <c r="C337" s="13" t="s">
        <v>142</v>
      </c>
      <c r="D337" s="13" t="s">
        <v>355</v>
      </c>
      <c r="E337" s="13" t="s">
        <v>116</v>
      </c>
      <c r="F337" s="15">
        <v>5</v>
      </c>
      <c r="G337" s="15">
        <v>2510</v>
      </c>
      <c r="H337" s="15">
        <v>25</v>
      </c>
      <c r="I337" s="15">
        <v>9412.5</v>
      </c>
      <c r="J337" s="13" t="s">
        <v>87</v>
      </c>
      <c r="K337" s="13" t="s">
        <v>88</v>
      </c>
      <c r="L337">
        <f>IF(COUNTIF(A$2:A337, A337)=1, IF(COUNTIF(A$2:A$2001, A337)&gt;1, 1, 0), 0)</f>
        <v>0</v>
      </c>
      <c r="M337" t="b">
        <f>VLOOKUP(D337, Products!A$2:F$61, 6, FALSE)</f>
        <v>0</v>
      </c>
      <c r="N337" t="str">
        <f>VLOOKUP(D337, Products!A$2:C$61, 3, FALSE)</f>
        <v>Apparel</v>
      </c>
      <c r="O337" t="str">
        <f>VLOOKUP(C337, Customers!A$2:E$301, 5, FALSE)</f>
        <v>SMB</v>
      </c>
      <c r="P337">
        <f>VLOOKUP(C337, Customers!A$2:C$301, 3, FALSE)</f>
        <v>39</v>
      </c>
      <c r="Q337" t="str">
        <f>VLOOKUP(E337, Sales_Reps!A$2:C$31, 3, FALSE)</f>
        <v>West</v>
      </c>
      <c r="R337">
        <f>VLOOKUP(D337, Products!A$2:D$61, 4, FALSE)</f>
        <v>1075</v>
      </c>
    </row>
    <row r="338" spans="1:18" x14ac:dyDescent="0.3">
      <c r="A338" s="13" t="s">
        <v>723</v>
      </c>
      <c r="B338" s="14">
        <v>45335</v>
      </c>
      <c r="C338" s="13" t="s">
        <v>626</v>
      </c>
      <c r="D338" s="13" t="s">
        <v>367</v>
      </c>
      <c r="E338" s="13" t="s">
        <v>121</v>
      </c>
      <c r="F338" s="15">
        <v>9</v>
      </c>
      <c r="G338" s="15">
        <v>2380</v>
      </c>
      <c r="H338" s="15">
        <v>16.8</v>
      </c>
      <c r="I338" s="15">
        <v>17821.439999999999</v>
      </c>
      <c r="J338" s="13" t="s">
        <v>87</v>
      </c>
      <c r="K338" s="13" t="s">
        <v>99</v>
      </c>
      <c r="L338">
        <f>IF(COUNTIF(A$2:A338, A338)=1, IF(COUNTIF(A$2:A$2001, A338)&gt;1, 1, 0), 0)</f>
        <v>0</v>
      </c>
      <c r="M338" t="b">
        <f>VLOOKUP(D338, Products!A$2:F$61, 6, FALSE)</f>
        <v>1</v>
      </c>
      <c r="N338" t="str">
        <f>VLOOKUP(D338, Products!A$2:C$61, 3, FALSE)</f>
        <v>Grocery</v>
      </c>
      <c r="O338" t="str">
        <f>VLOOKUP(C338, Customers!A$2:E$301, 5, FALSE)</f>
        <v>Retail</v>
      </c>
      <c r="P338">
        <f>VLOOKUP(C338, Customers!A$2:C$301, 3, FALSE)</f>
        <v>40</v>
      </c>
      <c r="Q338" t="str">
        <f>VLOOKUP(E338, Sales_Reps!A$2:C$31, 3, FALSE)</f>
        <v>East</v>
      </c>
      <c r="R338">
        <f>VLOOKUP(D338, Products!A$2:D$61, 4, FALSE)</f>
        <v>1182</v>
      </c>
    </row>
    <row r="339" spans="1:18" x14ac:dyDescent="0.3">
      <c r="A339" s="13" t="s">
        <v>724</v>
      </c>
      <c r="B339" s="14">
        <v>45420</v>
      </c>
      <c r="C339" s="13" t="s">
        <v>725</v>
      </c>
      <c r="D339" s="13" t="s">
        <v>452</v>
      </c>
      <c r="E339" s="13" t="s">
        <v>107</v>
      </c>
      <c r="F339" s="15">
        <v>1</v>
      </c>
      <c r="G339" s="15">
        <v>3450</v>
      </c>
      <c r="H339" s="15">
        <v>1.5</v>
      </c>
      <c r="I339" s="15">
        <v>3398.25</v>
      </c>
      <c r="J339" s="13" t="s">
        <v>144</v>
      </c>
      <c r="K339" s="13" t="s">
        <v>99</v>
      </c>
      <c r="L339">
        <f>IF(COUNTIF(A$2:A339, A339)=1, IF(COUNTIF(A$2:A$2001, A339)&gt;1, 1, 0), 0)</f>
        <v>0</v>
      </c>
      <c r="M339" t="b">
        <f>VLOOKUP(D339, Products!A$2:F$61, 6, FALSE)</f>
        <v>1</v>
      </c>
      <c r="N339" t="str">
        <f>VLOOKUP(D339, Products!A$2:C$61, 3, FALSE)</f>
        <v>Apparel</v>
      </c>
      <c r="O339" t="str">
        <f>VLOOKUP(C339, Customers!A$2:E$301, 5, FALSE)</f>
        <v>SMB</v>
      </c>
      <c r="P339">
        <f>VLOOKUP(C339, Customers!A$2:C$301, 3, FALSE)</f>
        <v>26</v>
      </c>
      <c r="Q339" t="str">
        <f>VLOOKUP(E339, Sales_Reps!A$2:C$31, 3, FALSE)</f>
        <v>North</v>
      </c>
      <c r="R339">
        <f>VLOOKUP(D339, Products!A$2:D$61, 4, FALSE)</f>
        <v>1748</v>
      </c>
    </row>
    <row r="340" spans="1:18" x14ac:dyDescent="0.3">
      <c r="A340" s="13" t="s">
        <v>726</v>
      </c>
      <c r="B340" s="14">
        <v>45295</v>
      </c>
      <c r="C340" s="13" t="s">
        <v>119</v>
      </c>
      <c r="D340" s="13" t="s">
        <v>187</v>
      </c>
      <c r="E340" s="13" t="s">
        <v>297</v>
      </c>
      <c r="F340" s="15">
        <v>5</v>
      </c>
      <c r="G340" s="15">
        <v>3570</v>
      </c>
      <c r="H340" s="15">
        <v>12.8</v>
      </c>
      <c r="I340" s="15">
        <v>15565.2</v>
      </c>
      <c r="J340" s="13" t="s">
        <v>87</v>
      </c>
      <c r="K340" s="13" t="s">
        <v>117</v>
      </c>
      <c r="L340">
        <f>IF(COUNTIF(A$2:A340, A340)=1, IF(COUNTIF(A$2:A$2001, A340)&gt;1, 1, 0), 0)</f>
        <v>0</v>
      </c>
      <c r="M340" t="b">
        <f>VLOOKUP(D340, Products!A$2:F$61, 6, FALSE)</f>
        <v>1</v>
      </c>
      <c r="N340" t="str">
        <f>VLOOKUP(D340, Products!A$2:C$61, 3, FALSE)</f>
        <v>Electronics</v>
      </c>
      <c r="O340" t="str">
        <f>VLOOKUP(C340, Customers!A$2:E$301, 5, FALSE)</f>
        <v>Corporate</v>
      </c>
      <c r="P340">
        <f>VLOOKUP(C340, Customers!A$2:C$301, 3, FALSE)</f>
        <v>57</v>
      </c>
      <c r="Q340" t="str">
        <f>VLOOKUP(E340, Sales_Reps!A$2:C$31, 3, FALSE)</f>
        <v>North</v>
      </c>
      <c r="R340">
        <f>VLOOKUP(D340, Products!A$2:D$61, 4, FALSE)</f>
        <v>1665</v>
      </c>
    </row>
    <row r="341" spans="1:18" x14ac:dyDescent="0.3">
      <c r="A341" s="13" t="s">
        <v>727</v>
      </c>
      <c r="B341" s="14">
        <v>45590</v>
      </c>
      <c r="C341" s="13" t="s">
        <v>256</v>
      </c>
      <c r="D341" s="13" t="s">
        <v>364</v>
      </c>
      <c r="E341" s="13" t="s">
        <v>229</v>
      </c>
      <c r="F341" s="15">
        <v>3</v>
      </c>
      <c r="G341" s="15">
        <v>5330</v>
      </c>
      <c r="H341" s="15">
        <v>16.2</v>
      </c>
      <c r="I341" s="15">
        <v>13399.62</v>
      </c>
      <c r="J341" s="13" t="s">
        <v>87</v>
      </c>
      <c r="K341" s="13" t="s">
        <v>133</v>
      </c>
      <c r="L341">
        <f>IF(COUNTIF(A$2:A341, A341)=1, IF(COUNTIF(A$2:A$2001, A341)&gt;1, 1, 0), 0)</f>
        <v>0</v>
      </c>
      <c r="M341" t="b">
        <f>VLOOKUP(D341, Products!A$2:F$61, 6, FALSE)</f>
        <v>1</v>
      </c>
      <c r="N341" t="str">
        <f>VLOOKUP(D341, Products!A$2:C$61, 3, FALSE)</f>
        <v>Electronics</v>
      </c>
      <c r="O341" t="str">
        <f>VLOOKUP(C341, Customers!A$2:E$301, 5, FALSE)</f>
        <v>Retail</v>
      </c>
      <c r="P341">
        <f>VLOOKUP(C341, Customers!A$2:C$301, 3, FALSE)</f>
        <v>27</v>
      </c>
      <c r="Q341" t="str">
        <f>VLOOKUP(E341, Sales_Reps!A$2:C$31, 3, FALSE)</f>
        <v>West</v>
      </c>
      <c r="R341">
        <f>VLOOKUP(D341, Products!A$2:D$61, 4, FALSE)</f>
        <v>2405</v>
      </c>
    </row>
    <row r="342" spans="1:18" x14ac:dyDescent="0.3">
      <c r="A342" s="13" t="s">
        <v>728</v>
      </c>
      <c r="B342" s="14">
        <v>45341</v>
      </c>
      <c r="C342" s="13" t="s">
        <v>729</v>
      </c>
      <c r="D342" s="13" t="s">
        <v>102</v>
      </c>
      <c r="E342" s="13" t="s">
        <v>343</v>
      </c>
      <c r="F342" s="15">
        <v>3</v>
      </c>
      <c r="G342" s="15">
        <v>3660</v>
      </c>
      <c r="H342" s="15">
        <v>25.3</v>
      </c>
      <c r="I342" s="15">
        <v>8202.06</v>
      </c>
      <c r="J342" s="13" t="s">
        <v>87</v>
      </c>
      <c r="K342" s="13" t="s">
        <v>112</v>
      </c>
      <c r="L342">
        <f>IF(COUNTIF(A$2:A342, A342)=1, IF(COUNTIF(A$2:A$2001, A342)&gt;1, 1, 0), 0)</f>
        <v>0</v>
      </c>
      <c r="M342" t="b">
        <f>VLOOKUP(D342, Products!A$2:F$61, 6, FALSE)</f>
        <v>0</v>
      </c>
      <c r="N342" t="str">
        <f>VLOOKUP(D342, Products!A$2:C$61, 3, FALSE)</f>
        <v>Grocery</v>
      </c>
      <c r="O342" t="str">
        <f>VLOOKUP(C342, Customers!A$2:E$301, 5, FALSE)</f>
        <v>Retail</v>
      </c>
      <c r="P342">
        <f>VLOOKUP(C342, Customers!A$2:C$301, 3, FALSE)</f>
        <v>56</v>
      </c>
      <c r="Q342" t="str">
        <f>VLOOKUP(E342, Sales_Reps!A$2:C$31, 3, FALSE)</f>
        <v>West</v>
      </c>
      <c r="R342">
        <f>VLOOKUP(D342, Products!A$2:D$61, 4, FALSE)</f>
        <v>2214</v>
      </c>
    </row>
    <row r="343" spans="1:18" x14ac:dyDescent="0.3">
      <c r="A343" s="13" t="s">
        <v>730</v>
      </c>
      <c r="B343" s="14">
        <v>45600</v>
      </c>
      <c r="C343" s="13" t="s">
        <v>673</v>
      </c>
      <c r="D343" s="13" t="s">
        <v>182</v>
      </c>
      <c r="E343" s="13" t="s">
        <v>188</v>
      </c>
      <c r="F343" s="15">
        <v>2</v>
      </c>
      <c r="G343" s="15">
        <v>1010</v>
      </c>
      <c r="H343" s="15">
        <v>29.2</v>
      </c>
      <c r="I343" s="15">
        <v>1430.16</v>
      </c>
      <c r="J343" s="13" t="s">
        <v>87</v>
      </c>
      <c r="K343" s="13" t="s">
        <v>112</v>
      </c>
      <c r="L343">
        <f>IF(COUNTIF(A$2:A343, A343)=1, IF(COUNTIF(A$2:A$2001, A343)&gt;1, 1, 0), 0)</f>
        <v>0</v>
      </c>
      <c r="M343" t="b">
        <f>VLOOKUP(D343, Products!A$2:F$61, 6, FALSE)</f>
        <v>1</v>
      </c>
      <c r="N343" t="str">
        <f>VLOOKUP(D343, Products!A$2:C$61, 3, FALSE)</f>
        <v>Sports</v>
      </c>
      <c r="O343" t="str">
        <f>VLOOKUP(C343, Customers!A$2:E$301, 5, FALSE)</f>
        <v>Retail</v>
      </c>
      <c r="P343">
        <f>VLOOKUP(C343, Customers!A$2:C$301, 3, FALSE)</f>
        <v>35</v>
      </c>
      <c r="Q343" t="str">
        <f>VLOOKUP(E343, Sales_Reps!A$2:C$31, 3, FALSE)</f>
        <v>South</v>
      </c>
      <c r="R343">
        <f>VLOOKUP(D343, Products!A$2:D$61, 4, FALSE)</f>
        <v>516</v>
      </c>
    </row>
    <row r="344" spans="1:18" x14ac:dyDescent="0.3">
      <c r="A344" s="13" t="s">
        <v>731</v>
      </c>
      <c r="B344" s="14">
        <v>45506</v>
      </c>
      <c r="C344" s="13" t="s">
        <v>595</v>
      </c>
      <c r="D344" s="13" t="s">
        <v>164</v>
      </c>
      <c r="E344" s="13" t="s">
        <v>188</v>
      </c>
      <c r="F344" s="15">
        <v>1</v>
      </c>
      <c r="G344" s="15">
        <v>1080</v>
      </c>
      <c r="H344" s="15">
        <v>1.8</v>
      </c>
      <c r="I344" s="15">
        <v>1060.56</v>
      </c>
      <c r="J344" s="13" t="s">
        <v>87</v>
      </c>
      <c r="K344" s="13" t="s">
        <v>99</v>
      </c>
      <c r="L344">
        <f>IF(COUNTIF(A$2:A344, A344)=1, IF(COUNTIF(A$2:A$2001, A344)&gt;1, 1, 0), 0)</f>
        <v>0</v>
      </c>
      <c r="M344" t="b">
        <f>VLOOKUP(D344, Products!A$2:F$61, 6, FALSE)</f>
        <v>1</v>
      </c>
      <c r="N344" t="str">
        <f>VLOOKUP(D344, Products!A$2:C$61, 3, FALSE)</f>
        <v>Home</v>
      </c>
      <c r="O344" t="str">
        <f>VLOOKUP(C344, Customers!A$2:E$301, 5, FALSE)</f>
        <v>SMB</v>
      </c>
      <c r="P344">
        <f>VLOOKUP(C344, Customers!A$2:C$301, 3, FALSE)</f>
        <v>48</v>
      </c>
      <c r="Q344" t="str">
        <f>VLOOKUP(E344, Sales_Reps!A$2:C$31, 3, FALSE)</f>
        <v>South</v>
      </c>
      <c r="R344">
        <f>VLOOKUP(D344, Products!A$2:D$61, 4, FALSE)</f>
        <v>519</v>
      </c>
    </row>
    <row r="345" spans="1:18" x14ac:dyDescent="0.3">
      <c r="A345" s="13" t="s">
        <v>732</v>
      </c>
      <c r="B345" s="14">
        <v>45414</v>
      </c>
      <c r="C345" s="13" t="s">
        <v>413</v>
      </c>
      <c r="D345" s="13" t="s">
        <v>161</v>
      </c>
      <c r="E345" s="13" t="s">
        <v>132</v>
      </c>
      <c r="F345" s="15">
        <v>8</v>
      </c>
      <c r="G345" s="15">
        <v>3450</v>
      </c>
      <c r="H345" s="15">
        <v>20.399999999999999</v>
      </c>
      <c r="I345" s="15">
        <v>21969.599999999999</v>
      </c>
      <c r="J345" s="13" t="s">
        <v>87</v>
      </c>
      <c r="K345" s="13" t="s">
        <v>88</v>
      </c>
      <c r="L345">
        <f>IF(COUNTIF(A$2:A345, A345)=1, IF(COUNTIF(A$2:A$2001, A345)&gt;1, 1, 0), 0)</f>
        <v>0</v>
      </c>
      <c r="M345" t="b">
        <f>VLOOKUP(D345, Products!A$2:F$61, 6, FALSE)</f>
        <v>1</v>
      </c>
      <c r="N345" t="str">
        <f>VLOOKUP(D345, Products!A$2:C$61, 3, FALSE)</f>
        <v>Sports</v>
      </c>
      <c r="O345" t="str">
        <f>VLOOKUP(C345, Customers!A$2:E$301, 5, FALSE)</f>
        <v>Retail</v>
      </c>
      <c r="P345">
        <f>VLOOKUP(C345, Customers!A$2:C$301, 3, FALSE)</f>
        <v>22</v>
      </c>
      <c r="Q345" t="str">
        <f>VLOOKUP(E345, Sales_Reps!A$2:C$31, 3, FALSE)</f>
        <v>South</v>
      </c>
      <c r="R345">
        <f>VLOOKUP(D345, Products!A$2:D$61, 4, FALSE)</f>
        <v>2467</v>
      </c>
    </row>
    <row r="346" spans="1:18" x14ac:dyDescent="0.3">
      <c r="A346" s="13" t="s">
        <v>733</v>
      </c>
      <c r="B346" s="14">
        <v>45553</v>
      </c>
      <c r="C346" s="13" t="s">
        <v>371</v>
      </c>
      <c r="D346" s="13" t="s">
        <v>515</v>
      </c>
      <c r="E346" s="13" t="s">
        <v>188</v>
      </c>
      <c r="F346" s="15">
        <v>8</v>
      </c>
      <c r="G346" s="15">
        <v>6940</v>
      </c>
      <c r="H346" s="15">
        <v>19.399999999999999</v>
      </c>
      <c r="I346" s="15">
        <v>44749.120000000003</v>
      </c>
      <c r="J346" s="13" t="s">
        <v>87</v>
      </c>
      <c r="K346" s="13" t="s">
        <v>112</v>
      </c>
      <c r="L346">
        <f>IF(COUNTIF(A$2:A346, A346)=1, IF(COUNTIF(A$2:A$2001, A346)&gt;1, 1, 0), 0)</f>
        <v>1</v>
      </c>
      <c r="M346" t="b">
        <f>VLOOKUP(D346, Products!A$2:F$61, 6, FALSE)</f>
        <v>1</v>
      </c>
      <c r="N346" t="str">
        <f>VLOOKUP(D346, Products!A$2:C$61, 3, FALSE)</f>
        <v>Sports</v>
      </c>
      <c r="O346" t="str">
        <f>VLOOKUP(C346, Customers!A$2:E$301, 5, FALSE)</f>
        <v>Retail</v>
      </c>
      <c r="P346">
        <f>VLOOKUP(C346, Customers!A$2:C$301, 3, FALSE)</f>
        <v>42</v>
      </c>
      <c r="Q346" t="str">
        <f>VLOOKUP(E346, Sales_Reps!A$2:C$31, 3, FALSE)</f>
        <v>South</v>
      </c>
      <c r="R346">
        <f>VLOOKUP(D346, Products!A$2:D$61, 4, FALSE)</f>
        <v>2827</v>
      </c>
    </row>
    <row r="347" spans="1:18" x14ac:dyDescent="0.3">
      <c r="A347" s="13" t="s">
        <v>734</v>
      </c>
      <c r="B347" s="14">
        <v>45434</v>
      </c>
      <c r="C347" s="13" t="s">
        <v>735</v>
      </c>
      <c r="D347" s="13" t="s">
        <v>259</v>
      </c>
      <c r="E347" s="13" t="s">
        <v>148</v>
      </c>
      <c r="F347" s="15">
        <v>2</v>
      </c>
      <c r="G347" s="15">
        <v>1540</v>
      </c>
      <c r="H347" s="15">
        <v>9.3000000000000007</v>
      </c>
      <c r="I347" s="15">
        <v>2793.56</v>
      </c>
      <c r="J347" s="13" t="s">
        <v>87</v>
      </c>
      <c r="K347" s="13" t="s">
        <v>88</v>
      </c>
      <c r="L347">
        <f>IF(COUNTIF(A$2:A347, A347)=1, IF(COUNTIF(A$2:A$2001, A347)&gt;1, 1, 0), 0)</f>
        <v>0</v>
      </c>
      <c r="M347" t="b">
        <f>VLOOKUP(D347, Products!A$2:F$61, 6, FALSE)</f>
        <v>0</v>
      </c>
      <c r="N347" t="str">
        <f>VLOOKUP(D347, Products!A$2:C$61, 3, FALSE)</f>
        <v>Beauty</v>
      </c>
      <c r="O347" t="str">
        <f>VLOOKUP(C347, Customers!A$2:E$301, 5, FALSE)</f>
        <v>Retail</v>
      </c>
      <c r="P347">
        <f>VLOOKUP(C347, Customers!A$2:C$301, 3, FALSE)</f>
        <v>54</v>
      </c>
      <c r="Q347" t="str">
        <f>VLOOKUP(E347, Sales_Reps!A$2:C$31, 3, FALSE)</f>
        <v>North</v>
      </c>
      <c r="R347">
        <f>VLOOKUP(D347, Products!A$2:D$61, 4, FALSE)</f>
        <v>647</v>
      </c>
    </row>
    <row r="348" spans="1:18" x14ac:dyDescent="0.3">
      <c r="A348" s="13" t="s">
        <v>736</v>
      </c>
      <c r="B348" s="14">
        <v>45446</v>
      </c>
      <c r="C348" s="13" t="s">
        <v>197</v>
      </c>
      <c r="D348" s="13" t="s">
        <v>135</v>
      </c>
      <c r="E348" s="13" t="s">
        <v>188</v>
      </c>
      <c r="F348" s="15">
        <v>4</v>
      </c>
      <c r="G348" s="15">
        <v>2640</v>
      </c>
      <c r="H348" s="15">
        <v>23.2</v>
      </c>
      <c r="I348" s="15">
        <v>8110.08</v>
      </c>
      <c r="J348" s="13" t="s">
        <v>144</v>
      </c>
      <c r="K348" s="13" t="s">
        <v>88</v>
      </c>
      <c r="L348">
        <f>IF(COUNTIF(A$2:A348, A348)=1, IF(COUNTIF(A$2:A$2001, A348)&gt;1, 1, 0), 0)</f>
        <v>0</v>
      </c>
      <c r="M348" t="b">
        <f>VLOOKUP(D348, Products!A$2:F$61, 6, FALSE)</f>
        <v>1</v>
      </c>
      <c r="N348" t="str">
        <f>VLOOKUP(D348, Products!A$2:C$61, 3, FALSE)</f>
        <v>Electronics</v>
      </c>
      <c r="O348" t="str">
        <f>VLOOKUP(C348, Customers!A$2:E$301, 5, FALSE)</f>
        <v>Corporate</v>
      </c>
      <c r="P348">
        <f>VLOOKUP(C348, Customers!A$2:C$301, 3, FALSE)</f>
        <v>47</v>
      </c>
      <c r="Q348" t="str">
        <f>VLOOKUP(E348, Sales_Reps!A$2:C$31, 3, FALSE)</f>
        <v>South</v>
      </c>
      <c r="R348">
        <f>VLOOKUP(D348, Products!A$2:D$61, 4, FALSE)</f>
        <v>1149</v>
      </c>
    </row>
    <row r="349" spans="1:18" x14ac:dyDescent="0.3">
      <c r="A349" s="13" t="s">
        <v>737</v>
      </c>
      <c r="B349" s="14">
        <v>45626</v>
      </c>
      <c r="C349" s="13" t="s">
        <v>738</v>
      </c>
      <c r="D349" s="13" t="s">
        <v>360</v>
      </c>
      <c r="E349" s="13" t="s">
        <v>116</v>
      </c>
      <c r="F349" s="15">
        <v>6</v>
      </c>
      <c r="G349" s="15">
        <v>5410</v>
      </c>
      <c r="H349" s="15">
        <v>29.4</v>
      </c>
      <c r="I349" s="15">
        <v>22916.76</v>
      </c>
      <c r="J349" s="13" t="s">
        <v>87</v>
      </c>
      <c r="K349" s="13" t="s">
        <v>88</v>
      </c>
      <c r="L349">
        <f>IF(COUNTIF(A$2:A349, A349)=1, IF(COUNTIF(A$2:A$2001, A349)&gt;1, 1, 0), 0)</f>
        <v>0</v>
      </c>
      <c r="M349" t="b">
        <f>VLOOKUP(D349, Products!A$2:F$61, 6, FALSE)</f>
        <v>1</v>
      </c>
      <c r="N349" t="str">
        <f>VLOOKUP(D349, Products!A$2:C$61, 3, FALSE)</f>
        <v>Sports</v>
      </c>
      <c r="O349" t="str">
        <f>VLOOKUP(C349, Customers!A$2:E$301, 5, FALSE)</f>
        <v>Retail</v>
      </c>
      <c r="P349">
        <f>VLOOKUP(C349, Customers!A$2:C$301, 3, FALSE)</f>
        <v>36</v>
      </c>
      <c r="Q349" t="str">
        <f>VLOOKUP(E349, Sales_Reps!A$2:C$31, 3, FALSE)</f>
        <v>West</v>
      </c>
      <c r="R349">
        <f>VLOOKUP(D349, Products!A$2:D$61, 4, FALSE)</f>
        <v>2265</v>
      </c>
    </row>
    <row r="350" spans="1:18" x14ac:dyDescent="0.3">
      <c r="A350" s="13" t="s">
        <v>739</v>
      </c>
      <c r="B350" s="14">
        <v>45459</v>
      </c>
      <c r="C350" s="13" t="s">
        <v>357</v>
      </c>
      <c r="D350" s="13" t="s">
        <v>187</v>
      </c>
      <c r="E350" s="13" t="s">
        <v>343</v>
      </c>
      <c r="F350" s="15">
        <v>1</v>
      </c>
      <c r="G350" s="15">
        <v>3570</v>
      </c>
      <c r="H350" s="15">
        <v>4.3</v>
      </c>
      <c r="I350" s="15">
        <v>3416.49</v>
      </c>
      <c r="J350" s="13" t="s">
        <v>87</v>
      </c>
      <c r="K350" s="13" t="s">
        <v>99</v>
      </c>
      <c r="L350">
        <f>IF(COUNTIF(A$2:A350, A350)=1, IF(COUNTIF(A$2:A$2001, A350)&gt;1, 1, 0), 0)</f>
        <v>0</v>
      </c>
      <c r="M350" t="b">
        <f>VLOOKUP(D350, Products!A$2:F$61, 6, FALSE)</f>
        <v>1</v>
      </c>
      <c r="N350" t="str">
        <f>VLOOKUP(D350, Products!A$2:C$61, 3, FALSE)</f>
        <v>Electronics</v>
      </c>
      <c r="O350" t="str">
        <f>VLOOKUP(C350, Customers!A$2:E$301, 5, FALSE)</f>
        <v>SMB</v>
      </c>
      <c r="P350">
        <f>VLOOKUP(C350, Customers!A$2:C$301, 3, FALSE)</f>
        <v>38</v>
      </c>
      <c r="Q350" t="str">
        <f>VLOOKUP(E350, Sales_Reps!A$2:C$31, 3, FALSE)</f>
        <v>West</v>
      </c>
      <c r="R350">
        <f>VLOOKUP(D350, Products!A$2:D$61, 4, FALSE)</f>
        <v>1665</v>
      </c>
    </row>
    <row r="351" spans="1:18" x14ac:dyDescent="0.3">
      <c r="A351" s="13" t="s">
        <v>740</v>
      </c>
      <c r="B351" s="14">
        <v>45520</v>
      </c>
      <c r="C351" s="13" t="s">
        <v>741</v>
      </c>
      <c r="D351" s="13" t="s">
        <v>110</v>
      </c>
      <c r="E351" s="13" t="s">
        <v>128</v>
      </c>
      <c r="F351" s="15">
        <v>2</v>
      </c>
      <c r="G351" s="15">
        <v>370</v>
      </c>
      <c r="H351" s="15">
        <v>7.2</v>
      </c>
      <c r="I351" s="15">
        <v>686.72</v>
      </c>
      <c r="J351" s="13" t="s">
        <v>87</v>
      </c>
      <c r="K351" s="13" t="s">
        <v>133</v>
      </c>
      <c r="L351">
        <f>IF(COUNTIF(A$2:A351, A351)=1, IF(COUNTIF(A$2:A$2001, A351)&gt;1, 1, 0), 0)</f>
        <v>0</v>
      </c>
      <c r="M351" t="b">
        <f>VLOOKUP(D351, Products!A$2:F$61, 6, FALSE)</f>
        <v>1</v>
      </c>
      <c r="N351" t="str">
        <f>VLOOKUP(D351, Products!A$2:C$61, 3, FALSE)</f>
        <v>Home</v>
      </c>
      <c r="O351" t="str">
        <f>VLOOKUP(C351, Customers!A$2:E$301, 5, FALSE)</f>
        <v>SMB</v>
      </c>
      <c r="P351">
        <f>VLOOKUP(C351, Customers!A$2:C$301, 3, FALSE)</f>
        <v>29</v>
      </c>
      <c r="Q351" t="str">
        <f>VLOOKUP(E351, Sales_Reps!A$2:C$31, 3, FALSE)</f>
        <v>West</v>
      </c>
      <c r="R351">
        <f>VLOOKUP(D351, Products!A$2:D$61, 4, FALSE)</f>
        <v>288</v>
      </c>
    </row>
    <row r="352" spans="1:18" x14ac:dyDescent="0.3">
      <c r="A352" s="13" t="s">
        <v>742</v>
      </c>
      <c r="B352" s="14">
        <v>45314</v>
      </c>
      <c r="C352" s="13" t="s">
        <v>597</v>
      </c>
      <c r="D352" s="13" t="s">
        <v>355</v>
      </c>
      <c r="E352" s="13" t="s">
        <v>238</v>
      </c>
      <c r="F352" s="15">
        <v>1</v>
      </c>
      <c r="G352" s="15">
        <v>2510</v>
      </c>
      <c r="H352" s="15">
        <v>2.4</v>
      </c>
      <c r="I352" s="15">
        <v>2449.7600000000002</v>
      </c>
      <c r="J352" s="13" t="s">
        <v>87</v>
      </c>
      <c r="K352" s="13" t="s">
        <v>112</v>
      </c>
      <c r="L352">
        <f>IF(COUNTIF(A$2:A352, A352)=1, IF(COUNTIF(A$2:A$2001, A352)&gt;1, 1, 0), 0)</f>
        <v>0</v>
      </c>
      <c r="M352" t="b">
        <f>VLOOKUP(D352, Products!A$2:F$61, 6, FALSE)</f>
        <v>0</v>
      </c>
      <c r="N352" t="str">
        <f>VLOOKUP(D352, Products!A$2:C$61, 3, FALSE)</f>
        <v>Apparel</v>
      </c>
      <c r="O352" t="str">
        <f>VLOOKUP(C352, Customers!A$2:E$301, 5, FALSE)</f>
        <v>Retail</v>
      </c>
      <c r="P352">
        <f>VLOOKUP(C352, Customers!A$2:C$301, 3, FALSE)</f>
        <v>39</v>
      </c>
      <c r="Q352" t="str">
        <f>VLOOKUP(E352, Sales_Reps!A$2:C$31, 3, FALSE)</f>
        <v>East</v>
      </c>
      <c r="R352">
        <f>VLOOKUP(D352, Products!A$2:D$61, 4, FALSE)</f>
        <v>1075</v>
      </c>
    </row>
    <row r="353" spans="1:18" x14ac:dyDescent="0.3">
      <c r="A353" s="13" t="s">
        <v>743</v>
      </c>
      <c r="B353" s="14">
        <v>45480</v>
      </c>
      <c r="C353" s="13" t="s">
        <v>744</v>
      </c>
      <c r="D353" s="13" t="s">
        <v>237</v>
      </c>
      <c r="E353" s="13" t="s">
        <v>285</v>
      </c>
      <c r="F353" s="15">
        <v>8</v>
      </c>
      <c r="G353" s="15">
        <v>3640</v>
      </c>
      <c r="H353" s="15">
        <v>28.7</v>
      </c>
      <c r="I353" s="15">
        <v>20762.560000000001</v>
      </c>
      <c r="J353" s="13" t="s">
        <v>93</v>
      </c>
      <c r="K353" s="13" t="s">
        <v>133</v>
      </c>
      <c r="L353">
        <f>IF(COUNTIF(A$2:A353, A353)=1, IF(COUNTIF(A$2:A$2001, A353)&gt;1, 1, 0), 0)</f>
        <v>0</v>
      </c>
      <c r="M353" t="b">
        <f>VLOOKUP(D353, Products!A$2:F$61, 6, FALSE)</f>
        <v>1</v>
      </c>
      <c r="N353" t="str">
        <f>VLOOKUP(D353, Products!A$2:C$61, 3, FALSE)</f>
        <v>Apparel</v>
      </c>
      <c r="O353" t="str">
        <f>VLOOKUP(C353, Customers!A$2:E$301, 5, FALSE)</f>
        <v>Retail</v>
      </c>
      <c r="P353">
        <f>VLOOKUP(C353, Customers!A$2:C$301, 3, FALSE)</f>
        <v>64</v>
      </c>
      <c r="Q353" t="str">
        <f>VLOOKUP(E353, Sales_Reps!A$2:C$31, 3, FALSE)</f>
        <v>East</v>
      </c>
      <c r="R353">
        <f>VLOOKUP(D353, Products!A$2:D$61, 4, FALSE)</f>
        <v>2611</v>
      </c>
    </row>
    <row r="354" spans="1:18" x14ac:dyDescent="0.3">
      <c r="A354" s="13" t="s">
        <v>745</v>
      </c>
      <c r="B354" s="14">
        <v>45520</v>
      </c>
      <c r="C354" s="13" t="s">
        <v>186</v>
      </c>
      <c r="D354" s="13" t="s">
        <v>176</v>
      </c>
      <c r="E354" s="13" t="s">
        <v>229</v>
      </c>
      <c r="F354" s="15">
        <v>5</v>
      </c>
      <c r="G354" s="15">
        <v>1650</v>
      </c>
      <c r="H354" s="15">
        <v>13.4</v>
      </c>
      <c r="I354" s="15">
        <v>7144.5</v>
      </c>
      <c r="J354" s="13" t="s">
        <v>93</v>
      </c>
      <c r="K354" s="13" t="s">
        <v>94</v>
      </c>
      <c r="L354">
        <f>IF(COUNTIF(A$2:A354, A354)=1, IF(COUNTIF(A$2:A$2001, A354)&gt;1, 1, 0), 0)</f>
        <v>0</v>
      </c>
      <c r="M354" t="b">
        <f>VLOOKUP(D354, Products!A$2:F$61, 6, FALSE)</f>
        <v>1</v>
      </c>
      <c r="N354" t="str">
        <f>VLOOKUP(D354, Products!A$2:C$61, 3, FALSE)</f>
        <v>Beauty</v>
      </c>
      <c r="O354" t="str">
        <f>VLOOKUP(C354, Customers!A$2:E$301, 5, FALSE)</f>
        <v>SMB</v>
      </c>
      <c r="P354">
        <f>VLOOKUP(C354, Customers!A$2:C$301, 3, FALSE)</f>
        <v>52</v>
      </c>
      <c r="Q354" t="str">
        <f>VLOOKUP(E354, Sales_Reps!A$2:C$31, 3, FALSE)</f>
        <v>West</v>
      </c>
      <c r="R354">
        <f>VLOOKUP(D354, Products!A$2:D$61, 4, FALSE)</f>
        <v>1222</v>
      </c>
    </row>
    <row r="355" spans="1:18" x14ac:dyDescent="0.3">
      <c r="A355" s="13" t="s">
        <v>746</v>
      </c>
      <c r="B355" s="14">
        <v>45360</v>
      </c>
      <c r="C355" s="13" t="s">
        <v>353</v>
      </c>
      <c r="D355" s="13" t="s">
        <v>380</v>
      </c>
      <c r="E355" s="13" t="s">
        <v>116</v>
      </c>
      <c r="F355" s="15">
        <v>9</v>
      </c>
      <c r="G355" s="15">
        <v>960</v>
      </c>
      <c r="H355" s="15">
        <v>28.6</v>
      </c>
      <c r="I355" s="15">
        <v>6168.96</v>
      </c>
      <c r="J355" s="13" t="s">
        <v>93</v>
      </c>
      <c r="K355" s="13" t="s">
        <v>94</v>
      </c>
      <c r="L355">
        <f>IF(COUNTIF(A$2:A355, A355)=1, IF(COUNTIF(A$2:A$2001, A355)&gt;1, 1, 0), 0)</f>
        <v>0</v>
      </c>
      <c r="M355" t="b">
        <f>VLOOKUP(D355, Products!A$2:F$61, 6, FALSE)</f>
        <v>1</v>
      </c>
      <c r="N355" t="str">
        <f>VLOOKUP(D355, Products!A$2:C$61, 3, FALSE)</f>
        <v>Beauty</v>
      </c>
      <c r="O355" t="str">
        <f>VLOOKUP(C355, Customers!A$2:E$301, 5, FALSE)</f>
        <v>Retail</v>
      </c>
      <c r="P355">
        <f>VLOOKUP(C355, Customers!A$2:C$301, 3, FALSE)</f>
        <v>60</v>
      </c>
      <c r="Q355" t="str">
        <f>VLOOKUP(E355, Sales_Reps!A$2:C$31, 3, FALSE)</f>
        <v>West</v>
      </c>
      <c r="R355">
        <f>VLOOKUP(D355, Products!A$2:D$61, 4, FALSE)</f>
        <v>675</v>
      </c>
    </row>
    <row r="356" spans="1:18" x14ac:dyDescent="0.3">
      <c r="A356" s="13" t="s">
        <v>747</v>
      </c>
      <c r="B356" s="14">
        <v>45486</v>
      </c>
      <c r="C356" s="13" t="s">
        <v>231</v>
      </c>
      <c r="D356" s="13" t="s">
        <v>234</v>
      </c>
      <c r="E356" s="13" t="s">
        <v>158</v>
      </c>
      <c r="F356" s="15">
        <v>4</v>
      </c>
      <c r="G356" s="15">
        <v>3780</v>
      </c>
      <c r="H356" s="15">
        <v>25.3</v>
      </c>
      <c r="I356" s="15">
        <v>11294.64</v>
      </c>
      <c r="J356" s="13" t="s">
        <v>87</v>
      </c>
      <c r="K356" s="13" t="s">
        <v>117</v>
      </c>
      <c r="L356">
        <f>IF(COUNTIF(A$2:A356, A356)=1, IF(COUNTIF(A$2:A$2001, A356)&gt;1, 1, 0), 0)</f>
        <v>0</v>
      </c>
      <c r="M356" t="b">
        <f>VLOOKUP(D356, Products!A$2:F$61, 6, FALSE)</f>
        <v>1</v>
      </c>
      <c r="N356" t="str">
        <f>VLOOKUP(D356, Products!A$2:C$61, 3, FALSE)</f>
        <v>Grocery</v>
      </c>
      <c r="O356" t="str">
        <f>VLOOKUP(C356, Customers!A$2:E$301, 5, FALSE)</f>
        <v>SMB</v>
      </c>
      <c r="P356">
        <f>VLOOKUP(C356, Customers!A$2:C$301, 3, FALSE)</f>
        <v>64</v>
      </c>
      <c r="Q356" t="str">
        <f>VLOOKUP(E356, Sales_Reps!A$2:C$31, 3, FALSE)</f>
        <v>East</v>
      </c>
      <c r="R356">
        <f>VLOOKUP(D356, Products!A$2:D$61, 4, FALSE)</f>
        <v>2436</v>
      </c>
    </row>
    <row r="357" spans="1:18" x14ac:dyDescent="0.3">
      <c r="A357" s="13" t="s">
        <v>748</v>
      </c>
      <c r="B357" s="14">
        <v>45544</v>
      </c>
      <c r="C357" s="13" t="s">
        <v>186</v>
      </c>
      <c r="D357" s="13" t="s">
        <v>176</v>
      </c>
      <c r="E357" s="13" t="s">
        <v>98</v>
      </c>
      <c r="F357" s="15">
        <v>4</v>
      </c>
      <c r="G357" s="15">
        <v>1650</v>
      </c>
      <c r="H357" s="15">
        <v>13.7</v>
      </c>
      <c r="I357" s="15">
        <v>5695.8</v>
      </c>
      <c r="J357" s="13" t="s">
        <v>140</v>
      </c>
      <c r="K357" s="13" t="s">
        <v>94</v>
      </c>
      <c r="L357">
        <f>IF(COUNTIF(A$2:A357, A357)=1, IF(COUNTIF(A$2:A$2001, A357)&gt;1, 1, 0), 0)</f>
        <v>0</v>
      </c>
      <c r="M357" t="b">
        <f>VLOOKUP(D357, Products!A$2:F$61, 6, FALSE)</f>
        <v>1</v>
      </c>
      <c r="N357" t="str">
        <f>VLOOKUP(D357, Products!A$2:C$61, 3, FALSE)</f>
        <v>Beauty</v>
      </c>
      <c r="O357" t="str">
        <f>VLOOKUP(C357, Customers!A$2:E$301, 5, FALSE)</f>
        <v>SMB</v>
      </c>
      <c r="P357">
        <f>VLOOKUP(C357, Customers!A$2:C$301, 3, FALSE)</f>
        <v>52</v>
      </c>
      <c r="Q357" t="str">
        <f>VLOOKUP(E357, Sales_Reps!A$2:C$31, 3, FALSE)</f>
        <v>South</v>
      </c>
      <c r="R357">
        <f>VLOOKUP(D357, Products!A$2:D$61, 4, FALSE)</f>
        <v>1222</v>
      </c>
    </row>
    <row r="358" spans="1:18" x14ac:dyDescent="0.3">
      <c r="A358" s="13" t="s">
        <v>749</v>
      </c>
      <c r="B358" s="14">
        <v>45580</v>
      </c>
      <c r="C358" s="13" t="s">
        <v>539</v>
      </c>
      <c r="D358" s="13" t="s">
        <v>85</v>
      </c>
      <c r="E358" s="13" t="s">
        <v>325</v>
      </c>
      <c r="F358" s="15">
        <v>6</v>
      </c>
      <c r="G358" s="15">
        <v>3620</v>
      </c>
      <c r="H358" s="15">
        <v>21.3</v>
      </c>
      <c r="I358" s="15">
        <v>17093.64</v>
      </c>
      <c r="J358" s="13" t="s">
        <v>93</v>
      </c>
      <c r="K358" s="13" t="s">
        <v>133</v>
      </c>
      <c r="L358">
        <f>IF(COUNTIF(A$2:A358, A358)=1, IF(COUNTIF(A$2:A$2001, A358)&gt;1, 1, 0), 0)</f>
        <v>0</v>
      </c>
      <c r="M358" t="b">
        <f>VLOOKUP(D358, Products!A$2:F$61, 6, FALSE)</f>
        <v>1</v>
      </c>
      <c r="N358" t="str">
        <f>VLOOKUP(D358, Products!A$2:C$61, 3, FALSE)</f>
        <v>Apparel</v>
      </c>
      <c r="O358" t="str">
        <f>VLOOKUP(C358, Customers!A$2:E$301, 5, FALSE)</f>
        <v>Retail</v>
      </c>
      <c r="P358">
        <f>VLOOKUP(C358, Customers!A$2:C$301, 3, FALSE)</f>
        <v>38</v>
      </c>
      <c r="Q358" t="str">
        <f>VLOOKUP(E358, Sales_Reps!A$2:C$31, 3, FALSE)</f>
        <v>South</v>
      </c>
      <c r="R358">
        <f>VLOOKUP(D358, Products!A$2:D$61, 4, FALSE)</f>
        <v>2509</v>
      </c>
    </row>
    <row r="359" spans="1:18" x14ac:dyDescent="0.3">
      <c r="A359" s="13" t="s">
        <v>750</v>
      </c>
      <c r="B359" s="14">
        <v>45312</v>
      </c>
      <c r="C359" s="13" t="s">
        <v>474</v>
      </c>
      <c r="D359" s="13" t="s">
        <v>245</v>
      </c>
      <c r="E359" s="13" t="s">
        <v>170</v>
      </c>
      <c r="F359" s="15">
        <v>10</v>
      </c>
      <c r="G359" s="15">
        <v>2270</v>
      </c>
      <c r="H359" s="15">
        <v>17.7</v>
      </c>
      <c r="I359" s="15">
        <v>18682.099999999999</v>
      </c>
      <c r="J359" s="13" t="s">
        <v>87</v>
      </c>
      <c r="K359" s="13" t="s">
        <v>99</v>
      </c>
      <c r="L359">
        <f>IF(COUNTIF(A$2:A359, A359)=1, IF(COUNTIF(A$2:A$2001, A359)&gt;1, 1, 0), 0)</f>
        <v>0</v>
      </c>
      <c r="M359" t="b">
        <f>VLOOKUP(D359, Products!A$2:F$61, 6, FALSE)</f>
        <v>1</v>
      </c>
      <c r="N359" t="str">
        <f>VLOOKUP(D359, Products!A$2:C$61, 3, FALSE)</f>
        <v>Grocery</v>
      </c>
      <c r="O359" t="str">
        <f>VLOOKUP(C359, Customers!A$2:E$301, 5, FALSE)</f>
        <v>SMB</v>
      </c>
      <c r="P359">
        <f>VLOOKUP(C359, Customers!A$2:C$301, 3, FALSE)</f>
        <v>59</v>
      </c>
      <c r="Q359" t="str">
        <f>VLOOKUP(E359, Sales_Reps!A$2:C$31, 3, FALSE)</f>
        <v>West</v>
      </c>
      <c r="R359">
        <f>VLOOKUP(D359, Products!A$2:D$61, 4, FALSE)</f>
        <v>1412</v>
      </c>
    </row>
    <row r="360" spans="1:18" x14ac:dyDescent="0.3">
      <c r="A360" s="13" t="s">
        <v>751</v>
      </c>
      <c r="B360" s="14">
        <v>45447</v>
      </c>
      <c r="C360" s="13" t="s">
        <v>752</v>
      </c>
      <c r="D360" s="13" t="s">
        <v>259</v>
      </c>
      <c r="E360" s="13" t="s">
        <v>252</v>
      </c>
      <c r="F360" s="15">
        <v>9</v>
      </c>
      <c r="G360" s="15">
        <v>1540</v>
      </c>
      <c r="H360" s="15">
        <v>10.7</v>
      </c>
      <c r="I360" s="15">
        <v>12376.98</v>
      </c>
      <c r="J360" s="13" t="s">
        <v>87</v>
      </c>
      <c r="K360" s="13" t="s">
        <v>117</v>
      </c>
      <c r="L360">
        <f>IF(COUNTIF(A$2:A360, A360)=1, IF(COUNTIF(A$2:A$2001, A360)&gt;1, 1, 0), 0)</f>
        <v>0</v>
      </c>
      <c r="M360" t="b">
        <f>VLOOKUP(D360, Products!A$2:F$61, 6, FALSE)</f>
        <v>0</v>
      </c>
      <c r="N360" t="str">
        <f>VLOOKUP(D360, Products!A$2:C$61, 3, FALSE)</f>
        <v>Beauty</v>
      </c>
      <c r="O360" t="str">
        <f>VLOOKUP(C360, Customers!A$2:E$301, 5, FALSE)</f>
        <v>Retail</v>
      </c>
      <c r="P360">
        <f>VLOOKUP(C360, Customers!A$2:C$301, 3, FALSE)</f>
        <v>32</v>
      </c>
      <c r="Q360" t="str">
        <f>VLOOKUP(E360, Sales_Reps!A$2:C$31, 3, FALSE)</f>
        <v>South</v>
      </c>
      <c r="R360">
        <f>VLOOKUP(D360, Products!A$2:D$61, 4, FALSE)</f>
        <v>647</v>
      </c>
    </row>
    <row r="361" spans="1:18" x14ac:dyDescent="0.3">
      <c r="A361" s="13" t="s">
        <v>753</v>
      </c>
      <c r="B361" s="14">
        <v>45607</v>
      </c>
      <c r="C361" s="13" t="s">
        <v>208</v>
      </c>
      <c r="D361" s="13" t="s">
        <v>195</v>
      </c>
      <c r="E361" s="13" t="s">
        <v>158</v>
      </c>
      <c r="F361" s="15">
        <v>9</v>
      </c>
      <c r="G361" s="15">
        <v>2860</v>
      </c>
      <c r="H361" s="15">
        <v>12.9</v>
      </c>
      <c r="I361" s="15">
        <v>22419.54</v>
      </c>
      <c r="J361" s="13" t="s">
        <v>87</v>
      </c>
      <c r="K361" s="13" t="s">
        <v>133</v>
      </c>
      <c r="L361">
        <f>IF(COUNTIF(A$2:A361, A361)=1, IF(COUNTIF(A$2:A$2001, A361)&gt;1, 1, 0), 0)</f>
        <v>0</v>
      </c>
      <c r="M361" t="b">
        <f>VLOOKUP(D361, Products!A$2:F$61, 6, FALSE)</f>
        <v>1</v>
      </c>
      <c r="N361" t="str">
        <f>VLOOKUP(D361, Products!A$2:C$61, 3, FALSE)</f>
        <v>Sports</v>
      </c>
      <c r="O361" t="str">
        <f>VLOOKUP(C361, Customers!A$2:E$301, 5, FALSE)</f>
        <v>Retail</v>
      </c>
      <c r="P361">
        <f>VLOOKUP(C361, Customers!A$2:C$301, 3, FALSE)</f>
        <v>26</v>
      </c>
      <c r="Q361" t="str">
        <f>VLOOKUP(E361, Sales_Reps!A$2:C$31, 3, FALSE)</f>
        <v>East</v>
      </c>
      <c r="R361">
        <f>VLOOKUP(D361, Products!A$2:D$61, 4, FALSE)</f>
        <v>2028</v>
      </c>
    </row>
    <row r="362" spans="1:18" x14ac:dyDescent="0.3">
      <c r="A362" s="13" t="s">
        <v>754</v>
      </c>
      <c r="B362" s="14">
        <v>45379</v>
      </c>
      <c r="C362" s="13" t="s">
        <v>700</v>
      </c>
      <c r="D362" s="13" t="s">
        <v>338</v>
      </c>
      <c r="E362" s="13" t="s">
        <v>346</v>
      </c>
      <c r="F362" s="15">
        <v>5</v>
      </c>
      <c r="G362" s="15">
        <v>2210</v>
      </c>
      <c r="H362" s="15">
        <v>5.0999999999999996</v>
      </c>
      <c r="I362" s="15">
        <v>10486.45</v>
      </c>
      <c r="J362" s="13" t="s">
        <v>87</v>
      </c>
      <c r="K362" s="13" t="s">
        <v>94</v>
      </c>
      <c r="L362">
        <f>IF(COUNTIF(A$2:A362, A362)=1, IF(COUNTIF(A$2:A$2001, A362)&gt;1, 1, 0), 0)</f>
        <v>0</v>
      </c>
      <c r="M362" t="b">
        <f>VLOOKUP(D362, Products!A$2:F$61, 6, FALSE)</f>
        <v>1</v>
      </c>
      <c r="N362" t="str">
        <f>VLOOKUP(D362, Products!A$2:C$61, 3, FALSE)</f>
        <v>Grocery</v>
      </c>
      <c r="O362" t="str">
        <f>VLOOKUP(C362, Customers!A$2:E$301, 5, FALSE)</f>
        <v>SMB</v>
      </c>
      <c r="P362">
        <f>VLOOKUP(C362, Customers!A$2:C$301, 3, FALSE)</f>
        <v>46</v>
      </c>
      <c r="Q362" t="str">
        <f>VLOOKUP(E362, Sales_Reps!A$2:C$31, 3, FALSE)</f>
        <v>South</v>
      </c>
      <c r="R362">
        <f>VLOOKUP(D362, Products!A$2:D$61, 4, FALSE)</f>
        <v>1010</v>
      </c>
    </row>
    <row r="363" spans="1:18" x14ac:dyDescent="0.3">
      <c r="A363" s="13" t="s">
        <v>755</v>
      </c>
      <c r="B363" s="14">
        <v>45591</v>
      </c>
      <c r="C363" s="13" t="s">
        <v>378</v>
      </c>
      <c r="D363" s="13" t="s">
        <v>267</v>
      </c>
      <c r="E363" s="13" t="s">
        <v>229</v>
      </c>
      <c r="F363" s="15">
        <v>1</v>
      </c>
      <c r="G363" s="15">
        <v>1220</v>
      </c>
      <c r="H363" s="15">
        <v>16.100000000000001</v>
      </c>
      <c r="I363" s="15">
        <v>1023.58</v>
      </c>
      <c r="J363" s="13" t="s">
        <v>87</v>
      </c>
      <c r="K363" s="13" t="s">
        <v>94</v>
      </c>
      <c r="L363">
        <f>IF(COUNTIF(A$2:A363, A363)=1, IF(COUNTIF(A$2:A$2001, A363)&gt;1, 1, 0), 0)</f>
        <v>0</v>
      </c>
      <c r="M363" t="b">
        <f>VLOOKUP(D363, Products!A$2:F$61, 6, FALSE)</f>
        <v>1</v>
      </c>
      <c r="N363" t="str">
        <f>VLOOKUP(D363, Products!A$2:C$61, 3, FALSE)</f>
        <v>Electronics</v>
      </c>
      <c r="O363" t="str">
        <f>VLOOKUP(C363, Customers!A$2:E$301, 5, FALSE)</f>
        <v>SMB</v>
      </c>
      <c r="P363">
        <f>VLOOKUP(C363, Customers!A$2:C$301, 3, FALSE)</f>
        <v>53</v>
      </c>
      <c r="Q363" t="str">
        <f>VLOOKUP(E363, Sales_Reps!A$2:C$31, 3, FALSE)</f>
        <v>West</v>
      </c>
      <c r="R363">
        <f>VLOOKUP(D363, Products!A$2:D$61, 4, FALSE)</f>
        <v>517</v>
      </c>
    </row>
    <row r="364" spans="1:18" x14ac:dyDescent="0.3">
      <c r="A364" s="13" t="s">
        <v>756</v>
      </c>
      <c r="B364" s="14">
        <v>45561</v>
      </c>
      <c r="C364" s="13" t="s">
        <v>757</v>
      </c>
      <c r="D364" s="13" t="s">
        <v>187</v>
      </c>
      <c r="E364" s="13" t="s">
        <v>103</v>
      </c>
      <c r="F364" s="15">
        <v>2</v>
      </c>
      <c r="G364" s="15">
        <v>3570</v>
      </c>
      <c r="H364" s="15">
        <v>1.1000000000000001</v>
      </c>
      <c r="I364" s="15">
        <v>7061.46</v>
      </c>
      <c r="J364" s="13" t="s">
        <v>87</v>
      </c>
      <c r="K364" s="13" t="s">
        <v>117</v>
      </c>
      <c r="L364">
        <f>IF(COUNTIF(A$2:A364, A364)=1, IF(COUNTIF(A$2:A$2001, A364)&gt;1, 1, 0), 0)</f>
        <v>0</v>
      </c>
      <c r="M364" t="b">
        <f>VLOOKUP(D364, Products!A$2:F$61, 6, FALSE)</f>
        <v>1</v>
      </c>
      <c r="N364" t="str">
        <f>VLOOKUP(D364, Products!A$2:C$61, 3, FALSE)</f>
        <v>Electronics</v>
      </c>
      <c r="O364" t="str">
        <f>VLOOKUP(C364, Customers!A$2:E$301, 5, FALSE)</f>
        <v>Corporate</v>
      </c>
      <c r="P364">
        <f>VLOOKUP(C364, Customers!A$2:C$301, 3, FALSE)</f>
        <v>43</v>
      </c>
      <c r="Q364" t="str">
        <f>VLOOKUP(E364, Sales_Reps!A$2:C$31, 3, FALSE)</f>
        <v>North</v>
      </c>
      <c r="R364">
        <f>VLOOKUP(D364, Products!A$2:D$61, 4, FALSE)</f>
        <v>1665</v>
      </c>
    </row>
    <row r="365" spans="1:18" x14ac:dyDescent="0.3">
      <c r="A365" s="13" t="s">
        <v>758</v>
      </c>
      <c r="B365" s="14">
        <v>45308</v>
      </c>
      <c r="C365" s="13" t="s">
        <v>759</v>
      </c>
      <c r="D365" s="13" t="s">
        <v>452</v>
      </c>
      <c r="E365" s="13" t="s">
        <v>346</v>
      </c>
      <c r="F365" s="15">
        <v>10</v>
      </c>
      <c r="G365" s="15">
        <v>3450</v>
      </c>
      <c r="H365" s="15">
        <v>12.6</v>
      </c>
      <c r="I365" s="15">
        <v>30153</v>
      </c>
      <c r="J365" s="13" t="s">
        <v>87</v>
      </c>
      <c r="K365" s="13" t="s">
        <v>117</v>
      </c>
      <c r="L365">
        <f>IF(COUNTIF(A$2:A365, A365)=1, IF(COUNTIF(A$2:A$2001, A365)&gt;1, 1, 0), 0)</f>
        <v>0</v>
      </c>
      <c r="M365" t="b">
        <f>VLOOKUP(D365, Products!A$2:F$61, 6, FALSE)</f>
        <v>1</v>
      </c>
      <c r="N365" t="str">
        <f>VLOOKUP(D365, Products!A$2:C$61, 3, FALSE)</f>
        <v>Apparel</v>
      </c>
      <c r="O365" t="str">
        <f>VLOOKUP(C365, Customers!A$2:E$301, 5, FALSE)</f>
        <v>Retail</v>
      </c>
      <c r="P365">
        <f>VLOOKUP(C365, Customers!A$2:C$301, 3, FALSE)</f>
        <v>29</v>
      </c>
      <c r="Q365" t="str">
        <f>VLOOKUP(E365, Sales_Reps!A$2:C$31, 3, FALSE)</f>
        <v>South</v>
      </c>
      <c r="R365">
        <f>VLOOKUP(D365, Products!A$2:D$61, 4, FALSE)</f>
        <v>1748</v>
      </c>
    </row>
    <row r="366" spans="1:18" x14ac:dyDescent="0.3">
      <c r="A366" s="13" t="s">
        <v>760</v>
      </c>
      <c r="B366" s="14">
        <v>45563</v>
      </c>
      <c r="C366" s="13" t="s">
        <v>738</v>
      </c>
      <c r="D366" s="13" t="s">
        <v>338</v>
      </c>
      <c r="E366" s="13" t="s">
        <v>158</v>
      </c>
      <c r="F366" s="15">
        <v>4</v>
      </c>
      <c r="G366" s="15">
        <v>2210</v>
      </c>
      <c r="H366" s="15">
        <v>5.4</v>
      </c>
      <c r="I366" s="15">
        <v>8362.64</v>
      </c>
      <c r="J366" s="13" t="s">
        <v>87</v>
      </c>
      <c r="K366" s="13" t="s">
        <v>88</v>
      </c>
      <c r="L366">
        <f>IF(COUNTIF(A$2:A366, A366)=1, IF(COUNTIF(A$2:A$2001, A366)&gt;1, 1, 0), 0)</f>
        <v>0</v>
      </c>
      <c r="M366" t="b">
        <f>VLOOKUP(D366, Products!A$2:F$61, 6, FALSE)</f>
        <v>1</v>
      </c>
      <c r="N366" t="str">
        <f>VLOOKUP(D366, Products!A$2:C$61, 3, FALSE)</f>
        <v>Grocery</v>
      </c>
      <c r="O366" t="str">
        <f>VLOOKUP(C366, Customers!A$2:E$301, 5, FALSE)</f>
        <v>Retail</v>
      </c>
      <c r="P366">
        <f>VLOOKUP(C366, Customers!A$2:C$301, 3, FALSE)</f>
        <v>36</v>
      </c>
      <c r="Q366" t="str">
        <f>VLOOKUP(E366, Sales_Reps!A$2:C$31, 3, FALSE)</f>
        <v>East</v>
      </c>
      <c r="R366">
        <f>VLOOKUP(D366, Products!A$2:D$61, 4, FALSE)</f>
        <v>1010</v>
      </c>
    </row>
    <row r="367" spans="1:18" x14ac:dyDescent="0.3">
      <c r="A367" s="13" t="s">
        <v>761</v>
      </c>
      <c r="B367" s="14">
        <v>45476</v>
      </c>
      <c r="C367" s="13" t="s">
        <v>762</v>
      </c>
      <c r="D367" s="13" t="s">
        <v>502</v>
      </c>
      <c r="E367" s="13" t="s">
        <v>98</v>
      </c>
      <c r="F367" s="15">
        <v>6</v>
      </c>
      <c r="G367" s="15">
        <v>1090</v>
      </c>
      <c r="H367" s="15">
        <v>2.9</v>
      </c>
      <c r="I367" s="15">
        <v>6350.34</v>
      </c>
      <c r="J367" s="13" t="s">
        <v>140</v>
      </c>
      <c r="K367" s="13" t="s">
        <v>133</v>
      </c>
      <c r="L367">
        <f>IF(COUNTIF(A$2:A367, A367)=1, IF(COUNTIF(A$2:A$2001, A367)&gt;1, 1, 0), 0)</f>
        <v>0</v>
      </c>
      <c r="M367" t="b">
        <f>VLOOKUP(D367, Products!A$2:F$61, 6, FALSE)</f>
        <v>1</v>
      </c>
      <c r="N367" t="str">
        <f>VLOOKUP(D367, Products!A$2:C$61, 3, FALSE)</f>
        <v>Home</v>
      </c>
      <c r="O367" t="str">
        <f>VLOOKUP(C367, Customers!A$2:E$301, 5, FALSE)</f>
        <v>Retail</v>
      </c>
      <c r="P367">
        <f>VLOOKUP(C367, Customers!A$2:C$301, 3, FALSE)</f>
        <v>52</v>
      </c>
      <c r="Q367" t="str">
        <f>VLOOKUP(E367, Sales_Reps!A$2:C$31, 3, FALSE)</f>
        <v>South</v>
      </c>
      <c r="R367">
        <f>VLOOKUP(D367, Products!A$2:D$61, 4, FALSE)</f>
        <v>464</v>
      </c>
    </row>
    <row r="368" spans="1:18" x14ac:dyDescent="0.3">
      <c r="A368" s="13" t="s">
        <v>763</v>
      </c>
      <c r="B368" s="14">
        <v>45364</v>
      </c>
      <c r="C368" s="13" t="s">
        <v>764</v>
      </c>
      <c r="D368" s="13" t="s">
        <v>259</v>
      </c>
      <c r="E368" s="13" t="s">
        <v>238</v>
      </c>
      <c r="F368" s="15">
        <v>8</v>
      </c>
      <c r="G368" s="15">
        <v>1540</v>
      </c>
      <c r="H368" s="15">
        <v>17.899999999999999</v>
      </c>
      <c r="I368" s="15">
        <v>10114.719999999999</v>
      </c>
      <c r="J368" s="13" t="s">
        <v>93</v>
      </c>
      <c r="K368" s="13" t="s">
        <v>94</v>
      </c>
      <c r="L368">
        <f>IF(COUNTIF(A$2:A368, A368)=1, IF(COUNTIF(A$2:A$2001, A368)&gt;1, 1, 0), 0)</f>
        <v>0</v>
      </c>
      <c r="M368" t="b">
        <f>VLOOKUP(D368, Products!A$2:F$61, 6, FALSE)</f>
        <v>0</v>
      </c>
      <c r="N368" t="str">
        <f>VLOOKUP(D368, Products!A$2:C$61, 3, FALSE)</f>
        <v>Beauty</v>
      </c>
      <c r="O368" t="str">
        <f>VLOOKUP(C368, Customers!A$2:E$301, 5, FALSE)</f>
        <v>SMB</v>
      </c>
      <c r="P368">
        <f>VLOOKUP(C368, Customers!A$2:C$301, 3, FALSE)</f>
        <v>26</v>
      </c>
      <c r="Q368" t="str">
        <f>VLOOKUP(E368, Sales_Reps!A$2:C$31, 3, FALSE)</f>
        <v>East</v>
      </c>
      <c r="R368">
        <f>VLOOKUP(D368, Products!A$2:D$61, 4, FALSE)</f>
        <v>647</v>
      </c>
    </row>
    <row r="369" spans="1:18" x14ac:dyDescent="0.3">
      <c r="A369" s="13" t="s">
        <v>765</v>
      </c>
      <c r="B369" s="14">
        <v>45371</v>
      </c>
      <c r="C369" s="13" t="s">
        <v>485</v>
      </c>
      <c r="D369" s="13" t="s">
        <v>138</v>
      </c>
      <c r="E369" s="13" t="s">
        <v>128</v>
      </c>
      <c r="F369" s="15">
        <v>9</v>
      </c>
      <c r="G369" s="15">
        <v>2600</v>
      </c>
      <c r="H369" s="15">
        <v>4.0999999999999996</v>
      </c>
      <c r="I369" s="15">
        <v>22440.6</v>
      </c>
      <c r="J369" s="13" t="s">
        <v>87</v>
      </c>
      <c r="K369" s="13" t="s">
        <v>88</v>
      </c>
      <c r="L369">
        <f>IF(COUNTIF(A$2:A369, A369)=1, IF(COUNTIF(A$2:A$2001, A369)&gt;1, 1, 0), 0)</f>
        <v>0</v>
      </c>
      <c r="M369" t="b">
        <f>VLOOKUP(D369, Products!A$2:F$61, 6, FALSE)</f>
        <v>1</v>
      </c>
      <c r="N369" t="str">
        <f>VLOOKUP(D369, Products!A$2:C$61, 3, FALSE)</f>
        <v>Electronics</v>
      </c>
      <c r="O369" t="str">
        <f>VLOOKUP(C369, Customers!A$2:E$301, 5, FALSE)</f>
        <v>Retail</v>
      </c>
      <c r="P369">
        <f>VLOOKUP(C369, Customers!A$2:C$301, 3, FALSE)</f>
        <v>49</v>
      </c>
      <c r="Q369" t="str">
        <f>VLOOKUP(E369, Sales_Reps!A$2:C$31, 3, FALSE)</f>
        <v>West</v>
      </c>
      <c r="R369">
        <f>VLOOKUP(D369, Products!A$2:D$61, 4, FALSE)</f>
        <v>1052</v>
      </c>
    </row>
    <row r="370" spans="1:18" x14ac:dyDescent="0.3">
      <c r="A370" s="13" t="s">
        <v>766</v>
      </c>
      <c r="B370" s="14">
        <v>45623</v>
      </c>
      <c r="C370" s="13" t="s">
        <v>680</v>
      </c>
      <c r="D370" s="13" t="s">
        <v>147</v>
      </c>
      <c r="E370" s="13" t="s">
        <v>86</v>
      </c>
      <c r="F370" s="15">
        <v>2</v>
      </c>
      <c r="G370" s="15">
        <v>190</v>
      </c>
      <c r="H370" s="15">
        <v>4.8</v>
      </c>
      <c r="I370" s="15">
        <v>361.76</v>
      </c>
      <c r="J370" s="13" t="s">
        <v>87</v>
      </c>
      <c r="K370" s="13" t="s">
        <v>94</v>
      </c>
      <c r="L370">
        <f>IF(COUNTIF(A$2:A370, A370)=1, IF(COUNTIF(A$2:A$2001, A370)&gt;1, 1, 0), 0)</f>
        <v>0</v>
      </c>
      <c r="M370" t="b">
        <f>VLOOKUP(D370, Products!A$2:F$61, 6, FALSE)</f>
        <v>1</v>
      </c>
      <c r="N370" t="str">
        <f>VLOOKUP(D370, Products!A$2:C$61, 3, FALSE)</f>
        <v>Sports</v>
      </c>
      <c r="O370" t="str">
        <f>VLOOKUP(C370, Customers!A$2:E$301, 5, FALSE)</f>
        <v>Retail</v>
      </c>
      <c r="P370">
        <f>VLOOKUP(C370, Customers!A$2:C$301, 3, FALSE)</f>
        <v>26</v>
      </c>
      <c r="Q370" t="str">
        <f>VLOOKUP(E370, Sales_Reps!A$2:C$31, 3, FALSE)</f>
        <v>North</v>
      </c>
      <c r="R370">
        <f>VLOOKUP(D370, Products!A$2:D$61, 4, FALSE)</f>
        <v>147</v>
      </c>
    </row>
    <row r="371" spans="1:18" x14ac:dyDescent="0.3">
      <c r="A371" s="13" t="s">
        <v>767</v>
      </c>
      <c r="B371" s="14">
        <v>45441</v>
      </c>
      <c r="C371" s="13" t="s">
        <v>768</v>
      </c>
      <c r="D371" s="13" t="s">
        <v>167</v>
      </c>
      <c r="E371" s="13" t="s">
        <v>98</v>
      </c>
      <c r="F371" s="15">
        <v>9</v>
      </c>
      <c r="G371" s="15">
        <v>2480</v>
      </c>
      <c r="H371" s="15">
        <v>28.3</v>
      </c>
      <c r="I371" s="15">
        <v>16003.44</v>
      </c>
      <c r="J371" s="13" t="s">
        <v>87</v>
      </c>
      <c r="K371" s="13" t="s">
        <v>88</v>
      </c>
      <c r="L371">
        <f>IF(COUNTIF(A$2:A371, A371)=1, IF(COUNTIF(A$2:A$2001, A371)&gt;1, 1, 0), 0)</f>
        <v>0</v>
      </c>
      <c r="M371" t="b">
        <f>VLOOKUP(D371, Products!A$2:F$61, 6, FALSE)</f>
        <v>1</v>
      </c>
      <c r="N371" t="str">
        <f>VLOOKUP(D371, Products!A$2:C$61, 3, FALSE)</f>
        <v>Apparel</v>
      </c>
      <c r="O371" t="str">
        <f>VLOOKUP(C371, Customers!A$2:E$301, 5, FALSE)</f>
        <v>Corporate</v>
      </c>
      <c r="P371">
        <f>VLOOKUP(C371, Customers!A$2:C$301, 3, FALSE)</f>
        <v>42</v>
      </c>
      <c r="Q371" t="str">
        <f>VLOOKUP(E371, Sales_Reps!A$2:C$31, 3, FALSE)</f>
        <v>South</v>
      </c>
      <c r="R371">
        <f>VLOOKUP(D371, Products!A$2:D$61, 4, FALSE)</f>
        <v>1173</v>
      </c>
    </row>
    <row r="372" spans="1:18" x14ac:dyDescent="0.3">
      <c r="A372" s="13" t="s">
        <v>769</v>
      </c>
      <c r="B372" s="14">
        <v>45442</v>
      </c>
      <c r="C372" s="13" t="s">
        <v>770</v>
      </c>
      <c r="D372" s="13" t="s">
        <v>386</v>
      </c>
      <c r="E372" s="13" t="s">
        <v>103</v>
      </c>
      <c r="F372" s="15">
        <v>7</v>
      </c>
      <c r="G372" s="15">
        <v>2290</v>
      </c>
      <c r="H372" s="15">
        <v>25</v>
      </c>
      <c r="I372" s="15">
        <v>12022.5</v>
      </c>
      <c r="J372" s="13" t="s">
        <v>140</v>
      </c>
      <c r="K372" s="13" t="s">
        <v>88</v>
      </c>
      <c r="L372">
        <f>IF(COUNTIF(A$2:A372, A372)=1, IF(COUNTIF(A$2:A$2001, A372)&gt;1, 1, 0), 0)</f>
        <v>0</v>
      </c>
      <c r="M372" t="b">
        <f>VLOOKUP(D372, Products!A$2:F$61, 6, FALSE)</f>
        <v>1</v>
      </c>
      <c r="N372" t="str">
        <f>VLOOKUP(D372, Products!A$2:C$61, 3, FALSE)</f>
        <v>Beauty</v>
      </c>
      <c r="O372" t="str">
        <f>VLOOKUP(C372, Customers!A$2:E$301, 5, FALSE)</f>
        <v>Retail</v>
      </c>
      <c r="P372">
        <f>VLOOKUP(C372, Customers!A$2:C$301, 3, FALSE)</f>
        <v>35</v>
      </c>
      <c r="Q372" t="str">
        <f>VLOOKUP(E372, Sales_Reps!A$2:C$31, 3, FALSE)</f>
        <v>North</v>
      </c>
      <c r="R372">
        <f>VLOOKUP(D372, Products!A$2:D$61, 4, FALSE)</f>
        <v>1219</v>
      </c>
    </row>
    <row r="373" spans="1:18" x14ac:dyDescent="0.3">
      <c r="A373" s="13" t="s">
        <v>771</v>
      </c>
      <c r="B373" s="14">
        <v>45567</v>
      </c>
      <c r="C373" s="13" t="s">
        <v>236</v>
      </c>
      <c r="D373" s="13" t="s">
        <v>259</v>
      </c>
      <c r="E373" s="13" t="s">
        <v>188</v>
      </c>
      <c r="F373" s="15">
        <v>9</v>
      </c>
      <c r="G373" s="15">
        <v>1540</v>
      </c>
      <c r="H373" s="15">
        <v>23.3</v>
      </c>
      <c r="I373" s="15">
        <v>10630.62</v>
      </c>
      <c r="J373" s="13" t="s">
        <v>87</v>
      </c>
      <c r="K373" s="13" t="s">
        <v>133</v>
      </c>
      <c r="L373">
        <f>IF(COUNTIF(A$2:A373, A373)=1, IF(COUNTIF(A$2:A$2001, A373)&gt;1, 1, 0), 0)</f>
        <v>1</v>
      </c>
      <c r="M373" t="b">
        <f>VLOOKUP(D373, Products!A$2:F$61, 6, FALSE)</f>
        <v>0</v>
      </c>
      <c r="N373" t="str">
        <f>VLOOKUP(D373, Products!A$2:C$61, 3, FALSE)</f>
        <v>Beauty</v>
      </c>
      <c r="O373" t="str">
        <f>VLOOKUP(C373, Customers!A$2:E$301, 5, FALSE)</f>
        <v>Retail</v>
      </c>
      <c r="P373">
        <f>VLOOKUP(C373, Customers!A$2:C$301, 3, FALSE)</f>
        <v>64</v>
      </c>
      <c r="Q373" t="str">
        <f>VLOOKUP(E373, Sales_Reps!A$2:C$31, 3, FALSE)</f>
        <v>South</v>
      </c>
      <c r="R373">
        <f>VLOOKUP(D373, Products!A$2:D$61, 4, FALSE)</f>
        <v>647</v>
      </c>
    </row>
    <row r="374" spans="1:18" x14ac:dyDescent="0.3">
      <c r="A374" s="13" t="s">
        <v>772</v>
      </c>
      <c r="B374" s="14">
        <v>45653</v>
      </c>
      <c r="C374" s="13" t="s">
        <v>359</v>
      </c>
      <c r="D374" s="13" t="s">
        <v>443</v>
      </c>
      <c r="E374" s="13" t="s">
        <v>111</v>
      </c>
      <c r="F374" s="15">
        <v>2</v>
      </c>
      <c r="G374" s="15">
        <v>5080</v>
      </c>
      <c r="H374" s="15">
        <v>2.5</v>
      </c>
      <c r="I374" s="15">
        <v>9906</v>
      </c>
      <c r="J374" s="13" t="s">
        <v>140</v>
      </c>
      <c r="K374" s="13" t="s">
        <v>99</v>
      </c>
      <c r="L374">
        <f>IF(COUNTIF(A$2:A374, A374)=1, IF(COUNTIF(A$2:A$2001, A374)&gt;1, 1, 0), 0)</f>
        <v>0</v>
      </c>
      <c r="M374" t="b">
        <f>VLOOKUP(D374, Products!A$2:F$61, 6, FALSE)</f>
        <v>1</v>
      </c>
      <c r="N374" t="str">
        <f>VLOOKUP(D374, Products!A$2:C$61, 3, FALSE)</f>
        <v>Home</v>
      </c>
      <c r="O374" t="str">
        <f>VLOOKUP(C374, Customers!A$2:E$301, 5, FALSE)</f>
        <v>SMB</v>
      </c>
      <c r="P374">
        <f>VLOOKUP(C374, Customers!A$2:C$301, 3, FALSE)</f>
        <v>28</v>
      </c>
      <c r="Q374" t="str">
        <f>VLOOKUP(E374, Sales_Reps!A$2:C$31, 3, FALSE)</f>
        <v>West</v>
      </c>
      <c r="R374">
        <f>VLOOKUP(D374, Products!A$2:D$61, 4, FALSE)</f>
        <v>2459</v>
      </c>
    </row>
    <row r="375" spans="1:18" x14ac:dyDescent="0.3">
      <c r="A375" s="13" t="s">
        <v>773</v>
      </c>
      <c r="B375" s="14">
        <v>45331</v>
      </c>
      <c r="C375" s="13" t="s">
        <v>493</v>
      </c>
      <c r="D375" s="13" t="s">
        <v>355</v>
      </c>
      <c r="E375" s="13" t="s">
        <v>346</v>
      </c>
      <c r="F375" s="15">
        <v>4</v>
      </c>
      <c r="G375" s="15">
        <v>2510</v>
      </c>
      <c r="H375" s="15">
        <v>23.6</v>
      </c>
      <c r="I375" s="15">
        <v>7670.56</v>
      </c>
      <c r="J375" s="13" t="s">
        <v>87</v>
      </c>
      <c r="K375" s="13" t="s">
        <v>88</v>
      </c>
      <c r="L375">
        <f>IF(COUNTIF(A$2:A375, A375)=1, IF(COUNTIF(A$2:A$2001, A375)&gt;1, 1, 0), 0)</f>
        <v>0</v>
      </c>
      <c r="M375" t="b">
        <f>VLOOKUP(D375, Products!A$2:F$61, 6, FALSE)</f>
        <v>0</v>
      </c>
      <c r="N375" t="str">
        <f>VLOOKUP(D375, Products!A$2:C$61, 3, FALSE)</f>
        <v>Apparel</v>
      </c>
      <c r="O375" t="str">
        <f>VLOOKUP(C375, Customers!A$2:E$301, 5, FALSE)</f>
        <v>Retail</v>
      </c>
      <c r="P375">
        <f>VLOOKUP(C375, Customers!A$2:C$301, 3, FALSE)</f>
        <v>57</v>
      </c>
      <c r="Q375" t="str">
        <f>VLOOKUP(E375, Sales_Reps!A$2:C$31, 3, FALSE)</f>
        <v>South</v>
      </c>
      <c r="R375">
        <f>VLOOKUP(D375, Products!A$2:D$61, 4, FALSE)</f>
        <v>1075</v>
      </c>
    </row>
    <row r="376" spans="1:18" x14ac:dyDescent="0.3">
      <c r="A376" s="13" t="s">
        <v>774</v>
      </c>
      <c r="B376" s="14">
        <v>45332</v>
      </c>
      <c r="C376" s="13" t="s">
        <v>359</v>
      </c>
      <c r="D376" s="13" t="s">
        <v>386</v>
      </c>
      <c r="E376" s="13" t="s">
        <v>273</v>
      </c>
      <c r="F376" s="15">
        <v>5</v>
      </c>
      <c r="G376" s="15">
        <v>2290</v>
      </c>
      <c r="H376" s="15">
        <v>17</v>
      </c>
      <c r="I376" s="15">
        <v>9503.5</v>
      </c>
      <c r="J376" s="13" t="s">
        <v>87</v>
      </c>
      <c r="K376" s="13" t="s">
        <v>99</v>
      </c>
      <c r="L376">
        <f>IF(COUNTIF(A$2:A376, A376)=1, IF(COUNTIF(A$2:A$2001, A376)&gt;1, 1, 0), 0)</f>
        <v>0</v>
      </c>
      <c r="M376" t="b">
        <f>VLOOKUP(D376, Products!A$2:F$61, 6, FALSE)</f>
        <v>1</v>
      </c>
      <c r="N376" t="str">
        <f>VLOOKUP(D376, Products!A$2:C$61, 3, FALSE)</f>
        <v>Beauty</v>
      </c>
      <c r="O376" t="str">
        <f>VLOOKUP(C376, Customers!A$2:E$301, 5, FALSE)</f>
        <v>SMB</v>
      </c>
      <c r="P376">
        <f>VLOOKUP(C376, Customers!A$2:C$301, 3, FALSE)</f>
        <v>28</v>
      </c>
      <c r="Q376" t="str">
        <f>VLOOKUP(E376, Sales_Reps!A$2:C$31, 3, FALSE)</f>
        <v>South</v>
      </c>
      <c r="R376">
        <f>VLOOKUP(D376, Products!A$2:D$61, 4, FALSE)</f>
        <v>1219</v>
      </c>
    </row>
    <row r="377" spans="1:18" x14ac:dyDescent="0.3">
      <c r="A377" s="13" t="s">
        <v>775</v>
      </c>
      <c r="B377" s="14">
        <v>45340</v>
      </c>
      <c r="C377" s="13" t="s">
        <v>328</v>
      </c>
      <c r="D377" s="13" t="s">
        <v>97</v>
      </c>
      <c r="E377" s="13" t="s">
        <v>103</v>
      </c>
      <c r="F377" s="15">
        <v>8</v>
      </c>
      <c r="G377" s="15">
        <v>470</v>
      </c>
      <c r="H377" s="15">
        <v>9.3000000000000007</v>
      </c>
      <c r="I377" s="15">
        <v>3410.32</v>
      </c>
      <c r="J377" s="13" t="s">
        <v>87</v>
      </c>
      <c r="K377" s="13" t="s">
        <v>94</v>
      </c>
      <c r="L377">
        <f>IF(COUNTIF(A$2:A377, A377)=1, IF(COUNTIF(A$2:A$2001, A377)&gt;1, 1, 0), 0)</f>
        <v>0</v>
      </c>
      <c r="M377" t="b">
        <f>VLOOKUP(D377, Products!A$2:F$61, 6, FALSE)</f>
        <v>0</v>
      </c>
      <c r="N377" t="str">
        <f>VLOOKUP(D377, Products!A$2:C$61, 3, FALSE)</f>
        <v>Sports</v>
      </c>
      <c r="O377" t="str">
        <f>VLOOKUP(C377, Customers!A$2:E$301, 5, FALSE)</f>
        <v>Retail</v>
      </c>
      <c r="P377">
        <f>VLOOKUP(C377, Customers!A$2:C$301, 3, FALSE)</f>
        <v>28</v>
      </c>
      <c r="Q377" t="str">
        <f>VLOOKUP(E377, Sales_Reps!A$2:C$31, 3, FALSE)</f>
        <v>North</v>
      </c>
      <c r="R377">
        <f>VLOOKUP(D377, Products!A$2:D$61, 4, FALSE)</f>
        <v>302</v>
      </c>
    </row>
    <row r="378" spans="1:18" x14ac:dyDescent="0.3">
      <c r="A378" s="13" t="s">
        <v>776</v>
      </c>
      <c r="B378" s="14">
        <v>45564</v>
      </c>
      <c r="C378" s="13" t="s">
        <v>320</v>
      </c>
      <c r="D378" s="13" t="s">
        <v>191</v>
      </c>
      <c r="E378" s="13" t="s">
        <v>204</v>
      </c>
      <c r="F378" s="15">
        <v>8</v>
      </c>
      <c r="G378" s="15">
        <v>5100</v>
      </c>
      <c r="H378" s="15">
        <v>4.5999999999999996</v>
      </c>
      <c r="I378" s="15">
        <v>38923.199999999997</v>
      </c>
      <c r="J378" s="13" t="s">
        <v>87</v>
      </c>
      <c r="K378" s="13" t="s">
        <v>133</v>
      </c>
      <c r="L378">
        <f>IF(COUNTIF(A$2:A378, A378)=1, IF(COUNTIF(A$2:A$2001, A378)&gt;1, 1, 0), 0)</f>
        <v>0</v>
      </c>
      <c r="M378" t="b">
        <f>VLOOKUP(D378, Products!A$2:F$61, 6, FALSE)</f>
        <v>1</v>
      </c>
      <c r="N378" t="str">
        <f>VLOOKUP(D378, Products!A$2:C$61, 3, FALSE)</f>
        <v>Beauty</v>
      </c>
      <c r="O378" t="str">
        <f>VLOOKUP(C378, Customers!A$2:E$301, 5, FALSE)</f>
        <v>SMB</v>
      </c>
      <c r="P378">
        <f>VLOOKUP(C378, Customers!A$2:C$301, 3, FALSE)</f>
        <v>36</v>
      </c>
      <c r="Q378" t="str">
        <f>VLOOKUP(E378, Sales_Reps!A$2:C$31, 3, FALSE)</f>
        <v>South</v>
      </c>
      <c r="R378">
        <f>VLOOKUP(D378, Products!A$2:D$61, 4, FALSE)</f>
        <v>2237</v>
      </c>
    </row>
    <row r="379" spans="1:18" x14ac:dyDescent="0.3">
      <c r="A379" s="13" t="s">
        <v>777</v>
      </c>
      <c r="B379" s="14">
        <v>45296</v>
      </c>
      <c r="C379" s="13" t="s">
        <v>582</v>
      </c>
      <c r="D379" s="13" t="s">
        <v>364</v>
      </c>
      <c r="E379" s="13" t="s">
        <v>132</v>
      </c>
      <c r="F379" s="15">
        <v>7</v>
      </c>
      <c r="G379" s="15">
        <v>5330</v>
      </c>
      <c r="H379" s="15">
        <v>2.5</v>
      </c>
      <c r="I379" s="15">
        <v>36377.25</v>
      </c>
      <c r="J379" s="13" t="s">
        <v>87</v>
      </c>
      <c r="K379" s="13" t="s">
        <v>94</v>
      </c>
      <c r="L379">
        <f>IF(COUNTIF(A$2:A379, A379)=1, IF(COUNTIF(A$2:A$2001, A379)&gt;1, 1, 0), 0)</f>
        <v>0</v>
      </c>
      <c r="M379" t="b">
        <f>VLOOKUP(D379, Products!A$2:F$61, 6, FALSE)</f>
        <v>1</v>
      </c>
      <c r="N379" t="str">
        <f>VLOOKUP(D379, Products!A$2:C$61, 3, FALSE)</f>
        <v>Electronics</v>
      </c>
      <c r="O379" t="str">
        <f>VLOOKUP(C379, Customers!A$2:E$301, 5, FALSE)</f>
        <v>SMB</v>
      </c>
      <c r="P379">
        <f>VLOOKUP(C379, Customers!A$2:C$301, 3, FALSE)</f>
        <v>59</v>
      </c>
      <c r="Q379" t="str">
        <f>VLOOKUP(E379, Sales_Reps!A$2:C$31, 3, FALSE)</f>
        <v>South</v>
      </c>
      <c r="R379">
        <f>VLOOKUP(D379, Products!A$2:D$61, 4, FALSE)</f>
        <v>2405</v>
      </c>
    </row>
    <row r="380" spans="1:18" x14ac:dyDescent="0.3">
      <c r="A380" s="13" t="s">
        <v>778</v>
      </c>
      <c r="B380" s="14">
        <v>45364</v>
      </c>
      <c r="C380" s="13" t="s">
        <v>779</v>
      </c>
      <c r="D380" s="13" t="s">
        <v>295</v>
      </c>
      <c r="E380" s="13" t="s">
        <v>128</v>
      </c>
      <c r="F380" s="15">
        <v>10</v>
      </c>
      <c r="G380" s="15">
        <v>2030</v>
      </c>
      <c r="H380" s="15">
        <v>8.5</v>
      </c>
      <c r="I380" s="15">
        <v>18574.5</v>
      </c>
      <c r="J380" s="13" t="s">
        <v>87</v>
      </c>
      <c r="K380" s="13" t="s">
        <v>117</v>
      </c>
      <c r="L380">
        <f>IF(COUNTIF(A$2:A380, A380)=1, IF(COUNTIF(A$2:A$2001, A380)&gt;1, 1, 0), 0)</f>
        <v>0</v>
      </c>
      <c r="M380" t="b">
        <f>VLOOKUP(D380, Products!A$2:F$61, 6, FALSE)</f>
        <v>1</v>
      </c>
      <c r="N380" t="str">
        <f>VLOOKUP(D380, Products!A$2:C$61, 3, FALSE)</f>
        <v>Home</v>
      </c>
      <c r="O380" t="str">
        <f>VLOOKUP(C380, Customers!A$2:E$301, 5, FALSE)</f>
        <v>Retail</v>
      </c>
      <c r="P380">
        <f>VLOOKUP(C380, Customers!A$2:C$301, 3, FALSE)</f>
        <v>27</v>
      </c>
      <c r="Q380" t="str">
        <f>VLOOKUP(E380, Sales_Reps!A$2:C$31, 3, FALSE)</f>
        <v>West</v>
      </c>
      <c r="R380">
        <f>VLOOKUP(D380, Products!A$2:D$61, 4, FALSE)</f>
        <v>1143</v>
      </c>
    </row>
    <row r="381" spans="1:18" x14ac:dyDescent="0.3">
      <c r="A381" s="13" t="s">
        <v>780</v>
      </c>
      <c r="B381" s="14">
        <v>45560</v>
      </c>
      <c r="C381" s="13" t="s">
        <v>781</v>
      </c>
      <c r="D381" s="13" t="s">
        <v>443</v>
      </c>
      <c r="E381" s="13" t="s">
        <v>148</v>
      </c>
      <c r="F381" s="15">
        <v>8</v>
      </c>
      <c r="G381" s="15">
        <v>5080</v>
      </c>
      <c r="H381" s="15">
        <v>9.6</v>
      </c>
      <c r="I381" s="15">
        <v>36738.559999999998</v>
      </c>
      <c r="J381" s="13" t="s">
        <v>140</v>
      </c>
      <c r="K381" s="13" t="s">
        <v>99</v>
      </c>
      <c r="L381">
        <f>IF(COUNTIF(A$2:A381, A381)=1, IF(COUNTIF(A$2:A$2001, A381)&gt;1, 1, 0), 0)</f>
        <v>0</v>
      </c>
      <c r="M381" t="b">
        <f>VLOOKUP(D381, Products!A$2:F$61, 6, FALSE)</f>
        <v>1</v>
      </c>
      <c r="N381" t="str">
        <f>VLOOKUP(D381, Products!A$2:C$61, 3, FALSE)</f>
        <v>Home</v>
      </c>
      <c r="O381" t="str">
        <f>VLOOKUP(C381, Customers!A$2:E$301, 5, FALSE)</f>
        <v>SMB</v>
      </c>
      <c r="P381">
        <f>VLOOKUP(C381, Customers!A$2:C$301, 3, FALSE)</f>
        <v>29</v>
      </c>
      <c r="Q381" t="str">
        <f>VLOOKUP(E381, Sales_Reps!A$2:C$31, 3, FALSE)</f>
        <v>North</v>
      </c>
      <c r="R381">
        <f>VLOOKUP(D381, Products!A$2:D$61, 4, FALSE)</f>
        <v>2459</v>
      </c>
    </row>
    <row r="382" spans="1:18" x14ac:dyDescent="0.3">
      <c r="A382" s="13" t="s">
        <v>782</v>
      </c>
      <c r="B382" s="14">
        <v>45378</v>
      </c>
      <c r="C382" s="13" t="s">
        <v>175</v>
      </c>
      <c r="D382" s="13" t="s">
        <v>367</v>
      </c>
      <c r="E382" s="13" t="s">
        <v>98</v>
      </c>
      <c r="F382" s="15">
        <v>1</v>
      </c>
      <c r="G382" s="15">
        <v>2380</v>
      </c>
      <c r="H382" s="15">
        <v>11.6</v>
      </c>
      <c r="I382" s="15">
        <v>2103.92</v>
      </c>
      <c r="J382" s="13" t="s">
        <v>93</v>
      </c>
      <c r="K382" s="13" t="s">
        <v>133</v>
      </c>
      <c r="L382">
        <f>IF(COUNTIF(A$2:A382, A382)=1, IF(COUNTIF(A$2:A$2001, A382)&gt;1, 1, 0), 0)</f>
        <v>0</v>
      </c>
      <c r="M382" t="b">
        <f>VLOOKUP(D382, Products!A$2:F$61, 6, FALSE)</f>
        <v>1</v>
      </c>
      <c r="N382" t="str">
        <f>VLOOKUP(D382, Products!A$2:C$61, 3, FALSE)</f>
        <v>Grocery</v>
      </c>
      <c r="O382" t="str">
        <f>VLOOKUP(C382, Customers!A$2:E$301, 5, FALSE)</f>
        <v>SMB</v>
      </c>
      <c r="P382">
        <f>VLOOKUP(C382, Customers!A$2:C$301, 3, FALSE)</f>
        <v>40</v>
      </c>
      <c r="Q382" t="str">
        <f>VLOOKUP(E382, Sales_Reps!A$2:C$31, 3, FALSE)</f>
        <v>South</v>
      </c>
      <c r="R382">
        <f>VLOOKUP(D382, Products!A$2:D$61, 4, FALSE)</f>
        <v>1182</v>
      </c>
    </row>
    <row r="383" spans="1:18" x14ac:dyDescent="0.3">
      <c r="A383" s="13" t="s">
        <v>783</v>
      </c>
      <c r="B383" s="14">
        <v>45590</v>
      </c>
      <c r="C383" s="13" t="s">
        <v>272</v>
      </c>
      <c r="D383" s="13" t="s">
        <v>259</v>
      </c>
      <c r="E383" s="13" t="s">
        <v>343</v>
      </c>
      <c r="F383" s="15">
        <v>8</v>
      </c>
      <c r="G383" s="15">
        <v>1540</v>
      </c>
      <c r="H383" s="15">
        <v>27.8</v>
      </c>
      <c r="I383" s="15">
        <v>8895.0400000000009</v>
      </c>
      <c r="J383" s="13" t="s">
        <v>87</v>
      </c>
      <c r="K383" s="13" t="s">
        <v>94</v>
      </c>
      <c r="L383">
        <f>IF(COUNTIF(A$2:A383, A383)=1, IF(COUNTIF(A$2:A$2001, A383)&gt;1, 1, 0), 0)</f>
        <v>0</v>
      </c>
      <c r="M383" t="b">
        <f>VLOOKUP(D383, Products!A$2:F$61, 6, FALSE)</f>
        <v>0</v>
      </c>
      <c r="N383" t="str">
        <f>VLOOKUP(D383, Products!A$2:C$61, 3, FALSE)</f>
        <v>Beauty</v>
      </c>
      <c r="O383" t="str">
        <f>VLOOKUP(C383, Customers!A$2:E$301, 5, FALSE)</f>
        <v>SMB</v>
      </c>
      <c r="P383">
        <f>VLOOKUP(C383, Customers!A$2:C$301, 3, FALSE)</f>
        <v>55</v>
      </c>
      <c r="Q383" t="str">
        <f>VLOOKUP(E383, Sales_Reps!A$2:C$31, 3, FALSE)</f>
        <v>West</v>
      </c>
      <c r="R383">
        <f>VLOOKUP(D383, Products!A$2:D$61, 4, FALSE)</f>
        <v>647</v>
      </c>
    </row>
    <row r="384" spans="1:18" x14ac:dyDescent="0.3">
      <c r="A384" s="13" t="s">
        <v>784</v>
      </c>
      <c r="B384" s="14">
        <v>45591</v>
      </c>
      <c r="C384" s="13" t="s">
        <v>785</v>
      </c>
      <c r="D384" s="13" t="s">
        <v>131</v>
      </c>
      <c r="E384" s="13" t="s">
        <v>116</v>
      </c>
      <c r="F384" s="15">
        <v>1</v>
      </c>
      <c r="G384" s="15">
        <v>2270</v>
      </c>
      <c r="H384" s="15">
        <v>6.5</v>
      </c>
      <c r="I384" s="15">
        <v>2122.4499999999998</v>
      </c>
      <c r="J384" s="13" t="s">
        <v>93</v>
      </c>
      <c r="K384" s="13" t="s">
        <v>786</v>
      </c>
      <c r="L384">
        <f>IF(COUNTIF(A$2:A384, A384)=1, IF(COUNTIF(A$2:A$2001, A384)&gt;1, 1, 0), 0)</f>
        <v>0</v>
      </c>
      <c r="M384" t="b">
        <f>VLOOKUP(D384, Products!A$2:F$61, 6, FALSE)</f>
        <v>1</v>
      </c>
      <c r="N384" t="str">
        <f>VLOOKUP(D384, Products!A$2:C$61, 3, FALSE)</f>
        <v>Grocery</v>
      </c>
      <c r="O384" t="str">
        <f>VLOOKUP(C384, Customers!A$2:E$301, 5, FALSE)</f>
        <v>Retail</v>
      </c>
      <c r="P384">
        <f>VLOOKUP(C384, Customers!A$2:C$301, 3, FALSE)</f>
        <v>31</v>
      </c>
      <c r="Q384" t="str">
        <f>VLOOKUP(E384, Sales_Reps!A$2:C$31, 3, FALSE)</f>
        <v>West</v>
      </c>
      <c r="R384">
        <f>VLOOKUP(D384, Products!A$2:D$61, 4, FALSE)</f>
        <v>1203</v>
      </c>
    </row>
    <row r="385" spans="1:18" x14ac:dyDescent="0.3">
      <c r="A385" s="13" t="s">
        <v>787</v>
      </c>
      <c r="B385" s="14">
        <v>45503</v>
      </c>
      <c r="C385" s="13" t="s">
        <v>316</v>
      </c>
      <c r="D385" s="13" t="s">
        <v>167</v>
      </c>
      <c r="E385" s="13" t="s">
        <v>128</v>
      </c>
      <c r="F385" s="15">
        <v>6</v>
      </c>
      <c r="G385" s="15">
        <v>2480</v>
      </c>
      <c r="H385" s="15">
        <v>25.9</v>
      </c>
      <c r="I385" s="15">
        <v>11026.08</v>
      </c>
      <c r="J385" s="13" t="s">
        <v>87</v>
      </c>
      <c r="K385" s="13" t="s">
        <v>88</v>
      </c>
      <c r="L385">
        <f>IF(COUNTIF(A$2:A385, A385)=1, IF(COUNTIF(A$2:A$2001, A385)&gt;1, 1, 0), 0)</f>
        <v>0</v>
      </c>
      <c r="M385" t="b">
        <f>VLOOKUP(D385, Products!A$2:F$61, 6, FALSE)</f>
        <v>1</v>
      </c>
      <c r="N385" t="str">
        <f>VLOOKUP(D385, Products!A$2:C$61, 3, FALSE)</f>
        <v>Apparel</v>
      </c>
      <c r="O385" t="str">
        <f>VLOOKUP(C385, Customers!A$2:E$301, 5, FALSE)</f>
        <v>SMB</v>
      </c>
      <c r="P385">
        <f>VLOOKUP(C385, Customers!A$2:C$301, 3, FALSE)</f>
        <v>60</v>
      </c>
      <c r="Q385" t="str">
        <f>VLOOKUP(E385, Sales_Reps!A$2:C$31, 3, FALSE)</f>
        <v>West</v>
      </c>
      <c r="R385">
        <f>VLOOKUP(D385, Products!A$2:D$61, 4, FALSE)</f>
        <v>1173</v>
      </c>
    </row>
    <row r="386" spans="1:18" x14ac:dyDescent="0.3">
      <c r="A386" s="13" t="s">
        <v>788</v>
      </c>
      <c r="B386" s="14">
        <v>45608</v>
      </c>
      <c r="C386" s="13" t="s">
        <v>318</v>
      </c>
      <c r="D386" s="13" t="s">
        <v>659</v>
      </c>
      <c r="E386" s="13" t="s">
        <v>121</v>
      </c>
      <c r="F386" s="15">
        <v>3</v>
      </c>
      <c r="G386" s="15">
        <v>3560</v>
      </c>
      <c r="H386" s="15">
        <v>0.4</v>
      </c>
      <c r="I386" s="15">
        <v>10637.28</v>
      </c>
      <c r="J386" s="13" t="s">
        <v>144</v>
      </c>
      <c r="K386" s="13" t="s">
        <v>94</v>
      </c>
      <c r="L386">
        <f>IF(COUNTIF(A$2:A386, A386)=1, IF(COUNTIF(A$2:A$2001, A386)&gt;1, 1, 0), 0)</f>
        <v>0</v>
      </c>
      <c r="M386" t="b">
        <f>VLOOKUP(D386, Products!A$2:F$61, 6, FALSE)</f>
        <v>1</v>
      </c>
      <c r="N386" t="str">
        <f>VLOOKUP(D386, Products!A$2:C$61, 3, FALSE)</f>
        <v>Apparel</v>
      </c>
      <c r="O386" t="str">
        <f>VLOOKUP(C386, Customers!A$2:E$301, 5, FALSE)</f>
        <v>SMB</v>
      </c>
      <c r="P386">
        <f>VLOOKUP(C386, Customers!A$2:C$301, 3, FALSE)</f>
        <v>57</v>
      </c>
      <c r="Q386" t="str">
        <f>VLOOKUP(E386, Sales_Reps!A$2:C$31, 3, FALSE)</f>
        <v>East</v>
      </c>
      <c r="R386">
        <f>VLOOKUP(D386, Products!A$2:D$61, 4, FALSE)</f>
        <v>2629</v>
      </c>
    </row>
    <row r="387" spans="1:18" x14ac:dyDescent="0.3">
      <c r="A387" s="13" t="s">
        <v>789</v>
      </c>
      <c r="B387" s="14">
        <v>45422</v>
      </c>
      <c r="C387" s="13" t="s">
        <v>651</v>
      </c>
      <c r="D387" s="13" t="s">
        <v>279</v>
      </c>
      <c r="E387" s="13" t="s">
        <v>103</v>
      </c>
      <c r="F387" s="15">
        <v>4</v>
      </c>
      <c r="G387" s="15">
        <v>2660</v>
      </c>
      <c r="H387" s="15">
        <v>19.7</v>
      </c>
      <c r="I387" s="15">
        <v>8543.92</v>
      </c>
      <c r="J387" s="13" t="s">
        <v>140</v>
      </c>
      <c r="K387" s="13" t="s">
        <v>133</v>
      </c>
      <c r="L387">
        <f>IF(COUNTIF(A$2:A387, A387)=1, IF(COUNTIF(A$2:A$2001, A387)&gt;1, 1, 0), 0)</f>
        <v>0</v>
      </c>
      <c r="M387" t="b">
        <f>VLOOKUP(D387, Products!A$2:F$61, 6, FALSE)</f>
        <v>0</v>
      </c>
      <c r="N387" t="str">
        <f>VLOOKUP(D387, Products!A$2:C$61, 3, FALSE)</f>
        <v>Electronics</v>
      </c>
      <c r="O387" t="str">
        <f>VLOOKUP(C387, Customers!A$2:E$301, 5, FALSE)</f>
        <v>Retail</v>
      </c>
      <c r="P387">
        <f>VLOOKUP(C387, Customers!A$2:C$301, 3, FALSE)</f>
        <v>50</v>
      </c>
      <c r="Q387" t="str">
        <f>VLOOKUP(E387, Sales_Reps!A$2:C$31, 3, FALSE)</f>
        <v>North</v>
      </c>
      <c r="R387">
        <f>VLOOKUP(D387, Products!A$2:D$61, 4, FALSE)</f>
        <v>1259</v>
      </c>
    </row>
    <row r="388" spans="1:18" x14ac:dyDescent="0.3">
      <c r="A388" s="13" t="s">
        <v>790</v>
      </c>
      <c r="B388" s="14">
        <v>45386</v>
      </c>
      <c r="C388" s="13" t="s">
        <v>172</v>
      </c>
      <c r="D388" s="13" t="s">
        <v>267</v>
      </c>
      <c r="E388" s="13" t="s">
        <v>252</v>
      </c>
      <c r="F388" s="15">
        <v>10</v>
      </c>
      <c r="G388" s="15">
        <v>1220</v>
      </c>
      <c r="H388" s="15">
        <v>10.1</v>
      </c>
      <c r="I388" s="15">
        <v>10967.8</v>
      </c>
      <c r="J388" s="13" t="s">
        <v>140</v>
      </c>
      <c r="K388" s="13" t="s">
        <v>88</v>
      </c>
      <c r="L388">
        <f>IF(COUNTIF(A$2:A388, A388)=1, IF(COUNTIF(A$2:A$2001, A388)&gt;1, 1, 0), 0)</f>
        <v>0</v>
      </c>
      <c r="M388" t="b">
        <f>VLOOKUP(D388, Products!A$2:F$61, 6, FALSE)</f>
        <v>1</v>
      </c>
      <c r="N388" t="str">
        <f>VLOOKUP(D388, Products!A$2:C$61, 3, FALSE)</f>
        <v>Electronics</v>
      </c>
      <c r="O388" t="str">
        <f>VLOOKUP(C388, Customers!A$2:E$301, 5, FALSE)</f>
        <v>Retail</v>
      </c>
      <c r="P388">
        <f>VLOOKUP(C388, Customers!A$2:C$301, 3, FALSE)</f>
        <v>50</v>
      </c>
      <c r="Q388" t="str">
        <f>VLOOKUP(E388, Sales_Reps!A$2:C$31, 3, FALSE)</f>
        <v>South</v>
      </c>
      <c r="R388">
        <f>VLOOKUP(D388, Products!A$2:D$61, 4, FALSE)</f>
        <v>517</v>
      </c>
    </row>
    <row r="389" spans="1:18" x14ac:dyDescent="0.3">
      <c r="A389" s="13" t="s">
        <v>791</v>
      </c>
      <c r="B389" s="14">
        <v>45584</v>
      </c>
      <c r="C389" s="13" t="s">
        <v>676</v>
      </c>
      <c r="D389" s="13" t="s">
        <v>138</v>
      </c>
      <c r="E389" s="13" t="s">
        <v>98</v>
      </c>
      <c r="F389" s="15">
        <v>8</v>
      </c>
      <c r="G389" s="15">
        <v>2600</v>
      </c>
      <c r="H389" s="15">
        <v>26.7</v>
      </c>
      <c r="I389" s="15">
        <v>15246.4</v>
      </c>
      <c r="J389" s="13" t="s">
        <v>87</v>
      </c>
      <c r="K389" s="13" t="s">
        <v>88</v>
      </c>
      <c r="L389">
        <f>IF(COUNTIF(A$2:A389, A389)=1, IF(COUNTIF(A$2:A$2001, A389)&gt;1, 1, 0), 0)</f>
        <v>0</v>
      </c>
      <c r="M389" t="b">
        <f>VLOOKUP(D389, Products!A$2:F$61, 6, FALSE)</f>
        <v>1</v>
      </c>
      <c r="N389" t="str">
        <f>VLOOKUP(D389, Products!A$2:C$61, 3, FALSE)</f>
        <v>Electronics</v>
      </c>
      <c r="O389" t="str">
        <f>VLOOKUP(C389, Customers!A$2:E$301, 5, FALSE)</f>
        <v>SMB</v>
      </c>
      <c r="P389">
        <f>VLOOKUP(C389, Customers!A$2:C$301, 3, FALSE)</f>
        <v>35</v>
      </c>
      <c r="Q389" t="str">
        <f>VLOOKUP(E389, Sales_Reps!A$2:C$31, 3, FALSE)</f>
        <v>South</v>
      </c>
      <c r="R389">
        <f>VLOOKUP(D389, Products!A$2:D$61, 4, FALSE)</f>
        <v>1052</v>
      </c>
    </row>
    <row r="390" spans="1:18" x14ac:dyDescent="0.3">
      <c r="A390" s="13" t="s">
        <v>792</v>
      </c>
      <c r="B390" s="14">
        <v>45440</v>
      </c>
      <c r="C390" s="13" t="s">
        <v>518</v>
      </c>
      <c r="D390" s="13" t="s">
        <v>452</v>
      </c>
      <c r="E390" s="13" t="s">
        <v>192</v>
      </c>
      <c r="F390" s="15">
        <v>10</v>
      </c>
      <c r="G390" s="15">
        <v>3450</v>
      </c>
      <c r="H390" s="15">
        <v>20.399999999999999</v>
      </c>
      <c r="I390" s="15">
        <v>27462</v>
      </c>
      <c r="J390" s="13" t="s">
        <v>87</v>
      </c>
      <c r="K390" s="13" t="s">
        <v>88</v>
      </c>
      <c r="L390">
        <f>IF(COUNTIF(A$2:A390, A390)=1, IF(COUNTIF(A$2:A$2001, A390)&gt;1, 1, 0), 0)</f>
        <v>0</v>
      </c>
      <c r="M390" t="b">
        <f>VLOOKUP(D390, Products!A$2:F$61, 6, FALSE)</f>
        <v>1</v>
      </c>
      <c r="N390" t="str">
        <f>VLOOKUP(D390, Products!A$2:C$61, 3, FALSE)</f>
        <v>Apparel</v>
      </c>
      <c r="O390" t="str">
        <f>VLOOKUP(C390, Customers!A$2:E$301, 5, FALSE)</f>
        <v>Retail</v>
      </c>
      <c r="P390">
        <f>VLOOKUP(C390, Customers!A$2:C$301, 3, FALSE)</f>
        <v>49</v>
      </c>
      <c r="Q390" t="str">
        <f>VLOOKUP(E390, Sales_Reps!A$2:C$31, 3, FALSE)</f>
        <v>East</v>
      </c>
      <c r="R390">
        <f>VLOOKUP(D390, Products!A$2:D$61, 4, FALSE)</f>
        <v>1748</v>
      </c>
    </row>
    <row r="391" spans="1:18" x14ac:dyDescent="0.3">
      <c r="A391" s="13" t="s">
        <v>793</v>
      </c>
      <c r="B391" s="14">
        <v>45440</v>
      </c>
      <c r="C391" s="13" t="s">
        <v>208</v>
      </c>
      <c r="D391" s="13" t="s">
        <v>515</v>
      </c>
      <c r="E391" s="13" t="s">
        <v>121</v>
      </c>
      <c r="F391" s="15">
        <v>1</v>
      </c>
      <c r="G391" s="15">
        <v>6940</v>
      </c>
      <c r="H391" s="15">
        <v>9.6999999999999993</v>
      </c>
      <c r="I391" s="15">
        <v>6266.82</v>
      </c>
      <c r="J391" s="13" t="s">
        <v>87</v>
      </c>
      <c r="K391" s="13" t="s">
        <v>133</v>
      </c>
      <c r="L391">
        <f>IF(COUNTIF(A$2:A391, A391)=1, IF(COUNTIF(A$2:A$2001, A391)&gt;1, 1, 0), 0)</f>
        <v>0</v>
      </c>
      <c r="M391" t="b">
        <f>VLOOKUP(D391, Products!A$2:F$61, 6, FALSE)</f>
        <v>1</v>
      </c>
      <c r="N391" t="str">
        <f>VLOOKUP(D391, Products!A$2:C$61, 3, FALSE)</f>
        <v>Sports</v>
      </c>
      <c r="O391" t="str">
        <f>VLOOKUP(C391, Customers!A$2:E$301, 5, FALSE)</f>
        <v>Retail</v>
      </c>
      <c r="P391">
        <f>VLOOKUP(C391, Customers!A$2:C$301, 3, FALSE)</f>
        <v>26</v>
      </c>
      <c r="Q391" t="str">
        <f>VLOOKUP(E391, Sales_Reps!A$2:C$31, 3, FALSE)</f>
        <v>East</v>
      </c>
      <c r="R391">
        <f>VLOOKUP(D391, Products!A$2:D$61, 4, FALSE)</f>
        <v>2827</v>
      </c>
    </row>
    <row r="392" spans="1:18" x14ac:dyDescent="0.3">
      <c r="A392" s="13" t="s">
        <v>794</v>
      </c>
      <c r="B392" s="14">
        <v>45358</v>
      </c>
      <c r="C392" s="13" t="s">
        <v>795</v>
      </c>
      <c r="D392" s="13" t="s">
        <v>179</v>
      </c>
      <c r="E392" s="13" t="s">
        <v>103</v>
      </c>
      <c r="F392" s="15">
        <v>10</v>
      </c>
      <c r="G392" s="15">
        <v>3350</v>
      </c>
      <c r="H392" s="15">
        <v>3.2</v>
      </c>
      <c r="I392" s="15">
        <v>32428</v>
      </c>
      <c r="J392" s="13" t="s">
        <v>87</v>
      </c>
      <c r="K392" s="13" t="s">
        <v>94</v>
      </c>
      <c r="L392">
        <f>IF(COUNTIF(A$2:A392, A392)=1, IF(COUNTIF(A$2:A$2001, A392)&gt;1, 1, 0), 0)</f>
        <v>0</v>
      </c>
      <c r="M392" t="b">
        <f>VLOOKUP(D392, Products!A$2:F$61, 6, FALSE)</f>
        <v>1</v>
      </c>
      <c r="N392" t="str">
        <f>VLOOKUP(D392, Products!A$2:C$61, 3, FALSE)</f>
        <v>Beauty</v>
      </c>
      <c r="O392" t="str">
        <f>VLOOKUP(C392, Customers!A$2:E$301, 5, FALSE)</f>
        <v>Retail</v>
      </c>
      <c r="P392">
        <f>VLOOKUP(C392, Customers!A$2:C$301, 3, FALSE)</f>
        <v>22</v>
      </c>
      <c r="Q392" t="str">
        <f>VLOOKUP(E392, Sales_Reps!A$2:C$31, 3, FALSE)</f>
        <v>North</v>
      </c>
      <c r="R392">
        <f>VLOOKUP(D392, Products!A$2:D$61, 4, FALSE)</f>
        <v>1728</v>
      </c>
    </row>
    <row r="393" spans="1:18" x14ac:dyDescent="0.3">
      <c r="A393" s="13" t="s">
        <v>796</v>
      </c>
      <c r="B393" s="14">
        <v>45387</v>
      </c>
      <c r="C393" s="13" t="s">
        <v>797</v>
      </c>
      <c r="D393" s="13" t="s">
        <v>259</v>
      </c>
      <c r="E393" s="13" t="s">
        <v>201</v>
      </c>
      <c r="F393" s="15">
        <v>7</v>
      </c>
      <c r="G393" s="15">
        <v>1540</v>
      </c>
      <c r="H393" s="15">
        <v>0.5</v>
      </c>
      <c r="I393" s="15">
        <v>10726.1</v>
      </c>
      <c r="J393" s="13" t="s">
        <v>87</v>
      </c>
      <c r="K393" s="13" t="s">
        <v>99</v>
      </c>
      <c r="L393">
        <f>IF(COUNTIF(A$2:A393, A393)=1, IF(COUNTIF(A$2:A$2001, A393)&gt;1, 1, 0), 0)</f>
        <v>0</v>
      </c>
      <c r="M393" t="b">
        <f>VLOOKUP(D393, Products!A$2:F$61, 6, FALSE)</f>
        <v>0</v>
      </c>
      <c r="N393" t="str">
        <f>VLOOKUP(D393, Products!A$2:C$61, 3, FALSE)</f>
        <v>Beauty</v>
      </c>
      <c r="O393" t="str">
        <f>VLOOKUP(C393, Customers!A$2:E$301, 5, FALSE)</f>
        <v>Retail</v>
      </c>
      <c r="P393">
        <f>VLOOKUP(C393, Customers!A$2:C$301, 3, FALSE)</f>
        <v>63</v>
      </c>
      <c r="Q393" t="str">
        <f>VLOOKUP(E393, Sales_Reps!A$2:C$31, 3, FALSE)</f>
        <v>West</v>
      </c>
      <c r="R393">
        <f>VLOOKUP(D393, Products!A$2:D$61, 4, FALSE)</f>
        <v>647</v>
      </c>
    </row>
    <row r="394" spans="1:18" x14ac:dyDescent="0.3">
      <c r="A394" s="13" t="s">
        <v>798</v>
      </c>
      <c r="B394" s="14">
        <v>45655</v>
      </c>
      <c r="C394" s="13" t="s">
        <v>799</v>
      </c>
      <c r="D394" s="13" t="s">
        <v>85</v>
      </c>
      <c r="E394" s="13" t="s">
        <v>201</v>
      </c>
      <c r="F394" s="15">
        <v>10</v>
      </c>
      <c r="G394" s="15">
        <v>3620</v>
      </c>
      <c r="H394" s="15">
        <v>22</v>
      </c>
      <c r="I394" s="15">
        <v>28236</v>
      </c>
      <c r="J394" s="13" t="s">
        <v>87</v>
      </c>
      <c r="K394" s="13" t="s">
        <v>88</v>
      </c>
      <c r="L394">
        <f>IF(COUNTIF(A$2:A394, A394)=1, IF(COUNTIF(A$2:A$2001, A394)&gt;1, 1, 0), 0)</f>
        <v>0</v>
      </c>
      <c r="M394" t="b">
        <f>VLOOKUP(D394, Products!A$2:F$61, 6, FALSE)</f>
        <v>1</v>
      </c>
      <c r="N394" t="str">
        <f>VLOOKUP(D394, Products!A$2:C$61, 3, FALSE)</f>
        <v>Apparel</v>
      </c>
      <c r="O394" t="e">
        <f>VLOOKUP(C394, Customers!A$2:E$301, 5, FALSE)</f>
        <v>#N/A</v>
      </c>
      <c r="P394" t="e">
        <f>VLOOKUP(C394, Customers!A$2:C$301, 3, FALSE)</f>
        <v>#N/A</v>
      </c>
      <c r="Q394" t="str">
        <f>VLOOKUP(E394, Sales_Reps!A$2:C$31, 3, FALSE)</f>
        <v>West</v>
      </c>
      <c r="R394">
        <f>VLOOKUP(D394, Products!A$2:D$61, 4, FALSE)</f>
        <v>2509</v>
      </c>
    </row>
    <row r="395" spans="1:18" x14ac:dyDescent="0.3">
      <c r="A395" s="13" t="s">
        <v>800</v>
      </c>
      <c r="B395" s="14">
        <v>45629</v>
      </c>
      <c r="C395" s="13" t="s">
        <v>233</v>
      </c>
      <c r="D395" s="13" t="s">
        <v>97</v>
      </c>
      <c r="E395" s="13" t="s">
        <v>201</v>
      </c>
      <c r="F395" s="15">
        <v>2</v>
      </c>
      <c r="G395" s="15">
        <v>470</v>
      </c>
      <c r="H395" s="15">
        <v>26.5</v>
      </c>
      <c r="I395" s="15">
        <v>690.9</v>
      </c>
      <c r="J395" s="13" t="s">
        <v>93</v>
      </c>
      <c r="K395" s="13" t="s">
        <v>88</v>
      </c>
      <c r="L395">
        <f>IF(COUNTIF(A$2:A395, A395)=1, IF(COUNTIF(A$2:A$2001, A395)&gt;1, 1, 0), 0)</f>
        <v>0</v>
      </c>
      <c r="M395" t="b">
        <f>VLOOKUP(D395, Products!A$2:F$61, 6, FALSE)</f>
        <v>0</v>
      </c>
      <c r="N395" t="str">
        <f>VLOOKUP(D395, Products!A$2:C$61, 3, FALSE)</f>
        <v>Sports</v>
      </c>
      <c r="O395" t="str">
        <f>VLOOKUP(C395, Customers!A$2:E$301, 5, FALSE)</f>
        <v>SMB</v>
      </c>
      <c r="P395">
        <f>VLOOKUP(C395, Customers!A$2:C$301, 3, FALSE)</f>
        <v>29</v>
      </c>
      <c r="Q395" t="str">
        <f>VLOOKUP(E395, Sales_Reps!A$2:C$31, 3, FALSE)</f>
        <v>West</v>
      </c>
      <c r="R395">
        <f>VLOOKUP(D395, Products!A$2:D$61, 4, FALSE)</f>
        <v>302</v>
      </c>
    </row>
    <row r="396" spans="1:18" x14ac:dyDescent="0.3">
      <c r="A396" s="13" t="s">
        <v>801</v>
      </c>
      <c r="B396" s="14">
        <v>45323</v>
      </c>
      <c r="C396" s="13" t="s">
        <v>802</v>
      </c>
      <c r="D396" s="13" t="s">
        <v>102</v>
      </c>
      <c r="E396" s="13" t="s">
        <v>132</v>
      </c>
      <c r="F396" s="15">
        <v>6</v>
      </c>
      <c r="G396" s="15">
        <v>3660</v>
      </c>
      <c r="H396" s="15">
        <v>1.5</v>
      </c>
      <c r="I396" s="15">
        <v>21630.6</v>
      </c>
      <c r="J396" s="13" t="s">
        <v>87</v>
      </c>
      <c r="K396" s="13" t="s">
        <v>94</v>
      </c>
      <c r="L396">
        <f>IF(COUNTIF(A$2:A396, A396)=1, IF(COUNTIF(A$2:A$2001, A396)&gt;1, 1, 0), 0)</f>
        <v>0</v>
      </c>
      <c r="M396" t="b">
        <f>VLOOKUP(D396, Products!A$2:F$61, 6, FALSE)</f>
        <v>0</v>
      </c>
      <c r="N396" t="str">
        <f>VLOOKUP(D396, Products!A$2:C$61, 3, FALSE)</f>
        <v>Grocery</v>
      </c>
      <c r="O396" t="str">
        <f>VLOOKUP(C396, Customers!A$2:E$301, 5, FALSE)</f>
        <v>SMB</v>
      </c>
      <c r="P396">
        <f>VLOOKUP(C396, Customers!A$2:C$301, 3, FALSE)</f>
        <v>39</v>
      </c>
      <c r="Q396" t="str">
        <f>VLOOKUP(E396, Sales_Reps!A$2:C$31, 3, FALSE)</f>
        <v>South</v>
      </c>
      <c r="R396">
        <f>VLOOKUP(D396, Products!A$2:D$61, 4, FALSE)</f>
        <v>2214</v>
      </c>
    </row>
    <row r="397" spans="1:18" x14ac:dyDescent="0.3">
      <c r="A397" s="13" t="s">
        <v>803</v>
      </c>
      <c r="B397" s="14">
        <v>45432</v>
      </c>
      <c r="C397" s="13" t="s">
        <v>119</v>
      </c>
      <c r="D397" s="13" t="s">
        <v>515</v>
      </c>
      <c r="E397" s="13" t="s">
        <v>238</v>
      </c>
      <c r="F397" s="15">
        <v>10</v>
      </c>
      <c r="G397" s="15">
        <v>6940</v>
      </c>
      <c r="H397" s="15">
        <v>1.9</v>
      </c>
      <c r="I397" s="15">
        <v>68081.399999999994</v>
      </c>
      <c r="J397" s="13" t="s">
        <v>87</v>
      </c>
      <c r="K397" s="13" t="s">
        <v>117</v>
      </c>
      <c r="L397">
        <f>IF(COUNTIF(A$2:A397, A397)=1, IF(COUNTIF(A$2:A$2001, A397)&gt;1, 1, 0), 0)</f>
        <v>0</v>
      </c>
      <c r="M397" t="b">
        <f>VLOOKUP(D397, Products!A$2:F$61, 6, FALSE)</f>
        <v>1</v>
      </c>
      <c r="N397" t="str">
        <f>VLOOKUP(D397, Products!A$2:C$61, 3, FALSE)</f>
        <v>Sports</v>
      </c>
      <c r="O397" t="str">
        <f>VLOOKUP(C397, Customers!A$2:E$301, 5, FALSE)</f>
        <v>Corporate</v>
      </c>
      <c r="P397">
        <f>VLOOKUP(C397, Customers!A$2:C$301, 3, FALSE)</f>
        <v>57</v>
      </c>
      <c r="Q397" t="str">
        <f>VLOOKUP(E397, Sales_Reps!A$2:C$31, 3, FALSE)</f>
        <v>East</v>
      </c>
      <c r="R397">
        <f>VLOOKUP(D397, Products!A$2:D$61, 4, FALSE)</f>
        <v>2827</v>
      </c>
    </row>
    <row r="398" spans="1:18" x14ac:dyDescent="0.3">
      <c r="A398" s="13" t="s">
        <v>804</v>
      </c>
      <c r="B398" s="14">
        <v>45397</v>
      </c>
      <c r="C398" s="13" t="s">
        <v>580</v>
      </c>
      <c r="D398" s="13" t="s">
        <v>386</v>
      </c>
      <c r="E398" s="13" t="s">
        <v>92</v>
      </c>
      <c r="F398" s="15">
        <v>8</v>
      </c>
      <c r="G398" s="15">
        <v>2290</v>
      </c>
      <c r="H398" s="15">
        <v>27.9</v>
      </c>
      <c r="I398" s="15">
        <v>13208.72</v>
      </c>
      <c r="J398" s="13" t="s">
        <v>87</v>
      </c>
      <c r="K398" s="13" t="s">
        <v>88</v>
      </c>
      <c r="L398">
        <f>IF(COUNTIF(A$2:A398, A398)=1, IF(COUNTIF(A$2:A$2001, A398)&gt;1, 1, 0), 0)</f>
        <v>0</v>
      </c>
      <c r="M398" t="b">
        <f>VLOOKUP(D398, Products!A$2:F$61, 6, FALSE)</f>
        <v>1</v>
      </c>
      <c r="N398" t="str">
        <f>VLOOKUP(D398, Products!A$2:C$61, 3, FALSE)</f>
        <v>Beauty</v>
      </c>
      <c r="O398" t="str">
        <f>VLOOKUP(C398, Customers!A$2:E$301, 5, FALSE)</f>
        <v>Corporate</v>
      </c>
      <c r="P398">
        <f>VLOOKUP(C398, Customers!A$2:C$301, 3, FALSE)</f>
        <v>40</v>
      </c>
      <c r="Q398" t="str">
        <f>VLOOKUP(E398, Sales_Reps!A$2:C$31, 3, FALSE)</f>
        <v>North</v>
      </c>
      <c r="R398">
        <f>VLOOKUP(D398, Products!A$2:D$61, 4, FALSE)</f>
        <v>1219</v>
      </c>
    </row>
    <row r="399" spans="1:18" x14ac:dyDescent="0.3">
      <c r="A399" s="13" t="s">
        <v>805</v>
      </c>
      <c r="B399" s="14">
        <v>45573</v>
      </c>
      <c r="C399" s="13" t="s">
        <v>512</v>
      </c>
      <c r="D399" s="13" t="s">
        <v>106</v>
      </c>
      <c r="E399" s="13" t="s">
        <v>116</v>
      </c>
      <c r="F399" s="15">
        <v>9</v>
      </c>
      <c r="G399" s="15">
        <v>3160</v>
      </c>
      <c r="H399" s="15">
        <v>10.199999999999999</v>
      </c>
      <c r="I399" s="15">
        <v>25539.119999999999</v>
      </c>
      <c r="J399" s="13" t="s">
        <v>87</v>
      </c>
      <c r="K399" s="13" t="s">
        <v>133</v>
      </c>
      <c r="L399">
        <f>IF(COUNTIF(A$2:A399, A399)=1, IF(COUNTIF(A$2:A$2001, A399)&gt;1, 1, 0), 0)</f>
        <v>0</v>
      </c>
      <c r="M399" t="b">
        <f>VLOOKUP(D399, Products!A$2:F$61, 6, FALSE)</f>
        <v>1</v>
      </c>
      <c r="N399" t="str">
        <f>VLOOKUP(D399, Products!A$2:C$61, 3, FALSE)</f>
        <v>Apparel</v>
      </c>
      <c r="O399" t="str">
        <f>VLOOKUP(C399, Customers!A$2:E$301, 5, FALSE)</f>
        <v>Retail</v>
      </c>
      <c r="P399">
        <f>VLOOKUP(C399, Customers!A$2:C$301, 3, FALSE)</f>
        <v>61</v>
      </c>
      <c r="Q399" t="str">
        <f>VLOOKUP(E399, Sales_Reps!A$2:C$31, 3, FALSE)</f>
        <v>West</v>
      </c>
      <c r="R399">
        <f>VLOOKUP(D399, Products!A$2:D$61, 4, FALSE)</f>
        <v>1886</v>
      </c>
    </row>
    <row r="400" spans="1:18" x14ac:dyDescent="0.3">
      <c r="A400" s="13" t="s">
        <v>806</v>
      </c>
      <c r="B400" s="14">
        <v>45307</v>
      </c>
      <c r="C400" s="13" t="s">
        <v>807</v>
      </c>
      <c r="D400" s="13" t="s">
        <v>443</v>
      </c>
      <c r="E400" s="13" t="s">
        <v>128</v>
      </c>
      <c r="F400" s="15">
        <v>6</v>
      </c>
      <c r="G400" s="15">
        <v>5080</v>
      </c>
      <c r="H400" s="15">
        <v>25.4</v>
      </c>
      <c r="I400" s="15">
        <v>22738.080000000002</v>
      </c>
      <c r="J400" s="13" t="s">
        <v>87</v>
      </c>
      <c r="K400" s="13" t="s">
        <v>88</v>
      </c>
      <c r="L400">
        <f>IF(COUNTIF(A$2:A400, A400)=1, IF(COUNTIF(A$2:A$2001, A400)&gt;1, 1, 0), 0)</f>
        <v>0</v>
      </c>
      <c r="M400" t="b">
        <f>VLOOKUP(D400, Products!A$2:F$61, 6, FALSE)</f>
        <v>1</v>
      </c>
      <c r="N400" t="str">
        <f>VLOOKUP(D400, Products!A$2:C$61, 3, FALSE)</f>
        <v>Home</v>
      </c>
      <c r="O400" t="str">
        <f>VLOOKUP(C400, Customers!A$2:E$301, 5, FALSE)</f>
        <v>Retail</v>
      </c>
      <c r="P400">
        <f>VLOOKUP(C400, Customers!A$2:C$301, 3, FALSE)</f>
        <v>36</v>
      </c>
      <c r="Q400" t="str">
        <f>VLOOKUP(E400, Sales_Reps!A$2:C$31, 3, FALSE)</f>
        <v>West</v>
      </c>
      <c r="R400">
        <f>VLOOKUP(D400, Products!A$2:D$61, 4, FALSE)</f>
        <v>2459</v>
      </c>
    </row>
    <row r="401" spans="1:18" x14ac:dyDescent="0.3">
      <c r="A401" s="13" t="s">
        <v>808</v>
      </c>
      <c r="B401" s="14">
        <v>45620</v>
      </c>
      <c r="C401" s="13" t="s">
        <v>744</v>
      </c>
      <c r="D401" s="13" t="s">
        <v>200</v>
      </c>
      <c r="E401" s="13" t="s">
        <v>325</v>
      </c>
      <c r="F401" s="15">
        <v>6</v>
      </c>
      <c r="G401" s="15">
        <v>2760</v>
      </c>
      <c r="H401" s="15">
        <v>21.3</v>
      </c>
      <c r="I401" s="15">
        <v>13032.72</v>
      </c>
      <c r="J401" s="13" t="s">
        <v>87</v>
      </c>
      <c r="K401" s="13" t="s">
        <v>133</v>
      </c>
      <c r="L401">
        <f>IF(COUNTIF(A$2:A401, A401)=1, IF(COUNTIF(A$2:A$2001, A401)&gt;1, 1, 0), 0)</f>
        <v>0</v>
      </c>
      <c r="M401" t="b">
        <f>VLOOKUP(D401, Products!A$2:F$61, 6, FALSE)</f>
        <v>1</v>
      </c>
      <c r="N401" t="str">
        <f>VLOOKUP(D401, Products!A$2:C$61, 3, FALSE)</f>
        <v>Grocery</v>
      </c>
      <c r="O401" t="str">
        <f>VLOOKUP(C401, Customers!A$2:E$301, 5, FALSE)</f>
        <v>Retail</v>
      </c>
      <c r="P401">
        <f>VLOOKUP(C401, Customers!A$2:C$301, 3, FALSE)</f>
        <v>64</v>
      </c>
      <c r="Q401" t="str">
        <f>VLOOKUP(E401, Sales_Reps!A$2:C$31, 3, FALSE)</f>
        <v>South</v>
      </c>
      <c r="R401">
        <f>VLOOKUP(D401, Products!A$2:D$61, 4, FALSE)</f>
        <v>1435</v>
      </c>
    </row>
    <row r="402" spans="1:18" x14ac:dyDescent="0.3">
      <c r="A402" s="13" t="s">
        <v>809</v>
      </c>
      <c r="B402" s="14">
        <v>45462</v>
      </c>
      <c r="C402" s="13" t="s">
        <v>810</v>
      </c>
      <c r="D402" s="13" t="s">
        <v>267</v>
      </c>
      <c r="E402" s="13" t="s">
        <v>325</v>
      </c>
      <c r="F402" s="15">
        <v>5</v>
      </c>
      <c r="G402" s="15">
        <v>1220</v>
      </c>
      <c r="H402" s="15">
        <v>7.6</v>
      </c>
      <c r="I402" s="15">
        <v>5636.4</v>
      </c>
      <c r="J402" s="13" t="s">
        <v>87</v>
      </c>
      <c r="K402" s="13" t="s">
        <v>112</v>
      </c>
      <c r="L402">
        <f>IF(COUNTIF(A$2:A402, A402)=1, IF(COUNTIF(A$2:A$2001, A402)&gt;1, 1, 0), 0)</f>
        <v>0</v>
      </c>
      <c r="M402" t="b">
        <f>VLOOKUP(D402, Products!A$2:F$61, 6, FALSE)</f>
        <v>1</v>
      </c>
      <c r="N402" t="str">
        <f>VLOOKUP(D402, Products!A$2:C$61, 3, FALSE)</f>
        <v>Electronics</v>
      </c>
      <c r="O402" t="e">
        <f>VLOOKUP(C402, Customers!A$2:E$301, 5, FALSE)</f>
        <v>#N/A</v>
      </c>
      <c r="P402" t="e">
        <f>VLOOKUP(C402, Customers!A$2:C$301, 3, FALSE)</f>
        <v>#N/A</v>
      </c>
      <c r="Q402" t="str">
        <f>VLOOKUP(E402, Sales_Reps!A$2:C$31, 3, FALSE)</f>
        <v>South</v>
      </c>
      <c r="R402">
        <f>VLOOKUP(D402, Products!A$2:D$61, 4, FALSE)</f>
        <v>517</v>
      </c>
    </row>
    <row r="403" spans="1:18" x14ac:dyDescent="0.3">
      <c r="A403" s="13" t="s">
        <v>811</v>
      </c>
      <c r="B403" s="14">
        <v>45622</v>
      </c>
      <c r="C403" s="13" t="s">
        <v>301</v>
      </c>
      <c r="D403" s="13" t="s">
        <v>184</v>
      </c>
      <c r="E403" s="13" t="s">
        <v>128</v>
      </c>
      <c r="F403" s="15">
        <v>5</v>
      </c>
      <c r="G403" s="15">
        <v>4880</v>
      </c>
      <c r="H403" s="15">
        <v>8.5</v>
      </c>
      <c r="I403" s="15">
        <v>22326</v>
      </c>
      <c r="J403" s="13" t="s">
        <v>87</v>
      </c>
      <c r="K403" s="13" t="s">
        <v>94</v>
      </c>
      <c r="L403">
        <f>IF(COUNTIF(A$2:A403, A403)=1, IF(COUNTIF(A$2:A$2001, A403)&gt;1, 1, 0), 0)</f>
        <v>0</v>
      </c>
      <c r="M403" t="b">
        <f>VLOOKUP(D403, Products!A$2:F$61, 6, FALSE)</f>
        <v>1</v>
      </c>
      <c r="N403" t="str">
        <f>VLOOKUP(D403, Products!A$2:C$61, 3, FALSE)</f>
        <v>Beauty</v>
      </c>
      <c r="O403" t="str">
        <f>VLOOKUP(C403, Customers!A$2:E$301, 5, FALSE)</f>
        <v>Retail</v>
      </c>
      <c r="P403">
        <f>VLOOKUP(C403, Customers!A$2:C$301, 3, FALSE)</f>
        <v>41</v>
      </c>
      <c r="Q403" t="str">
        <f>VLOOKUP(E403, Sales_Reps!A$2:C$31, 3, FALSE)</f>
        <v>West</v>
      </c>
      <c r="R403">
        <f>VLOOKUP(D403, Products!A$2:D$61, 4, FALSE)</f>
        <v>2768</v>
      </c>
    </row>
    <row r="404" spans="1:18" x14ac:dyDescent="0.3">
      <c r="A404" s="13" t="s">
        <v>812</v>
      </c>
      <c r="B404" s="14">
        <v>45596</v>
      </c>
      <c r="C404" s="13" t="s">
        <v>231</v>
      </c>
      <c r="D404" s="13" t="s">
        <v>264</v>
      </c>
      <c r="E404" s="13" t="s">
        <v>285</v>
      </c>
      <c r="F404" s="15">
        <v>7</v>
      </c>
      <c r="G404" s="15">
        <v>4070</v>
      </c>
      <c r="H404" s="15">
        <v>28</v>
      </c>
      <c r="I404" s="15">
        <v>20512.8</v>
      </c>
      <c r="J404" s="13" t="s">
        <v>87</v>
      </c>
      <c r="K404" s="13" t="s">
        <v>117</v>
      </c>
      <c r="L404">
        <f>IF(COUNTIF(A$2:A404, A404)=1, IF(COUNTIF(A$2:A$2001, A404)&gt;1, 1, 0), 0)</f>
        <v>0</v>
      </c>
      <c r="M404" t="b">
        <f>VLOOKUP(D404, Products!A$2:F$61, 6, FALSE)</f>
        <v>1</v>
      </c>
      <c r="N404" t="str">
        <f>VLOOKUP(D404, Products!A$2:C$61, 3, FALSE)</f>
        <v>Grocery</v>
      </c>
      <c r="O404" t="str">
        <f>VLOOKUP(C404, Customers!A$2:E$301, 5, FALSE)</f>
        <v>SMB</v>
      </c>
      <c r="P404">
        <f>VLOOKUP(C404, Customers!A$2:C$301, 3, FALSE)</f>
        <v>64</v>
      </c>
      <c r="Q404" t="str">
        <f>VLOOKUP(E404, Sales_Reps!A$2:C$31, 3, FALSE)</f>
        <v>East</v>
      </c>
      <c r="R404">
        <f>VLOOKUP(D404, Products!A$2:D$61, 4, FALSE)</f>
        <v>2027</v>
      </c>
    </row>
    <row r="405" spans="1:18" x14ac:dyDescent="0.3">
      <c r="A405" s="13" t="s">
        <v>813</v>
      </c>
      <c r="B405" s="14">
        <v>45506</v>
      </c>
      <c r="C405" s="13" t="s">
        <v>501</v>
      </c>
      <c r="D405" s="13" t="s">
        <v>408</v>
      </c>
      <c r="E405" s="13" t="s">
        <v>128</v>
      </c>
      <c r="F405" s="15">
        <v>2</v>
      </c>
      <c r="G405" s="15">
        <v>3970</v>
      </c>
      <c r="H405" s="15">
        <v>14</v>
      </c>
      <c r="I405" s="15">
        <v>6828.4</v>
      </c>
      <c r="J405" s="13" t="s">
        <v>87</v>
      </c>
      <c r="K405" s="13" t="s">
        <v>133</v>
      </c>
      <c r="L405">
        <f>IF(COUNTIF(A$2:A405, A405)=1, IF(COUNTIF(A$2:A$2001, A405)&gt;1, 1, 0), 0)</f>
        <v>0</v>
      </c>
      <c r="M405" t="b">
        <f>VLOOKUP(D405, Products!A$2:F$61, 6, FALSE)</f>
        <v>1</v>
      </c>
      <c r="N405" t="str">
        <f>VLOOKUP(D405, Products!A$2:C$61, 3, FALSE)</f>
        <v>Electronics</v>
      </c>
      <c r="O405" t="str">
        <f>VLOOKUP(C405, Customers!A$2:E$301, 5, FALSE)</f>
        <v>SMB</v>
      </c>
      <c r="P405">
        <f>VLOOKUP(C405, Customers!A$2:C$301, 3, FALSE)</f>
        <v>65</v>
      </c>
      <c r="Q405" t="str">
        <f>VLOOKUP(E405, Sales_Reps!A$2:C$31, 3, FALSE)</f>
        <v>West</v>
      </c>
      <c r="R405">
        <f>VLOOKUP(D405, Products!A$2:D$61, 4, FALSE)</f>
        <v>2865</v>
      </c>
    </row>
    <row r="406" spans="1:18" x14ac:dyDescent="0.3">
      <c r="A406" s="13" t="s">
        <v>814</v>
      </c>
      <c r="B406" s="14">
        <v>45349</v>
      </c>
      <c r="C406" s="13" t="s">
        <v>266</v>
      </c>
      <c r="D406" s="13" t="s">
        <v>279</v>
      </c>
      <c r="E406" s="13" t="s">
        <v>303</v>
      </c>
      <c r="F406" s="15">
        <v>9</v>
      </c>
      <c r="G406" s="15">
        <v>2660</v>
      </c>
      <c r="H406" s="15">
        <v>10.1</v>
      </c>
      <c r="I406" s="15">
        <v>21522.06</v>
      </c>
      <c r="J406" s="13" t="s">
        <v>87</v>
      </c>
      <c r="K406" s="13" t="s">
        <v>99</v>
      </c>
      <c r="L406">
        <f>IF(COUNTIF(A$2:A406, A406)=1, IF(COUNTIF(A$2:A$2001, A406)&gt;1, 1, 0), 0)</f>
        <v>0</v>
      </c>
      <c r="M406" t="b">
        <f>VLOOKUP(D406, Products!A$2:F$61, 6, FALSE)</f>
        <v>0</v>
      </c>
      <c r="N406" t="str">
        <f>VLOOKUP(D406, Products!A$2:C$61, 3, FALSE)</f>
        <v>Electronics</v>
      </c>
      <c r="O406" t="str">
        <f>VLOOKUP(C406, Customers!A$2:E$301, 5, FALSE)</f>
        <v>Corporate</v>
      </c>
      <c r="P406">
        <f>VLOOKUP(C406, Customers!A$2:C$301, 3, FALSE)</f>
        <v>55</v>
      </c>
      <c r="Q406" t="str">
        <f>VLOOKUP(E406, Sales_Reps!A$2:C$31, 3, FALSE)</f>
        <v>East</v>
      </c>
      <c r="R406">
        <f>VLOOKUP(D406, Products!A$2:D$61, 4, FALSE)</f>
        <v>1259</v>
      </c>
    </row>
    <row r="407" spans="1:18" x14ac:dyDescent="0.3">
      <c r="A407" s="13" t="s">
        <v>815</v>
      </c>
      <c r="B407" s="14">
        <v>45407</v>
      </c>
      <c r="C407" s="13" t="s">
        <v>816</v>
      </c>
      <c r="D407" s="13" t="s">
        <v>195</v>
      </c>
      <c r="E407" s="13" t="s">
        <v>285</v>
      </c>
      <c r="F407" s="15">
        <v>9</v>
      </c>
      <c r="G407" s="15">
        <v>2860</v>
      </c>
      <c r="H407" s="15">
        <v>10.1</v>
      </c>
      <c r="I407" s="15">
        <v>23140.26</v>
      </c>
      <c r="J407" s="13" t="s">
        <v>144</v>
      </c>
      <c r="K407" s="13" t="s">
        <v>88</v>
      </c>
      <c r="L407">
        <f>IF(COUNTIF(A$2:A407, A407)=1, IF(COUNTIF(A$2:A$2001, A407)&gt;1, 1, 0), 0)</f>
        <v>0</v>
      </c>
      <c r="M407" t="b">
        <f>VLOOKUP(D407, Products!A$2:F$61, 6, FALSE)</f>
        <v>1</v>
      </c>
      <c r="N407" t="str">
        <f>VLOOKUP(D407, Products!A$2:C$61, 3, FALSE)</f>
        <v>Sports</v>
      </c>
      <c r="O407" t="str">
        <f>VLOOKUP(C407, Customers!A$2:E$301, 5, FALSE)</f>
        <v>Retail</v>
      </c>
      <c r="P407">
        <f>VLOOKUP(C407, Customers!A$2:C$301, 3, FALSE)</f>
        <v>36</v>
      </c>
      <c r="Q407" t="str">
        <f>VLOOKUP(E407, Sales_Reps!A$2:C$31, 3, FALSE)</f>
        <v>East</v>
      </c>
      <c r="R407">
        <f>VLOOKUP(D407, Products!A$2:D$61, 4, FALSE)</f>
        <v>2028</v>
      </c>
    </row>
    <row r="408" spans="1:18" x14ac:dyDescent="0.3">
      <c r="A408" s="13" t="s">
        <v>817</v>
      </c>
      <c r="B408" s="14">
        <v>45591</v>
      </c>
      <c r="C408" s="13" t="s">
        <v>291</v>
      </c>
      <c r="D408" s="13" t="s">
        <v>267</v>
      </c>
      <c r="E408" s="13" t="s">
        <v>86</v>
      </c>
      <c r="F408" s="15">
        <v>7</v>
      </c>
      <c r="G408" s="15">
        <v>1220</v>
      </c>
      <c r="H408" s="15">
        <v>23.5</v>
      </c>
      <c r="I408" s="15">
        <v>6533.1</v>
      </c>
      <c r="J408" s="13" t="s">
        <v>144</v>
      </c>
      <c r="K408" s="13" t="s">
        <v>99</v>
      </c>
      <c r="L408">
        <f>IF(COUNTIF(A$2:A408, A408)=1, IF(COUNTIF(A$2:A$2001, A408)&gt;1, 1, 0), 0)</f>
        <v>0</v>
      </c>
      <c r="M408" t="b">
        <f>VLOOKUP(D408, Products!A$2:F$61, 6, FALSE)</f>
        <v>1</v>
      </c>
      <c r="N408" t="str">
        <f>VLOOKUP(D408, Products!A$2:C$61, 3, FALSE)</f>
        <v>Electronics</v>
      </c>
      <c r="O408" t="str">
        <f>VLOOKUP(C408, Customers!A$2:E$301, 5, FALSE)</f>
        <v>Retail</v>
      </c>
      <c r="P408">
        <f>VLOOKUP(C408, Customers!A$2:C$301, 3, FALSE)</f>
        <v>35</v>
      </c>
      <c r="Q408" t="str">
        <f>VLOOKUP(E408, Sales_Reps!A$2:C$31, 3, FALSE)</f>
        <v>North</v>
      </c>
      <c r="R408">
        <f>VLOOKUP(D408, Products!A$2:D$61, 4, FALSE)</f>
        <v>517</v>
      </c>
    </row>
    <row r="409" spans="1:18" x14ac:dyDescent="0.3">
      <c r="A409" s="13" t="s">
        <v>818</v>
      </c>
      <c r="B409" s="14">
        <v>45584</v>
      </c>
      <c r="C409" s="13" t="s">
        <v>434</v>
      </c>
      <c r="D409" s="13" t="s">
        <v>245</v>
      </c>
      <c r="E409" s="13" t="s">
        <v>201</v>
      </c>
      <c r="F409" s="15">
        <v>1</v>
      </c>
      <c r="G409" s="15">
        <v>2270</v>
      </c>
      <c r="H409" s="15">
        <v>5.8</v>
      </c>
      <c r="I409" s="15">
        <v>2138.34</v>
      </c>
      <c r="J409" s="13" t="s">
        <v>140</v>
      </c>
      <c r="K409" s="13" t="s">
        <v>99</v>
      </c>
      <c r="L409">
        <f>IF(COUNTIF(A$2:A409, A409)=1, IF(COUNTIF(A$2:A$2001, A409)&gt;1, 1, 0), 0)</f>
        <v>0</v>
      </c>
      <c r="M409" t="b">
        <f>VLOOKUP(D409, Products!A$2:F$61, 6, FALSE)</f>
        <v>1</v>
      </c>
      <c r="N409" t="str">
        <f>VLOOKUP(D409, Products!A$2:C$61, 3, FALSE)</f>
        <v>Grocery</v>
      </c>
      <c r="O409" t="str">
        <f>VLOOKUP(C409, Customers!A$2:E$301, 5, FALSE)</f>
        <v>Corporate</v>
      </c>
      <c r="P409">
        <f>VLOOKUP(C409, Customers!A$2:C$301, 3, FALSE)</f>
        <v>31</v>
      </c>
      <c r="Q409" t="str">
        <f>VLOOKUP(E409, Sales_Reps!A$2:C$31, 3, FALSE)</f>
        <v>West</v>
      </c>
      <c r="R409">
        <f>VLOOKUP(D409, Products!A$2:D$61, 4, FALSE)</f>
        <v>1412</v>
      </c>
    </row>
    <row r="410" spans="1:18" x14ac:dyDescent="0.3">
      <c r="A410" s="13" t="s">
        <v>819</v>
      </c>
      <c r="B410" s="14">
        <v>45581</v>
      </c>
      <c r="C410" s="13" t="s">
        <v>617</v>
      </c>
      <c r="D410" s="13" t="s">
        <v>203</v>
      </c>
      <c r="E410" s="13" t="s">
        <v>297</v>
      </c>
      <c r="F410" s="15">
        <v>2</v>
      </c>
      <c r="G410" s="15">
        <v>660</v>
      </c>
      <c r="H410" s="15">
        <v>2.2999999999999998</v>
      </c>
      <c r="I410" s="15">
        <v>1289.6400000000001</v>
      </c>
      <c r="J410" s="13" t="s">
        <v>87</v>
      </c>
      <c r="K410" s="13" t="s">
        <v>112</v>
      </c>
      <c r="L410">
        <f>IF(COUNTIF(A$2:A410, A410)=1, IF(COUNTIF(A$2:A$2001, A410)&gt;1, 1, 0), 0)</f>
        <v>0</v>
      </c>
      <c r="M410" t="b">
        <f>VLOOKUP(D410, Products!A$2:F$61, 6, FALSE)</f>
        <v>1</v>
      </c>
      <c r="N410" t="str">
        <f>VLOOKUP(D410, Products!A$2:C$61, 3, FALSE)</f>
        <v>Home</v>
      </c>
      <c r="O410" t="str">
        <f>VLOOKUP(C410, Customers!A$2:E$301, 5, FALSE)</f>
        <v>SMB</v>
      </c>
      <c r="P410">
        <f>VLOOKUP(C410, Customers!A$2:C$301, 3, FALSE)</f>
        <v>65</v>
      </c>
      <c r="Q410" t="str">
        <f>VLOOKUP(E410, Sales_Reps!A$2:C$31, 3, FALSE)</f>
        <v>North</v>
      </c>
      <c r="R410">
        <f>VLOOKUP(D410, Products!A$2:D$61, 4, FALSE)</f>
        <v>329</v>
      </c>
    </row>
    <row r="411" spans="1:18" x14ac:dyDescent="0.3">
      <c r="A411" s="13" t="s">
        <v>820</v>
      </c>
      <c r="B411" s="14">
        <v>45441</v>
      </c>
      <c r="C411" s="13" t="s">
        <v>345</v>
      </c>
      <c r="D411" s="13" t="s">
        <v>106</v>
      </c>
      <c r="E411" s="13" t="s">
        <v>98</v>
      </c>
      <c r="F411" s="15">
        <v>1</v>
      </c>
      <c r="G411" s="15">
        <v>3160</v>
      </c>
      <c r="H411" s="15">
        <v>5.6</v>
      </c>
      <c r="I411" s="15">
        <v>2983.04</v>
      </c>
      <c r="J411" s="13" t="s">
        <v>87</v>
      </c>
      <c r="K411" s="13" t="s">
        <v>94</v>
      </c>
      <c r="L411">
        <f>IF(COUNTIF(A$2:A411, A411)=1, IF(COUNTIF(A$2:A$2001, A411)&gt;1, 1, 0), 0)</f>
        <v>0</v>
      </c>
      <c r="M411" t="b">
        <f>VLOOKUP(D411, Products!A$2:F$61, 6, FALSE)</f>
        <v>1</v>
      </c>
      <c r="N411" t="str">
        <f>VLOOKUP(D411, Products!A$2:C$61, 3, FALSE)</f>
        <v>Apparel</v>
      </c>
      <c r="O411" t="str">
        <f>VLOOKUP(C411, Customers!A$2:E$301, 5, FALSE)</f>
        <v>Corporate</v>
      </c>
      <c r="P411">
        <f>VLOOKUP(C411, Customers!A$2:C$301, 3, FALSE)</f>
        <v>38</v>
      </c>
      <c r="Q411" t="str">
        <f>VLOOKUP(E411, Sales_Reps!A$2:C$31, 3, FALSE)</f>
        <v>South</v>
      </c>
      <c r="R411">
        <f>VLOOKUP(D411, Products!A$2:D$61, 4, FALSE)</f>
        <v>1886</v>
      </c>
    </row>
    <row r="412" spans="1:18" x14ac:dyDescent="0.3">
      <c r="A412" s="13" t="s">
        <v>821</v>
      </c>
      <c r="B412" s="14">
        <v>45408</v>
      </c>
      <c r="C412" s="13" t="s">
        <v>105</v>
      </c>
      <c r="D412" s="13" t="s">
        <v>138</v>
      </c>
      <c r="E412" s="13" t="s">
        <v>252</v>
      </c>
      <c r="F412" s="15">
        <v>1</v>
      </c>
      <c r="G412" s="15">
        <v>2600</v>
      </c>
      <c r="H412" s="15">
        <v>1</v>
      </c>
      <c r="I412" s="15">
        <v>2574</v>
      </c>
      <c r="J412" s="13" t="s">
        <v>87</v>
      </c>
      <c r="K412" s="13" t="s">
        <v>94</v>
      </c>
      <c r="L412">
        <f>IF(COUNTIF(A$2:A412, A412)=1, IF(COUNTIF(A$2:A$2001, A412)&gt;1, 1, 0), 0)</f>
        <v>0</v>
      </c>
      <c r="M412" t="b">
        <f>VLOOKUP(D412, Products!A$2:F$61, 6, FALSE)</f>
        <v>1</v>
      </c>
      <c r="N412" t="str">
        <f>VLOOKUP(D412, Products!A$2:C$61, 3, FALSE)</f>
        <v>Electronics</v>
      </c>
      <c r="O412" t="str">
        <f>VLOOKUP(C412, Customers!A$2:E$301, 5, FALSE)</f>
        <v>Retail</v>
      </c>
      <c r="P412">
        <f>VLOOKUP(C412, Customers!A$2:C$301, 3, FALSE)</f>
        <v>36</v>
      </c>
      <c r="Q412" t="str">
        <f>VLOOKUP(E412, Sales_Reps!A$2:C$31, 3, FALSE)</f>
        <v>South</v>
      </c>
      <c r="R412">
        <f>VLOOKUP(D412, Products!A$2:D$61, 4, FALSE)</f>
        <v>1052</v>
      </c>
    </row>
    <row r="413" spans="1:18" x14ac:dyDescent="0.3">
      <c r="A413" s="13" t="s">
        <v>822</v>
      </c>
      <c r="B413" s="14">
        <v>45515</v>
      </c>
      <c r="C413" s="13" t="s">
        <v>823</v>
      </c>
      <c r="D413" s="13" t="s">
        <v>270</v>
      </c>
      <c r="E413" s="13" t="s">
        <v>98</v>
      </c>
      <c r="F413" s="15">
        <v>4</v>
      </c>
      <c r="G413" s="15">
        <v>4610</v>
      </c>
      <c r="H413" s="15">
        <v>18.7</v>
      </c>
      <c r="I413" s="15">
        <v>14991.72</v>
      </c>
      <c r="J413" s="13" t="s">
        <v>87</v>
      </c>
      <c r="K413" s="13" t="s">
        <v>94</v>
      </c>
      <c r="L413">
        <f>IF(COUNTIF(A$2:A413, A413)=1, IF(COUNTIF(A$2:A$2001, A413)&gt;1, 1, 0), 0)</f>
        <v>0</v>
      </c>
      <c r="M413" t="b">
        <f>VLOOKUP(D413, Products!A$2:F$61, 6, FALSE)</f>
        <v>1</v>
      </c>
      <c r="N413" t="str">
        <f>VLOOKUP(D413, Products!A$2:C$61, 3, FALSE)</f>
        <v>Home</v>
      </c>
      <c r="O413" t="str">
        <f>VLOOKUP(C413, Customers!A$2:E$301, 5, FALSE)</f>
        <v>Retail</v>
      </c>
      <c r="P413">
        <f>VLOOKUP(C413, Customers!A$2:C$301, 3, FALSE)</f>
        <v>32</v>
      </c>
      <c r="Q413" t="str">
        <f>VLOOKUP(E413, Sales_Reps!A$2:C$31, 3, FALSE)</f>
        <v>South</v>
      </c>
      <c r="R413">
        <f>VLOOKUP(D413, Products!A$2:D$61, 4, FALSE)</f>
        <v>1850</v>
      </c>
    </row>
    <row r="414" spans="1:18" x14ac:dyDescent="0.3">
      <c r="A414" s="13" t="s">
        <v>824</v>
      </c>
      <c r="B414" s="14">
        <v>45412</v>
      </c>
      <c r="C414" s="13" t="s">
        <v>559</v>
      </c>
      <c r="D414" s="13" t="s">
        <v>237</v>
      </c>
      <c r="E414" s="13" t="s">
        <v>303</v>
      </c>
      <c r="F414" s="15">
        <v>3</v>
      </c>
      <c r="G414" s="15">
        <v>3640</v>
      </c>
      <c r="H414" s="15">
        <v>9.6999999999999993</v>
      </c>
      <c r="I414" s="15">
        <v>9860.76</v>
      </c>
      <c r="J414" s="13" t="s">
        <v>140</v>
      </c>
      <c r="K414" s="13" t="s">
        <v>88</v>
      </c>
      <c r="L414">
        <f>IF(COUNTIF(A$2:A414, A414)=1, IF(COUNTIF(A$2:A$2001, A414)&gt;1, 1, 0), 0)</f>
        <v>0</v>
      </c>
      <c r="M414" t="b">
        <f>VLOOKUP(D414, Products!A$2:F$61, 6, FALSE)</f>
        <v>1</v>
      </c>
      <c r="N414" t="str">
        <f>VLOOKUP(D414, Products!A$2:C$61, 3, FALSE)</f>
        <v>Apparel</v>
      </c>
      <c r="O414" t="str">
        <f>VLOOKUP(C414, Customers!A$2:E$301, 5, FALSE)</f>
        <v>Retail</v>
      </c>
      <c r="P414">
        <f>VLOOKUP(C414, Customers!A$2:C$301, 3, FALSE)</f>
        <v>62</v>
      </c>
      <c r="Q414" t="str">
        <f>VLOOKUP(E414, Sales_Reps!A$2:C$31, 3, FALSE)</f>
        <v>East</v>
      </c>
      <c r="R414">
        <f>VLOOKUP(D414, Products!A$2:D$61, 4, FALSE)</f>
        <v>2611</v>
      </c>
    </row>
    <row r="415" spans="1:18" x14ac:dyDescent="0.3">
      <c r="A415" s="13" t="s">
        <v>825</v>
      </c>
      <c r="B415" s="14">
        <v>45448</v>
      </c>
      <c r="C415" s="13" t="s">
        <v>546</v>
      </c>
      <c r="D415" s="13" t="s">
        <v>173</v>
      </c>
      <c r="E415" s="13" t="s">
        <v>139</v>
      </c>
      <c r="F415" s="15">
        <v>6</v>
      </c>
      <c r="G415" s="15">
        <v>2720</v>
      </c>
      <c r="H415" s="15">
        <v>13</v>
      </c>
      <c r="I415" s="15">
        <v>14198.4</v>
      </c>
      <c r="J415" s="13" t="s">
        <v>93</v>
      </c>
      <c r="K415" s="13" t="s">
        <v>99</v>
      </c>
      <c r="L415">
        <f>IF(COUNTIF(A$2:A415, A415)=1, IF(COUNTIF(A$2:A$2001, A415)&gt;1, 1, 0), 0)</f>
        <v>0</v>
      </c>
      <c r="M415" t="b">
        <f>VLOOKUP(D415, Products!A$2:F$61, 6, FALSE)</f>
        <v>1</v>
      </c>
      <c r="N415" t="str">
        <f>VLOOKUP(D415, Products!A$2:C$61, 3, FALSE)</f>
        <v>Apparel</v>
      </c>
      <c r="O415" t="str">
        <f>VLOOKUP(C415, Customers!A$2:E$301, 5, FALSE)</f>
        <v>SMB</v>
      </c>
      <c r="P415">
        <f>VLOOKUP(C415, Customers!A$2:C$301, 3, FALSE)</f>
        <v>29</v>
      </c>
      <c r="Q415" t="str">
        <f>VLOOKUP(E415, Sales_Reps!A$2:C$31, 3, FALSE)</f>
        <v>North</v>
      </c>
      <c r="R415">
        <f>VLOOKUP(D415, Products!A$2:D$61, 4, FALSE)</f>
        <v>1962</v>
      </c>
    </row>
    <row r="416" spans="1:18" x14ac:dyDescent="0.3">
      <c r="A416" s="13" t="s">
        <v>826</v>
      </c>
      <c r="B416" s="14">
        <v>45644</v>
      </c>
      <c r="C416" s="13" t="s">
        <v>530</v>
      </c>
      <c r="D416" s="13" t="s">
        <v>461</v>
      </c>
      <c r="E416" s="13" t="s">
        <v>107</v>
      </c>
      <c r="F416" s="15">
        <v>5</v>
      </c>
      <c r="G416" s="15">
        <v>3780</v>
      </c>
      <c r="H416" s="15">
        <v>15.2</v>
      </c>
      <c r="I416" s="15">
        <v>16027.2</v>
      </c>
      <c r="J416" s="13" t="s">
        <v>87</v>
      </c>
      <c r="K416" s="13" t="s">
        <v>99</v>
      </c>
      <c r="L416">
        <f>IF(COUNTIF(A$2:A416, A416)=1, IF(COUNTIF(A$2:A$2001, A416)&gt;1, 1, 0), 0)</f>
        <v>0</v>
      </c>
      <c r="M416" t="b">
        <f>VLOOKUP(D416, Products!A$2:F$61, 6, FALSE)</f>
        <v>1</v>
      </c>
      <c r="N416" t="str">
        <f>VLOOKUP(D416, Products!A$2:C$61, 3, FALSE)</f>
        <v>Sports</v>
      </c>
      <c r="O416" t="str">
        <f>VLOOKUP(C416, Customers!A$2:E$301, 5, FALSE)</f>
        <v>Retail</v>
      </c>
      <c r="P416">
        <f>VLOOKUP(C416, Customers!A$2:C$301, 3, FALSE)</f>
        <v>45</v>
      </c>
      <c r="Q416" t="str">
        <f>VLOOKUP(E416, Sales_Reps!A$2:C$31, 3, FALSE)</f>
        <v>North</v>
      </c>
      <c r="R416">
        <f>VLOOKUP(D416, Products!A$2:D$61, 4, FALSE)</f>
        <v>1860</v>
      </c>
    </row>
    <row r="417" spans="1:18" x14ac:dyDescent="0.3">
      <c r="A417" s="13" t="s">
        <v>827</v>
      </c>
      <c r="B417" s="14">
        <v>45407</v>
      </c>
      <c r="C417" s="13" t="s">
        <v>828</v>
      </c>
      <c r="D417" s="13" t="s">
        <v>502</v>
      </c>
      <c r="E417" s="13" t="s">
        <v>170</v>
      </c>
      <c r="F417" s="15">
        <v>9</v>
      </c>
      <c r="G417" s="15">
        <v>1090</v>
      </c>
      <c r="H417" s="15">
        <v>28.5</v>
      </c>
      <c r="I417" s="15">
        <v>7014.15</v>
      </c>
      <c r="J417" s="13" t="s">
        <v>87</v>
      </c>
      <c r="K417" s="13" t="s">
        <v>133</v>
      </c>
      <c r="L417">
        <f>IF(COUNTIF(A$2:A417, A417)=1, IF(COUNTIF(A$2:A$2001, A417)&gt;1, 1, 0), 0)</f>
        <v>0</v>
      </c>
      <c r="M417" t="b">
        <f>VLOOKUP(D417, Products!A$2:F$61, 6, FALSE)</f>
        <v>1</v>
      </c>
      <c r="N417" t="str">
        <f>VLOOKUP(D417, Products!A$2:C$61, 3, FALSE)</f>
        <v>Home</v>
      </c>
      <c r="O417" t="str">
        <f>VLOOKUP(C417, Customers!A$2:E$301, 5, FALSE)</f>
        <v>Retail</v>
      </c>
      <c r="P417">
        <f>VLOOKUP(C417, Customers!A$2:C$301, 3, FALSE)</f>
        <v>52</v>
      </c>
      <c r="Q417" t="str">
        <f>VLOOKUP(E417, Sales_Reps!A$2:C$31, 3, FALSE)</f>
        <v>West</v>
      </c>
      <c r="R417">
        <f>VLOOKUP(D417, Products!A$2:D$61, 4, FALSE)</f>
        <v>464</v>
      </c>
    </row>
    <row r="418" spans="1:18" x14ac:dyDescent="0.3">
      <c r="A418" s="13" t="s">
        <v>829</v>
      </c>
      <c r="B418" s="14">
        <v>45581</v>
      </c>
      <c r="C418" s="13" t="s">
        <v>585</v>
      </c>
      <c r="D418" s="13" t="s">
        <v>502</v>
      </c>
      <c r="E418" s="13" t="s">
        <v>128</v>
      </c>
      <c r="F418" s="15">
        <v>6</v>
      </c>
      <c r="G418" s="15">
        <v>1090</v>
      </c>
      <c r="H418" s="15">
        <v>28.7</v>
      </c>
      <c r="I418" s="15">
        <v>4663.0200000000004</v>
      </c>
      <c r="J418" s="13" t="s">
        <v>87</v>
      </c>
      <c r="K418" s="13" t="s">
        <v>94</v>
      </c>
      <c r="L418">
        <f>IF(COUNTIF(A$2:A418, A418)=1, IF(COUNTIF(A$2:A$2001, A418)&gt;1, 1, 0), 0)</f>
        <v>0</v>
      </c>
      <c r="M418" t="b">
        <f>VLOOKUP(D418, Products!A$2:F$61, 6, FALSE)</f>
        <v>1</v>
      </c>
      <c r="N418" t="str">
        <f>VLOOKUP(D418, Products!A$2:C$61, 3, FALSE)</f>
        <v>Home</v>
      </c>
      <c r="O418" t="str">
        <f>VLOOKUP(C418, Customers!A$2:E$301, 5, FALSE)</f>
        <v>Retail</v>
      </c>
      <c r="P418">
        <f>VLOOKUP(C418, Customers!A$2:C$301, 3, FALSE)</f>
        <v>26</v>
      </c>
      <c r="Q418" t="str">
        <f>VLOOKUP(E418, Sales_Reps!A$2:C$31, 3, FALSE)</f>
        <v>West</v>
      </c>
      <c r="R418">
        <f>VLOOKUP(D418, Products!A$2:D$61, 4, FALSE)</f>
        <v>464</v>
      </c>
    </row>
    <row r="419" spans="1:18" x14ac:dyDescent="0.3">
      <c r="A419" s="13" t="s">
        <v>830</v>
      </c>
      <c r="B419" s="14">
        <v>45366</v>
      </c>
      <c r="C419" s="13" t="s">
        <v>613</v>
      </c>
      <c r="D419" s="13" t="s">
        <v>355</v>
      </c>
      <c r="E419" s="13" t="s">
        <v>170</v>
      </c>
      <c r="F419" s="15">
        <v>5</v>
      </c>
      <c r="G419" s="15">
        <v>2510</v>
      </c>
      <c r="H419" s="15">
        <v>25</v>
      </c>
      <c r="I419" s="15">
        <v>9412.5</v>
      </c>
      <c r="J419" s="13" t="s">
        <v>87</v>
      </c>
      <c r="K419" s="13" t="s">
        <v>112</v>
      </c>
      <c r="L419">
        <f>IF(COUNTIF(A$2:A419, A419)=1, IF(COUNTIF(A$2:A$2001, A419)&gt;1, 1, 0), 0)</f>
        <v>0</v>
      </c>
      <c r="M419" t="b">
        <f>VLOOKUP(D419, Products!A$2:F$61, 6, FALSE)</f>
        <v>0</v>
      </c>
      <c r="N419" t="str">
        <f>VLOOKUP(D419, Products!A$2:C$61, 3, FALSE)</f>
        <v>Apparel</v>
      </c>
      <c r="O419" t="str">
        <f>VLOOKUP(C419, Customers!A$2:E$301, 5, FALSE)</f>
        <v>Retail</v>
      </c>
      <c r="P419">
        <f>VLOOKUP(C419, Customers!A$2:C$301, 3, FALSE)</f>
        <v>44</v>
      </c>
      <c r="Q419" t="str">
        <f>VLOOKUP(E419, Sales_Reps!A$2:C$31, 3, FALSE)</f>
        <v>West</v>
      </c>
      <c r="R419">
        <f>VLOOKUP(D419, Products!A$2:D$61, 4, FALSE)</f>
        <v>1075</v>
      </c>
    </row>
    <row r="420" spans="1:18" x14ac:dyDescent="0.3">
      <c r="A420" s="13" t="s">
        <v>831</v>
      </c>
      <c r="B420" s="14">
        <v>45577</v>
      </c>
      <c r="C420" s="13" t="s">
        <v>373</v>
      </c>
      <c r="D420" s="13" t="s">
        <v>408</v>
      </c>
      <c r="E420" s="13" t="s">
        <v>132</v>
      </c>
      <c r="F420" s="15">
        <v>5</v>
      </c>
      <c r="G420" s="15">
        <v>3970</v>
      </c>
      <c r="H420" s="15">
        <v>26</v>
      </c>
      <c r="I420" s="15">
        <v>14689</v>
      </c>
      <c r="J420" s="13" t="s">
        <v>87</v>
      </c>
      <c r="K420" s="13" t="s">
        <v>88</v>
      </c>
      <c r="L420">
        <f>IF(COUNTIF(A$2:A420, A420)=1, IF(COUNTIF(A$2:A$2001, A420)&gt;1, 1, 0), 0)</f>
        <v>0</v>
      </c>
      <c r="M420" t="b">
        <f>VLOOKUP(D420, Products!A$2:F$61, 6, FALSE)</f>
        <v>1</v>
      </c>
      <c r="N420" t="str">
        <f>VLOOKUP(D420, Products!A$2:C$61, 3, FALSE)</f>
        <v>Electronics</v>
      </c>
      <c r="O420" t="str">
        <f>VLOOKUP(C420, Customers!A$2:E$301, 5, FALSE)</f>
        <v>Retail</v>
      </c>
      <c r="P420">
        <f>VLOOKUP(C420, Customers!A$2:C$301, 3, FALSE)</f>
        <v>43</v>
      </c>
      <c r="Q420" t="str">
        <f>VLOOKUP(E420, Sales_Reps!A$2:C$31, 3, FALSE)</f>
        <v>South</v>
      </c>
      <c r="R420">
        <f>VLOOKUP(D420, Products!A$2:D$61, 4, FALSE)</f>
        <v>2865</v>
      </c>
    </row>
    <row r="421" spans="1:18" x14ac:dyDescent="0.3">
      <c r="A421" s="13" t="s">
        <v>832</v>
      </c>
      <c r="B421" s="14">
        <v>45333</v>
      </c>
      <c r="C421" s="13" t="s">
        <v>528</v>
      </c>
      <c r="D421" s="13" t="s">
        <v>264</v>
      </c>
      <c r="E421" s="13" t="s">
        <v>215</v>
      </c>
      <c r="F421" s="15">
        <v>9</v>
      </c>
      <c r="G421" s="15">
        <v>4070</v>
      </c>
      <c r="H421" s="15">
        <v>15.7</v>
      </c>
      <c r="I421" s="15">
        <v>30879.09</v>
      </c>
      <c r="J421" s="13" t="s">
        <v>87</v>
      </c>
      <c r="K421" s="13" t="s">
        <v>112</v>
      </c>
      <c r="L421">
        <f>IF(COUNTIF(A$2:A421, A421)=1, IF(COUNTIF(A$2:A$2001, A421)&gt;1, 1, 0), 0)</f>
        <v>0</v>
      </c>
      <c r="M421" t="b">
        <f>VLOOKUP(D421, Products!A$2:F$61, 6, FALSE)</f>
        <v>1</v>
      </c>
      <c r="N421" t="str">
        <f>VLOOKUP(D421, Products!A$2:C$61, 3, FALSE)</f>
        <v>Grocery</v>
      </c>
      <c r="O421" t="str">
        <f>VLOOKUP(C421, Customers!A$2:E$301, 5, FALSE)</f>
        <v>Retail</v>
      </c>
      <c r="P421">
        <f>VLOOKUP(C421, Customers!A$2:C$301, 3, FALSE)</f>
        <v>44</v>
      </c>
      <c r="Q421" t="str">
        <f>VLOOKUP(E421, Sales_Reps!A$2:C$31, 3, FALSE)</f>
        <v>North</v>
      </c>
      <c r="R421">
        <f>VLOOKUP(D421, Products!A$2:D$61, 4, FALSE)</f>
        <v>2027</v>
      </c>
    </row>
    <row r="422" spans="1:18" x14ac:dyDescent="0.3">
      <c r="A422" s="13" t="s">
        <v>833</v>
      </c>
      <c r="B422" s="14">
        <v>45418</v>
      </c>
      <c r="C422" s="13" t="s">
        <v>254</v>
      </c>
      <c r="D422" s="13" t="s">
        <v>124</v>
      </c>
      <c r="E422" s="13" t="s">
        <v>139</v>
      </c>
      <c r="F422" s="15">
        <v>6</v>
      </c>
      <c r="G422" s="15">
        <v>5490</v>
      </c>
      <c r="H422" s="15">
        <v>8.5</v>
      </c>
      <c r="I422" s="15">
        <v>30140.1</v>
      </c>
      <c r="J422" s="13" t="s">
        <v>144</v>
      </c>
      <c r="K422" s="13" t="s">
        <v>94</v>
      </c>
      <c r="L422">
        <f>IF(COUNTIF(A$2:A422, A422)=1, IF(COUNTIF(A$2:A$2001, A422)&gt;1, 1, 0), 0)</f>
        <v>0</v>
      </c>
      <c r="M422" t="b">
        <f>VLOOKUP(D422, Products!A$2:F$61, 6, FALSE)</f>
        <v>1</v>
      </c>
      <c r="N422" t="str">
        <f>VLOOKUP(D422, Products!A$2:C$61, 3, FALSE)</f>
        <v>Home</v>
      </c>
      <c r="O422" t="str">
        <f>VLOOKUP(C422, Customers!A$2:E$301, 5, FALSE)</f>
        <v>Retail</v>
      </c>
      <c r="P422">
        <f>VLOOKUP(C422, Customers!A$2:C$301, 3, FALSE)</f>
        <v>24</v>
      </c>
      <c r="Q422" t="str">
        <f>VLOOKUP(E422, Sales_Reps!A$2:C$31, 3, FALSE)</f>
        <v>North</v>
      </c>
      <c r="R422">
        <f>VLOOKUP(D422, Products!A$2:D$61, 4, FALSE)</f>
        <v>2549</v>
      </c>
    </row>
    <row r="423" spans="1:18" x14ac:dyDescent="0.3">
      <c r="A423" s="13" t="s">
        <v>834</v>
      </c>
      <c r="B423" s="14">
        <v>45615</v>
      </c>
      <c r="C423" s="13" t="s">
        <v>835</v>
      </c>
      <c r="D423" s="13" t="s">
        <v>182</v>
      </c>
      <c r="E423" s="13" t="s">
        <v>285</v>
      </c>
      <c r="F423" s="15">
        <v>9</v>
      </c>
      <c r="G423" s="15">
        <v>1010</v>
      </c>
      <c r="H423" s="15">
        <v>3.6</v>
      </c>
      <c r="I423" s="15">
        <v>8762.76</v>
      </c>
      <c r="J423" s="13" t="s">
        <v>87</v>
      </c>
      <c r="K423" s="13" t="s">
        <v>117</v>
      </c>
      <c r="L423">
        <f>IF(COUNTIF(A$2:A423, A423)=1, IF(COUNTIF(A$2:A$2001, A423)&gt;1, 1, 0), 0)</f>
        <v>0</v>
      </c>
      <c r="M423" t="b">
        <f>VLOOKUP(D423, Products!A$2:F$61, 6, FALSE)</f>
        <v>1</v>
      </c>
      <c r="N423" t="str">
        <f>VLOOKUP(D423, Products!A$2:C$61, 3, FALSE)</f>
        <v>Sports</v>
      </c>
      <c r="O423" t="str">
        <f>VLOOKUP(C423, Customers!A$2:E$301, 5, FALSE)</f>
        <v>Retail</v>
      </c>
      <c r="P423">
        <f>VLOOKUP(C423, Customers!A$2:C$301, 3, FALSE)</f>
        <v>52</v>
      </c>
      <c r="Q423" t="str">
        <f>VLOOKUP(E423, Sales_Reps!A$2:C$31, 3, FALSE)</f>
        <v>East</v>
      </c>
      <c r="R423">
        <f>VLOOKUP(D423, Products!A$2:D$61, 4, FALSE)</f>
        <v>516</v>
      </c>
    </row>
    <row r="424" spans="1:18" x14ac:dyDescent="0.3">
      <c r="A424" s="13" t="s">
        <v>836</v>
      </c>
      <c r="B424" s="14">
        <v>45631</v>
      </c>
      <c r="C424" s="13" t="s">
        <v>837</v>
      </c>
      <c r="D424" s="13" t="s">
        <v>102</v>
      </c>
      <c r="E424" s="13" t="s">
        <v>107</v>
      </c>
      <c r="F424" s="15">
        <v>6</v>
      </c>
      <c r="G424" s="15">
        <v>3660</v>
      </c>
      <c r="H424" s="15">
        <v>10.8</v>
      </c>
      <c r="I424" s="15">
        <v>19588.32</v>
      </c>
      <c r="J424" s="13" t="s">
        <v>87</v>
      </c>
      <c r="K424" s="13" t="s">
        <v>117</v>
      </c>
      <c r="L424">
        <f>IF(COUNTIF(A$2:A424, A424)=1, IF(COUNTIF(A$2:A$2001, A424)&gt;1, 1, 0), 0)</f>
        <v>0</v>
      </c>
      <c r="M424" t="b">
        <f>VLOOKUP(D424, Products!A$2:F$61, 6, FALSE)</f>
        <v>0</v>
      </c>
      <c r="N424" t="str">
        <f>VLOOKUP(D424, Products!A$2:C$61, 3, FALSE)</f>
        <v>Grocery</v>
      </c>
      <c r="O424" t="str">
        <f>VLOOKUP(C424, Customers!A$2:E$301, 5, FALSE)</f>
        <v>Retail</v>
      </c>
      <c r="P424">
        <f>VLOOKUP(C424, Customers!A$2:C$301, 3, FALSE)</f>
        <v>37</v>
      </c>
      <c r="Q424" t="str">
        <f>VLOOKUP(E424, Sales_Reps!A$2:C$31, 3, FALSE)</f>
        <v>North</v>
      </c>
      <c r="R424">
        <f>VLOOKUP(D424, Products!A$2:D$61, 4, FALSE)</f>
        <v>2214</v>
      </c>
    </row>
    <row r="425" spans="1:18" x14ac:dyDescent="0.3">
      <c r="A425" s="13" t="s">
        <v>838</v>
      </c>
      <c r="B425" s="14">
        <v>45524</v>
      </c>
      <c r="C425" s="13" t="s">
        <v>413</v>
      </c>
      <c r="D425" s="13" t="s">
        <v>157</v>
      </c>
      <c r="E425" s="13" t="s">
        <v>346</v>
      </c>
      <c r="F425" s="15">
        <v>6</v>
      </c>
      <c r="G425" s="15">
        <v>3450</v>
      </c>
      <c r="H425" s="15">
        <v>10.7</v>
      </c>
      <c r="I425" s="15">
        <v>18485.099999999999</v>
      </c>
      <c r="J425" s="13" t="s">
        <v>87</v>
      </c>
      <c r="K425" s="13" t="s">
        <v>88</v>
      </c>
      <c r="L425">
        <f>IF(COUNTIF(A$2:A425, A425)=1, IF(COUNTIF(A$2:A$2001, A425)&gt;1, 1, 0), 0)</f>
        <v>0</v>
      </c>
      <c r="M425" t="b">
        <f>VLOOKUP(D425, Products!A$2:F$61, 6, FALSE)</f>
        <v>1</v>
      </c>
      <c r="N425" t="str">
        <f>VLOOKUP(D425, Products!A$2:C$61, 3, FALSE)</f>
        <v>Beauty</v>
      </c>
      <c r="O425" t="str">
        <f>VLOOKUP(C425, Customers!A$2:E$301, 5, FALSE)</f>
        <v>Retail</v>
      </c>
      <c r="P425">
        <f>VLOOKUP(C425, Customers!A$2:C$301, 3, FALSE)</f>
        <v>22</v>
      </c>
      <c r="Q425" t="str">
        <f>VLOOKUP(E425, Sales_Reps!A$2:C$31, 3, FALSE)</f>
        <v>South</v>
      </c>
      <c r="R425">
        <f>VLOOKUP(D425, Products!A$2:D$61, 4, FALSE)</f>
        <v>2420</v>
      </c>
    </row>
    <row r="426" spans="1:18" x14ac:dyDescent="0.3">
      <c r="A426" s="13" t="s">
        <v>839</v>
      </c>
      <c r="B426" s="14">
        <v>45379</v>
      </c>
      <c r="C426" s="13" t="s">
        <v>225</v>
      </c>
      <c r="D426" s="13" t="s">
        <v>264</v>
      </c>
      <c r="E426" s="13" t="s">
        <v>273</v>
      </c>
      <c r="F426" s="15">
        <v>10</v>
      </c>
      <c r="G426" s="15">
        <v>4070</v>
      </c>
      <c r="H426" s="15">
        <v>23.4</v>
      </c>
      <c r="I426" s="15">
        <v>31176.2</v>
      </c>
      <c r="J426" s="13" t="s">
        <v>144</v>
      </c>
      <c r="K426" s="13" t="s">
        <v>94</v>
      </c>
      <c r="L426">
        <f>IF(COUNTIF(A$2:A426, A426)=1, IF(COUNTIF(A$2:A$2001, A426)&gt;1, 1, 0), 0)</f>
        <v>0</v>
      </c>
      <c r="M426" t="b">
        <f>VLOOKUP(D426, Products!A$2:F$61, 6, FALSE)</f>
        <v>1</v>
      </c>
      <c r="N426" t="str">
        <f>VLOOKUP(D426, Products!A$2:C$61, 3, FALSE)</f>
        <v>Grocery</v>
      </c>
      <c r="O426" t="str">
        <f>VLOOKUP(C426, Customers!A$2:E$301, 5, FALSE)</f>
        <v>Retail</v>
      </c>
      <c r="P426">
        <f>VLOOKUP(C426, Customers!A$2:C$301, 3, FALSE)</f>
        <v>37</v>
      </c>
      <c r="Q426" t="str">
        <f>VLOOKUP(E426, Sales_Reps!A$2:C$31, 3, FALSE)</f>
        <v>South</v>
      </c>
      <c r="R426">
        <f>VLOOKUP(D426, Products!A$2:D$61, 4, FALSE)</f>
        <v>2027</v>
      </c>
    </row>
    <row r="427" spans="1:18" x14ac:dyDescent="0.3">
      <c r="A427" s="13" t="s">
        <v>840</v>
      </c>
      <c r="B427" s="14">
        <v>45454</v>
      </c>
      <c r="C427" s="13" t="s">
        <v>841</v>
      </c>
      <c r="D427" s="13" t="s">
        <v>187</v>
      </c>
      <c r="E427" s="13" t="s">
        <v>111</v>
      </c>
      <c r="F427" s="15">
        <v>9</v>
      </c>
      <c r="G427" s="15">
        <v>3570</v>
      </c>
      <c r="H427" s="15">
        <v>15.2</v>
      </c>
      <c r="I427" s="15">
        <v>27246.240000000002</v>
      </c>
      <c r="J427" s="13" t="s">
        <v>87</v>
      </c>
      <c r="K427" s="13" t="s">
        <v>117</v>
      </c>
      <c r="L427">
        <f>IF(COUNTIF(A$2:A427, A427)=1, IF(COUNTIF(A$2:A$2001, A427)&gt;1, 1, 0), 0)</f>
        <v>0</v>
      </c>
      <c r="M427" t="b">
        <f>VLOOKUP(D427, Products!A$2:F$61, 6, FALSE)</f>
        <v>1</v>
      </c>
      <c r="N427" t="str">
        <f>VLOOKUP(D427, Products!A$2:C$61, 3, FALSE)</f>
        <v>Electronics</v>
      </c>
      <c r="O427" t="str">
        <f>VLOOKUP(C427, Customers!A$2:E$301, 5, FALSE)</f>
        <v>Corporate</v>
      </c>
      <c r="P427">
        <f>VLOOKUP(C427, Customers!A$2:C$301, 3, FALSE)</f>
        <v>41</v>
      </c>
      <c r="Q427" t="str">
        <f>VLOOKUP(E427, Sales_Reps!A$2:C$31, 3, FALSE)</f>
        <v>West</v>
      </c>
      <c r="R427">
        <f>VLOOKUP(D427, Products!A$2:D$61, 4, FALSE)</f>
        <v>1665</v>
      </c>
    </row>
    <row r="428" spans="1:18" x14ac:dyDescent="0.3">
      <c r="A428" s="13" t="s">
        <v>842</v>
      </c>
      <c r="B428" s="14">
        <v>45562</v>
      </c>
      <c r="C428" s="13" t="s">
        <v>119</v>
      </c>
      <c r="D428" s="13" t="s">
        <v>515</v>
      </c>
      <c r="E428" s="13" t="s">
        <v>92</v>
      </c>
      <c r="F428" s="15">
        <v>10</v>
      </c>
      <c r="G428" s="15">
        <v>6940</v>
      </c>
      <c r="H428" s="15">
        <v>21.8</v>
      </c>
      <c r="I428" s="15">
        <v>54270.8</v>
      </c>
      <c r="J428" s="13" t="s">
        <v>93</v>
      </c>
      <c r="K428" s="13" t="s">
        <v>117</v>
      </c>
      <c r="L428">
        <f>IF(COUNTIF(A$2:A428, A428)=1, IF(COUNTIF(A$2:A$2001, A428)&gt;1, 1, 0), 0)</f>
        <v>0</v>
      </c>
      <c r="M428" t="b">
        <f>VLOOKUP(D428, Products!A$2:F$61, 6, FALSE)</f>
        <v>1</v>
      </c>
      <c r="N428" t="str">
        <f>VLOOKUP(D428, Products!A$2:C$61, 3, FALSE)</f>
        <v>Sports</v>
      </c>
      <c r="O428" t="str">
        <f>VLOOKUP(C428, Customers!A$2:E$301, 5, FALSE)</f>
        <v>Corporate</v>
      </c>
      <c r="P428">
        <f>VLOOKUP(C428, Customers!A$2:C$301, 3, FALSE)</f>
        <v>57</v>
      </c>
      <c r="Q428" t="str">
        <f>VLOOKUP(E428, Sales_Reps!A$2:C$31, 3, FALSE)</f>
        <v>North</v>
      </c>
      <c r="R428">
        <f>VLOOKUP(D428, Products!A$2:D$61, 4, FALSE)</f>
        <v>2827</v>
      </c>
    </row>
    <row r="429" spans="1:18" x14ac:dyDescent="0.3">
      <c r="A429" s="13" t="s">
        <v>843</v>
      </c>
      <c r="B429" s="14">
        <v>45489</v>
      </c>
      <c r="C429" s="13" t="s">
        <v>316</v>
      </c>
      <c r="D429" s="13" t="s">
        <v>176</v>
      </c>
      <c r="E429" s="13" t="s">
        <v>98</v>
      </c>
      <c r="F429" s="15">
        <v>9</v>
      </c>
      <c r="G429" s="15">
        <v>1650</v>
      </c>
      <c r="H429" s="15">
        <v>24.3</v>
      </c>
      <c r="I429" s="15">
        <v>11241.45</v>
      </c>
      <c r="J429" s="13" t="s">
        <v>87</v>
      </c>
      <c r="K429" s="13" t="s">
        <v>88</v>
      </c>
      <c r="L429">
        <f>IF(COUNTIF(A$2:A429, A429)=1, IF(COUNTIF(A$2:A$2001, A429)&gt;1, 1, 0), 0)</f>
        <v>0</v>
      </c>
      <c r="M429" t="b">
        <f>VLOOKUP(D429, Products!A$2:F$61, 6, FALSE)</f>
        <v>1</v>
      </c>
      <c r="N429" t="str">
        <f>VLOOKUP(D429, Products!A$2:C$61, 3, FALSE)</f>
        <v>Beauty</v>
      </c>
      <c r="O429" t="str">
        <f>VLOOKUP(C429, Customers!A$2:E$301, 5, FALSE)</f>
        <v>SMB</v>
      </c>
      <c r="P429">
        <f>VLOOKUP(C429, Customers!A$2:C$301, 3, FALSE)</f>
        <v>60</v>
      </c>
      <c r="Q429" t="str">
        <f>VLOOKUP(E429, Sales_Reps!A$2:C$31, 3, FALSE)</f>
        <v>South</v>
      </c>
      <c r="R429">
        <f>VLOOKUP(D429, Products!A$2:D$61, 4, FALSE)</f>
        <v>1222</v>
      </c>
    </row>
    <row r="430" spans="1:18" x14ac:dyDescent="0.3">
      <c r="A430" s="13" t="s">
        <v>844</v>
      </c>
      <c r="B430" s="14">
        <v>45624</v>
      </c>
      <c r="C430" s="13" t="s">
        <v>567</v>
      </c>
      <c r="D430" s="13" t="s">
        <v>120</v>
      </c>
      <c r="E430" s="13" t="s">
        <v>98</v>
      </c>
      <c r="F430" s="15">
        <v>10</v>
      </c>
      <c r="G430" s="15">
        <v>1430</v>
      </c>
      <c r="H430" s="15">
        <v>25.2</v>
      </c>
      <c r="I430" s="15">
        <v>10696.4</v>
      </c>
      <c r="J430" s="13" t="s">
        <v>87</v>
      </c>
      <c r="K430" s="13" t="s">
        <v>117</v>
      </c>
      <c r="L430">
        <f>IF(COUNTIF(A$2:A430, A430)=1, IF(COUNTIF(A$2:A$2001, A430)&gt;1, 1, 0), 0)</f>
        <v>0</v>
      </c>
      <c r="M430" t="b">
        <f>VLOOKUP(D430, Products!A$2:F$61, 6, FALSE)</f>
        <v>1</v>
      </c>
      <c r="N430" t="str">
        <f>VLOOKUP(D430, Products!A$2:C$61, 3, FALSE)</f>
        <v>Electronics</v>
      </c>
      <c r="O430" t="str">
        <f>VLOOKUP(C430, Customers!A$2:E$301, 5, FALSE)</f>
        <v>Corporate</v>
      </c>
      <c r="P430">
        <f>VLOOKUP(C430, Customers!A$2:C$301, 3, FALSE)</f>
        <v>41</v>
      </c>
      <c r="Q430" t="str">
        <f>VLOOKUP(E430, Sales_Reps!A$2:C$31, 3, FALSE)</f>
        <v>South</v>
      </c>
      <c r="R430">
        <f>VLOOKUP(D430, Products!A$2:D$61, 4, FALSE)</f>
        <v>861</v>
      </c>
    </row>
    <row r="431" spans="1:18" x14ac:dyDescent="0.3">
      <c r="A431" s="13" t="s">
        <v>845</v>
      </c>
      <c r="B431" s="14">
        <v>45480</v>
      </c>
      <c r="C431" s="13" t="s">
        <v>624</v>
      </c>
      <c r="D431" s="13" t="s">
        <v>351</v>
      </c>
      <c r="E431" s="13" t="s">
        <v>132</v>
      </c>
      <c r="F431" s="15">
        <v>4</v>
      </c>
      <c r="G431" s="15">
        <v>4060</v>
      </c>
      <c r="H431" s="15">
        <v>1.6</v>
      </c>
      <c r="I431" s="15">
        <v>15980.16</v>
      </c>
      <c r="J431" s="13" t="s">
        <v>87</v>
      </c>
      <c r="K431" s="13" t="s">
        <v>88</v>
      </c>
      <c r="L431">
        <f>IF(COUNTIF(A$2:A431, A431)=1, IF(COUNTIF(A$2:A$2001, A431)&gt;1, 1, 0), 0)</f>
        <v>0</v>
      </c>
      <c r="M431" t="b">
        <f>VLOOKUP(D431, Products!A$2:F$61, 6, FALSE)</f>
        <v>1</v>
      </c>
      <c r="N431" t="str">
        <f>VLOOKUP(D431, Products!A$2:C$61, 3, FALSE)</f>
        <v>Grocery</v>
      </c>
      <c r="O431" t="str">
        <f>VLOOKUP(C431, Customers!A$2:E$301, 5, FALSE)</f>
        <v>Corporate</v>
      </c>
      <c r="P431">
        <f>VLOOKUP(C431, Customers!A$2:C$301, 3, FALSE)</f>
        <v>31</v>
      </c>
      <c r="Q431" t="str">
        <f>VLOOKUP(E431, Sales_Reps!A$2:C$31, 3, FALSE)</f>
        <v>South</v>
      </c>
      <c r="R431">
        <f>VLOOKUP(D431, Products!A$2:D$61, 4, FALSE)</f>
        <v>2911</v>
      </c>
    </row>
    <row r="432" spans="1:18" x14ac:dyDescent="0.3">
      <c r="A432" s="13" t="s">
        <v>846</v>
      </c>
      <c r="B432" s="14">
        <v>45420</v>
      </c>
      <c r="C432" s="13" t="s">
        <v>606</v>
      </c>
      <c r="D432" s="13" t="s">
        <v>110</v>
      </c>
      <c r="E432" s="13" t="s">
        <v>92</v>
      </c>
      <c r="F432" s="15">
        <v>9</v>
      </c>
      <c r="G432" s="15">
        <v>370</v>
      </c>
      <c r="H432" s="15">
        <v>17</v>
      </c>
      <c r="I432" s="15">
        <v>2763.9</v>
      </c>
      <c r="J432" s="13" t="s">
        <v>87</v>
      </c>
      <c r="K432" s="13" t="s">
        <v>112</v>
      </c>
      <c r="L432">
        <f>IF(COUNTIF(A$2:A432, A432)=1, IF(COUNTIF(A$2:A$2001, A432)&gt;1, 1, 0), 0)</f>
        <v>0</v>
      </c>
      <c r="M432" t="b">
        <f>VLOOKUP(D432, Products!A$2:F$61, 6, FALSE)</f>
        <v>1</v>
      </c>
      <c r="N432" t="str">
        <f>VLOOKUP(D432, Products!A$2:C$61, 3, FALSE)</f>
        <v>Home</v>
      </c>
      <c r="O432" t="str">
        <f>VLOOKUP(C432, Customers!A$2:E$301, 5, FALSE)</f>
        <v>Retail</v>
      </c>
      <c r="P432">
        <f>VLOOKUP(C432, Customers!A$2:C$301, 3, FALSE)</f>
        <v>52</v>
      </c>
      <c r="Q432" t="str">
        <f>VLOOKUP(E432, Sales_Reps!A$2:C$31, 3, FALSE)</f>
        <v>North</v>
      </c>
      <c r="R432">
        <f>VLOOKUP(D432, Products!A$2:D$61, 4, FALSE)</f>
        <v>288</v>
      </c>
    </row>
    <row r="433" spans="1:18" x14ac:dyDescent="0.3">
      <c r="A433" s="13" t="s">
        <v>847</v>
      </c>
      <c r="B433" s="14">
        <v>45322</v>
      </c>
      <c r="C433" s="13" t="s">
        <v>703</v>
      </c>
      <c r="D433" s="13" t="s">
        <v>259</v>
      </c>
      <c r="E433" s="13" t="s">
        <v>132</v>
      </c>
      <c r="F433" s="15">
        <v>1</v>
      </c>
      <c r="G433" s="15">
        <v>1540</v>
      </c>
      <c r="H433" s="15">
        <v>24</v>
      </c>
      <c r="I433" s="15">
        <v>1170.4000000000001</v>
      </c>
      <c r="J433" s="13" t="s">
        <v>140</v>
      </c>
      <c r="K433" s="13" t="s">
        <v>88</v>
      </c>
      <c r="L433">
        <f>IF(COUNTIF(A$2:A433, A433)=1, IF(COUNTIF(A$2:A$2001, A433)&gt;1, 1, 0), 0)</f>
        <v>0</v>
      </c>
      <c r="M433" t="b">
        <f>VLOOKUP(D433, Products!A$2:F$61, 6, FALSE)</f>
        <v>0</v>
      </c>
      <c r="N433" t="str">
        <f>VLOOKUP(D433, Products!A$2:C$61, 3, FALSE)</f>
        <v>Beauty</v>
      </c>
      <c r="O433" t="str">
        <f>VLOOKUP(C433, Customers!A$2:E$301, 5, FALSE)</f>
        <v>Corporate</v>
      </c>
      <c r="P433">
        <f>VLOOKUP(C433, Customers!A$2:C$301, 3, FALSE)</f>
        <v>52</v>
      </c>
      <c r="Q433" t="str">
        <f>VLOOKUP(E433, Sales_Reps!A$2:C$31, 3, FALSE)</f>
        <v>South</v>
      </c>
      <c r="R433">
        <f>VLOOKUP(D433, Products!A$2:D$61, 4, FALSE)</f>
        <v>647</v>
      </c>
    </row>
    <row r="434" spans="1:18" x14ac:dyDescent="0.3">
      <c r="A434" s="13" t="s">
        <v>848</v>
      </c>
      <c r="B434" s="14">
        <v>45382</v>
      </c>
      <c r="C434" s="13" t="s">
        <v>563</v>
      </c>
      <c r="D434" s="13" t="s">
        <v>138</v>
      </c>
      <c r="E434" s="13" t="s">
        <v>111</v>
      </c>
      <c r="F434" s="15">
        <v>9</v>
      </c>
      <c r="G434" s="15">
        <v>2600</v>
      </c>
      <c r="H434" s="15">
        <v>7.7</v>
      </c>
      <c r="I434" s="15">
        <v>21598.2</v>
      </c>
      <c r="J434" s="13" t="s">
        <v>87</v>
      </c>
      <c r="K434" s="13" t="s">
        <v>88</v>
      </c>
      <c r="L434">
        <f>IF(COUNTIF(A$2:A434, A434)=1, IF(COUNTIF(A$2:A$2001, A434)&gt;1, 1, 0), 0)</f>
        <v>0</v>
      </c>
      <c r="M434" t="b">
        <f>VLOOKUP(D434, Products!A$2:F$61, 6, FALSE)</f>
        <v>1</v>
      </c>
      <c r="N434" t="str">
        <f>VLOOKUP(D434, Products!A$2:C$61, 3, FALSE)</f>
        <v>Electronics</v>
      </c>
      <c r="O434" t="str">
        <f>VLOOKUP(C434, Customers!A$2:E$301, 5, FALSE)</f>
        <v>SMB</v>
      </c>
      <c r="P434">
        <f>VLOOKUP(C434, Customers!A$2:C$301, 3, FALSE)</f>
        <v>24</v>
      </c>
      <c r="Q434" t="str">
        <f>VLOOKUP(E434, Sales_Reps!A$2:C$31, 3, FALSE)</f>
        <v>West</v>
      </c>
      <c r="R434">
        <f>VLOOKUP(D434, Products!A$2:D$61, 4, FALSE)</f>
        <v>1052</v>
      </c>
    </row>
    <row r="435" spans="1:18" x14ac:dyDescent="0.3">
      <c r="A435" s="13" t="s">
        <v>849</v>
      </c>
      <c r="B435" s="14">
        <v>45497</v>
      </c>
      <c r="C435" s="13" t="s">
        <v>850</v>
      </c>
      <c r="D435" s="13" t="s">
        <v>355</v>
      </c>
      <c r="E435" s="13" t="s">
        <v>188</v>
      </c>
      <c r="F435" s="15">
        <v>8</v>
      </c>
      <c r="G435" s="15">
        <v>2510</v>
      </c>
      <c r="H435" s="15">
        <v>3.7</v>
      </c>
      <c r="I435" s="15">
        <v>19337.04</v>
      </c>
      <c r="J435" s="13" t="s">
        <v>87</v>
      </c>
      <c r="K435" s="13" t="s">
        <v>94</v>
      </c>
      <c r="L435">
        <f>IF(COUNTIF(A$2:A435, A435)=1, IF(COUNTIF(A$2:A$2001, A435)&gt;1, 1, 0), 0)</f>
        <v>0</v>
      </c>
      <c r="M435" t="b">
        <f>VLOOKUP(D435, Products!A$2:F$61, 6, FALSE)</f>
        <v>0</v>
      </c>
      <c r="N435" t="str">
        <f>VLOOKUP(D435, Products!A$2:C$61, 3, FALSE)</f>
        <v>Apparel</v>
      </c>
      <c r="O435" t="str">
        <f>VLOOKUP(C435, Customers!A$2:E$301, 5, FALSE)</f>
        <v>SMB</v>
      </c>
      <c r="P435">
        <f>VLOOKUP(C435, Customers!A$2:C$301, 3, FALSE)</f>
        <v>26</v>
      </c>
      <c r="Q435" t="str">
        <f>VLOOKUP(E435, Sales_Reps!A$2:C$31, 3, FALSE)</f>
        <v>South</v>
      </c>
      <c r="R435">
        <f>VLOOKUP(D435, Products!A$2:D$61, 4, FALSE)</f>
        <v>1075</v>
      </c>
    </row>
    <row r="436" spans="1:18" x14ac:dyDescent="0.3">
      <c r="A436" s="13" t="s">
        <v>851</v>
      </c>
      <c r="B436" s="14">
        <v>45510</v>
      </c>
      <c r="C436" s="13" t="s">
        <v>624</v>
      </c>
      <c r="D436" s="13" t="s">
        <v>364</v>
      </c>
      <c r="E436" s="13" t="s">
        <v>148</v>
      </c>
      <c r="F436" s="15">
        <v>6</v>
      </c>
      <c r="G436" s="15">
        <v>5330</v>
      </c>
      <c r="H436" s="15">
        <v>8.4</v>
      </c>
      <c r="I436" s="15">
        <v>29293.68</v>
      </c>
      <c r="J436" s="13" t="s">
        <v>87</v>
      </c>
      <c r="K436" s="13" t="s">
        <v>88</v>
      </c>
      <c r="L436">
        <f>IF(COUNTIF(A$2:A436, A436)=1, IF(COUNTIF(A$2:A$2001, A436)&gt;1, 1, 0), 0)</f>
        <v>0</v>
      </c>
      <c r="M436" t="b">
        <f>VLOOKUP(D436, Products!A$2:F$61, 6, FALSE)</f>
        <v>1</v>
      </c>
      <c r="N436" t="str">
        <f>VLOOKUP(D436, Products!A$2:C$61, 3, FALSE)</f>
        <v>Electronics</v>
      </c>
      <c r="O436" t="str">
        <f>VLOOKUP(C436, Customers!A$2:E$301, 5, FALSE)</f>
        <v>Corporate</v>
      </c>
      <c r="P436">
        <f>VLOOKUP(C436, Customers!A$2:C$301, 3, FALSE)</f>
        <v>31</v>
      </c>
      <c r="Q436" t="str">
        <f>VLOOKUP(E436, Sales_Reps!A$2:C$31, 3, FALSE)</f>
        <v>North</v>
      </c>
      <c r="R436">
        <f>VLOOKUP(D436, Products!A$2:D$61, 4, FALSE)</f>
        <v>2405</v>
      </c>
    </row>
    <row r="437" spans="1:18" x14ac:dyDescent="0.3">
      <c r="A437" s="13" t="s">
        <v>852</v>
      </c>
      <c r="B437" s="14">
        <v>45522</v>
      </c>
      <c r="C437" s="13" t="s">
        <v>429</v>
      </c>
      <c r="D437" s="13" t="s">
        <v>443</v>
      </c>
      <c r="E437" s="13" t="s">
        <v>98</v>
      </c>
      <c r="F437" s="15">
        <v>5</v>
      </c>
      <c r="G437" s="15">
        <v>5080</v>
      </c>
      <c r="H437" s="15">
        <v>10.3</v>
      </c>
      <c r="I437" s="15">
        <v>22783.8</v>
      </c>
      <c r="J437" s="13" t="s">
        <v>87</v>
      </c>
      <c r="K437" s="13" t="s">
        <v>117</v>
      </c>
      <c r="L437">
        <f>IF(COUNTIF(A$2:A437, A437)=1, IF(COUNTIF(A$2:A$2001, A437)&gt;1, 1, 0), 0)</f>
        <v>0</v>
      </c>
      <c r="M437" t="b">
        <f>VLOOKUP(D437, Products!A$2:F$61, 6, FALSE)</f>
        <v>1</v>
      </c>
      <c r="N437" t="str">
        <f>VLOOKUP(D437, Products!A$2:C$61, 3, FALSE)</f>
        <v>Home</v>
      </c>
      <c r="O437" t="str">
        <f>VLOOKUP(C437, Customers!A$2:E$301, 5, FALSE)</f>
        <v>Retail</v>
      </c>
      <c r="P437">
        <f>VLOOKUP(C437, Customers!A$2:C$301, 3, FALSE)</f>
        <v>55</v>
      </c>
      <c r="Q437" t="str">
        <f>VLOOKUP(E437, Sales_Reps!A$2:C$31, 3, FALSE)</f>
        <v>South</v>
      </c>
      <c r="R437">
        <f>VLOOKUP(D437, Products!A$2:D$61, 4, FALSE)</f>
        <v>2459</v>
      </c>
    </row>
    <row r="438" spans="1:18" x14ac:dyDescent="0.3">
      <c r="A438" s="13" t="s">
        <v>853</v>
      </c>
      <c r="B438" s="14">
        <v>45381</v>
      </c>
      <c r="C438" s="13" t="s">
        <v>610</v>
      </c>
      <c r="D438" s="13" t="s">
        <v>264</v>
      </c>
      <c r="E438" s="13" t="s">
        <v>111</v>
      </c>
      <c r="F438" s="15">
        <v>3</v>
      </c>
      <c r="G438" s="15">
        <v>4070</v>
      </c>
      <c r="H438" s="15">
        <v>23.7</v>
      </c>
      <c r="I438" s="15">
        <v>9316.23</v>
      </c>
      <c r="J438" s="13" t="s">
        <v>87</v>
      </c>
      <c r="K438" s="13" t="s">
        <v>117</v>
      </c>
      <c r="L438">
        <f>IF(COUNTIF(A$2:A438, A438)=1, IF(COUNTIF(A$2:A$2001, A438)&gt;1, 1, 0), 0)</f>
        <v>0</v>
      </c>
      <c r="M438" t="b">
        <f>VLOOKUP(D438, Products!A$2:F$61, 6, FALSE)</f>
        <v>1</v>
      </c>
      <c r="N438" t="str">
        <f>VLOOKUP(D438, Products!A$2:C$61, 3, FALSE)</f>
        <v>Grocery</v>
      </c>
      <c r="O438" t="str">
        <f>VLOOKUP(C438, Customers!A$2:E$301, 5, FALSE)</f>
        <v>SMB</v>
      </c>
      <c r="P438">
        <f>VLOOKUP(C438, Customers!A$2:C$301, 3, FALSE)</f>
        <v>42</v>
      </c>
      <c r="Q438" t="str">
        <f>VLOOKUP(E438, Sales_Reps!A$2:C$31, 3, FALSE)</f>
        <v>West</v>
      </c>
      <c r="R438">
        <f>VLOOKUP(D438, Products!A$2:D$61, 4, FALSE)</f>
        <v>2027</v>
      </c>
    </row>
    <row r="439" spans="1:18" x14ac:dyDescent="0.3">
      <c r="A439" s="13" t="s">
        <v>854</v>
      </c>
      <c r="B439" s="14">
        <v>45511</v>
      </c>
      <c r="C439" s="13" t="s">
        <v>190</v>
      </c>
      <c r="D439" s="13" t="s">
        <v>292</v>
      </c>
      <c r="E439" s="13" t="s">
        <v>252</v>
      </c>
      <c r="F439" s="15">
        <v>4</v>
      </c>
      <c r="G439" s="15">
        <v>620</v>
      </c>
      <c r="H439" s="15">
        <v>18.8</v>
      </c>
      <c r="I439" s="15">
        <v>2013.76</v>
      </c>
      <c r="J439" s="13" t="s">
        <v>87</v>
      </c>
      <c r="K439" s="13" t="s">
        <v>133</v>
      </c>
      <c r="L439">
        <f>IF(COUNTIF(A$2:A439, A439)=1, IF(COUNTIF(A$2:A$2001, A439)&gt;1, 1, 0), 0)</f>
        <v>0</v>
      </c>
      <c r="M439" t="b">
        <f>VLOOKUP(D439, Products!A$2:F$61, 6, FALSE)</f>
        <v>1</v>
      </c>
      <c r="N439" t="str">
        <f>VLOOKUP(D439, Products!A$2:C$61, 3, FALSE)</f>
        <v>Apparel</v>
      </c>
      <c r="O439" t="str">
        <f>VLOOKUP(C439, Customers!A$2:E$301, 5, FALSE)</f>
        <v>Corporate</v>
      </c>
      <c r="P439">
        <f>VLOOKUP(C439, Customers!A$2:C$301, 3, FALSE)</f>
        <v>56</v>
      </c>
      <c r="Q439" t="str">
        <f>VLOOKUP(E439, Sales_Reps!A$2:C$31, 3, FALSE)</f>
        <v>South</v>
      </c>
      <c r="R439">
        <f>VLOOKUP(D439, Products!A$2:D$61, 4, FALSE)</f>
        <v>396</v>
      </c>
    </row>
    <row r="440" spans="1:18" x14ac:dyDescent="0.3">
      <c r="A440" s="13" t="s">
        <v>855</v>
      </c>
      <c r="B440" s="14">
        <v>45628</v>
      </c>
      <c r="C440" s="13" t="s">
        <v>856</v>
      </c>
      <c r="D440" s="13" t="s">
        <v>135</v>
      </c>
      <c r="E440" s="13" t="s">
        <v>238</v>
      </c>
      <c r="F440" s="15">
        <v>10</v>
      </c>
      <c r="G440" s="15">
        <v>2640</v>
      </c>
      <c r="H440" s="15">
        <v>12.7</v>
      </c>
      <c r="I440" s="15">
        <v>23047.200000000001</v>
      </c>
      <c r="J440" s="13" t="s">
        <v>87</v>
      </c>
      <c r="K440" s="13" t="s">
        <v>88</v>
      </c>
      <c r="L440">
        <f>IF(COUNTIF(A$2:A440, A440)=1, IF(COUNTIF(A$2:A$2001, A440)&gt;1, 1, 0), 0)</f>
        <v>0</v>
      </c>
      <c r="M440" t="b">
        <f>VLOOKUP(D440, Products!A$2:F$61, 6, FALSE)</f>
        <v>1</v>
      </c>
      <c r="N440" t="str">
        <f>VLOOKUP(D440, Products!A$2:C$61, 3, FALSE)</f>
        <v>Electronics</v>
      </c>
      <c r="O440" t="str">
        <f>VLOOKUP(C440, Customers!A$2:E$301, 5, FALSE)</f>
        <v>SMB</v>
      </c>
      <c r="P440">
        <f>VLOOKUP(C440, Customers!A$2:C$301, 3, FALSE)</f>
        <v>59</v>
      </c>
      <c r="Q440" t="str">
        <f>VLOOKUP(E440, Sales_Reps!A$2:C$31, 3, FALSE)</f>
        <v>East</v>
      </c>
      <c r="R440">
        <f>VLOOKUP(D440, Products!A$2:D$61, 4, FALSE)</f>
        <v>1149</v>
      </c>
    </row>
    <row r="441" spans="1:18" x14ac:dyDescent="0.3">
      <c r="A441" s="13" t="s">
        <v>857</v>
      </c>
      <c r="B441" s="14">
        <v>45326</v>
      </c>
      <c r="C441" s="13" t="s">
        <v>469</v>
      </c>
      <c r="D441" s="13" t="s">
        <v>264</v>
      </c>
      <c r="E441" s="13" t="s">
        <v>170</v>
      </c>
      <c r="F441" s="15">
        <v>2</v>
      </c>
      <c r="G441" s="15">
        <v>4070</v>
      </c>
      <c r="H441" s="15">
        <v>29</v>
      </c>
      <c r="I441" s="15">
        <v>5779.4</v>
      </c>
      <c r="J441" s="13" t="s">
        <v>87</v>
      </c>
      <c r="K441" s="13" t="s">
        <v>117</v>
      </c>
      <c r="L441">
        <f>IF(COUNTIF(A$2:A441, A441)=1, IF(COUNTIF(A$2:A$2001, A441)&gt;1, 1, 0), 0)</f>
        <v>0</v>
      </c>
      <c r="M441" t="b">
        <f>VLOOKUP(D441, Products!A$2:F$61, 6, FALSE)</f>
        <v>1</v>
      </c>
      <c r="N441" t="str">
        <f>VLOOKUP(D441, Products!A$2:C$61, 3, FALSE)</f>
        <v>Grocery</v>
      </c>
      <c r="O441" t="str">
        <f>VLOOKUP(C441, Customers!A$2:E$301, 5, FALSE)</f>
        <v>SMB</v>
      </c>
      <c r="P441">
        <f>VLOOKUP(C441, Customers!A$2:C$301, 3, FALSE)</f>
        <v>43</v>
      </c>
      <c r="Q441" t="str">
        <f>VLOOKUP(E441, Sales_Reps!A$2:C$31, 3, FALSE)</f>
        <v>West</v>
      </c>
      <c r="R441">
        <f>VLOOKUP(D441, Products!A$2:D$61, 4, FALSE)</f>
        <v>2027</v>
      </c>
    </row>
    <row r="442" spans="1:18" x14ac:dyDescent="0.3">
      <c r="A442" s="13" t="s">
        <v>858</v>
      </c>
      <c r="B442" s="14">
        <v>45561</v>
      </c>
      <c r="C442" s="13" t="s">
        <v>662</v>
      </c>
      <c r="D442" s="13" t="s">
        <v>182</v>
      </c>
      <c r="E442" s="13" t="s">
        <v>86</v>
      </c>
      <c r="F442" s="15">
        <v>8</v>
      </c>
      <c r="G442" s="15">
        <v>1010</v>
      </c>
      <c r="H442" s="15">
        <v>25.4</v>
      </c>
      <c r="I442" s="15">
        <v>6027.68</v>
      </c>
      <c r="J442" s="13" t="s">
        <v>87</v>
      </c>
      <c r="K442" s="13" t="s">
        <v>94</v>
      </c>
      <c r="L442">
        <f>IF(COUNTIF(A$2:A442, A442)=1, IF(COUNTIF(A$2:A$2001, A442)&gt;1, 1, 0), 0)</f>
        <v>0</v>
      </c>
      <c r="M442" t="b">
        <f>VLOOKUP(D442, Products!A$2:F$61, 6, FALSE)</f>
        <v>1</v>
      </c>
      <c r="N442" t="str">
        <f>VLOOKUP(D442, Products!A$2:C$61, 3, FALSE)</f>
        <v>Sports</v>
      </c>
      <c r="O442" t="str">
        <f>VLOOKUP(C442, Customers!A$2:E$301, 5, FALSE)</f>
        <v>Corporate</v>
      </c>
      <c r="P442">
        <f>VLOOKUP(C442, Customers!A$2:C$301, 3, FALSE)</f>
        <v>41</v>
      </c>
      <c r="Q442" t="str">
        <f>VLOOKUP(E442, Sales_Reps!A$2:C$31, 3, FALSE)</f>
        <v>North</v>
      </c>
      <c r="R442">
        <f>VLOOKUP(D442, Products!A$2:D$61, 4, FALSE)</f>
        <v>516</v>
      </c>
    </row>
    <row r="443" spans="1:18" x14ac:dyDescent="0.3">
      <c r="A443" s="13" t="s">
        <v>859</v>
      </c>
      <c r="B443" s="14">
        <v>45629</v>
      </c>
      <c r="C443" s="13" t="s">
        <v>487</v>
      </c>
      <c r="D443" s="13" t="s">
        <v>143</v>
      </c>
      <c r="E443" s="13" t="s">
        <v>92</v>
      </c>
      <c r="F443" s="15">
        <v>8</v>
      </c>
      <c r="G443" s="15">
        <v>3250</v>
      </c>
      <c r="H443" s="15">
        <v>5.4</v>
      </c>
      <c r="I443" s="15">
        <v>24596</v>
      </c>
      <c r="J443" s="13" t="s">
        <v>87</v>
      </c>
      <c r="K443" s="13" t="s">
        <v>88</v>
      </c>
      <c r="L443">
        <f>IF(COUNTIF(A$2:A443, A443)=1, IF(COUNTIF(A$2:A$2001, A443)&gt;1, 1, 0), 0)</f>
        <v>0</v>
      </c>
      <c r="M443" t="b">
        <f>VLOOKUP(D443, Products!A$2:F$61, 6, FALSE)</f>
        <v>1</v>
      </c>
      <c r="N443" t="str">
        <f>VLOOKUP(D443, Products!A$2:C$61, 3, FALSE)</f>
        <v>Home</v>
      </c>
      <c r="O443" t="str">
        <f>VLOOKUP(C443, Customers!A$2:E$301, 5, FALSE)</f>
        <v>Corporate</v>
      </c>
      <c r="P443">
        <f>VLOOKUP(C443, Customers!A$2:C$301, 3, FALSE)</f>
        <v>29</v>
      </c>
      <c r="Q443" t="str">
        <f>VLOOKUP(E443, Sales_Reps!A$2:C$31, 3, FALSE)</f>
        <v>North</v>
      </c>
      <c r="R443">
        <f>VLOOKUP(D443, Products!A$2:D$61, 4, FALSE)</f>
        <v>1556</v>
      </c>
    </row>
    <row r="444" spans="1:18" x14ac:dyDescent="0.3">
      <c r="A444" s="13" t="s">
        <v>860</v>
      </c>
      <c r="B444" s="14">
        <v>45460</v>
      </c>
      <c r="C444" s="13" t="s">
        <v>427</v>
      </c>
      <c r="D444" s="13" t="s">
        <v>120</v>
      </c>
      <c r="E444" s="13" t="s">
        <v>204</v>
      </c>
      <c r="F444" s="15">
        <v>7</v>
      </c>
      <c r="G444" s="15">
        <v>1430</v>
      </c>
      <c r="H444" s="15">
        <v>19.3</v>
      </c>
      <c r="I444" s="15">
        <v>8078.07</v>
      </c>
      <c r="J444" s="13" t="s">
        <v>87</v>
      </c>
      <c r="K444" s="13" t="s">
        <v>88</v>
      </c>
      <c r="L444">
        <f>IF(COUNTIF(A$2:A444, A444)=1, IF(COUNTIF(A$2:A$2001, A444)&gt;1, 1, 0), 0)</f>
        <v>0</v>
      </c>
      <c r="M444" t="b">
        <f>VLOOKUP(D444, Products!A$2:F$61, 6, FALSE)</f>
        <v>1</v>
      </c>
      <c r="N444" t="str">
        <f>VLOOKUP(D444, Products!A$2:C$61, 3, FALSE)</f>
        <v>Electronics</v>
      </c>
      <c r="O444" t="str">
        <f>VLOOKUP(C444, Customers!A$2:E$301, 5, FALSE)</f>
        <v>Corporate</v>
      </c>
      <c r="P444">
        <f>VLOOKUP(C444, Customers!A$2:C$301, 3, FALSE)</f>
        <v>48</v>
      </c>
      <c r="Q444" t="str">
        <f>VLOOKUP(E444, Sales_Reps!A$2:C$31, 3, FALSE)</f>
        <v>South</v>
      </c>
      <c r="R444">
        <f>VLOOKUP(D444, Products!A$2:D$61, 4, FALSE)</f>
        <v>861</v>
      </c>
    </row>
    <row r="445" spans="1:18" x14ac:dyDescent="0.3">
      <c r="A445" s="13" t="s">
        <v>861</v>
      </c>
      <c r="B445" s="14">
        <v>45597</v>
      </c>
      <c r="C445" s="13" t="s">
        <v>376</v>
      </c>
      <c r="D445" s="13" t="s">
        <v>276</v>
      </c>
      <c r="E445" s="13" t="s">
        <v>303</v>
      </c>
      <c r="F445" s="15">
        <v>9</v>
      </c>
      <c r="G445" s="15">
        <v>3020</v>
      </c>
      <c r="H445" s="15">
        <v>15</v>
      </c>
      <c r="I445" s="15">
        <v>23103</v>
      </c>
      <c r="J445" s="13" t="s">
        <v>87</v>
      </c>
      <c r="K445" s="13" t="s">
        <v>117</v>
      </c>
      <c r="L445">
        <f>IF(COUNTIF(A$2:A445, A445)=1, IF(COUNTIF(A$2:A$2001, A445)&gt;1, 1, 0), 0)</f>
        <v>0</v>
      </c>
      <c r="M445" t="b">
        <f>VLOOKUP(D445, Products!A$2:F$61, 6, FALSE)</f>
        <v>1</v>
      </c>
      <c r="N445" t="str">
        <f>VLOOKUP(D445, Products!A$2:C$61, 3, FALSE)</f>
        <v>Beauty</v>
      </c>
      <c r="O445" t="str">
        <f>VLOOKUP(C445, Customers!A$2:E$301, 5, FALSE)</f>
        <v>SMB</v>
      </c>
      <c r="P445">
        <f>VLOOKUP(C445, Customers!A$2:C$301, 3, FALSE)</f>
        <v>44</v>
      </c>
      <c r="Q445" t="str">
        <f>VLOOKUP(E445, Sales_Reps!A$2:C$31, 3, FALSE)</f>
        <v>East</v>
      </c>
      <c r="R445">
        <f>VLOOKUP(D445, Products!A$2:D$61, 4, FALSE)</f>
        <v>1626</v>
      </c>
    </row>
    <row r="446" spans="1:18" x14ac:dyDescent="0.3">
      <c r="A446" s="13" t="s">
        <v>862</v>
      </c>
      <c r="B446" s="14">
        <v>45324</v>
      </c>
      <c r="C446" s="13" t="s">
        <v>863</v>
      </c>
      <c r="D446" s="13" t="s">
        <v>279</v>
      </c>
      <c r="E446" s="13" t="s">
        <v>297</v>
      </c>
      <c r="F446" s="15">
        <v>2</v>
      </c>
      <c r="G446" s="15">
        <v>2660</v>
      </c>
      <c r="H446" s="15">
        <v>21.4</v>
      </c>
      <c r="I446" s="15">
        <v>4181.5200000000004</v>
      </c>
      <c r="J446" s="13" t="s">
        <v>87</v>
      </c>
      <c r="K446" s="13" t="s">
        <v>94</v>
      </c>
      <c r="L446">
        <f>IF(COUNTIF(A$2:A446, A446)=1, IF(COUNTIF(A$2:A$2001, A446)&gt;1, 1, 0), 0)</f>
        <v>0</v>
      </c>
      <c r="M446" t="b">
        <f>VLOOKUP(D446, Products!A$2:F$61, 6, FALSE)</f>
        <v>0</v>
      </c>
      <c r="N446" t="str">
        <f>VLOOKUP(D446, Products!A$2:C$61, 3, FALSE)</f>
        <v>Electronics</v>
      </c>
      <c r="O446" t="e">
        <f>VLOOKUP(C446, Customers!A$2:E$301, 5, FALSE)</f>
        <v>#N/A</v>
      </c>
      <c r="P446" t="e">
        <f>VLOOKUP(C446, Customers!A$2:C$301, 3, FALSE)</f>
        <v>#N/A</v>
      </c>
      <c r="Q446" t="str">
        <f>VLOOKUP(E446, Sales_Reps!A$2:C$31, 3, FALSE)</f>
        <v>North</v>
      </c>
      <c r="R446">
        <f>VLOOKUP(D446, Products!A$2:D$61, 4, FALSE)</f>
        <v>1259</v>
      </c>
    </row>
    <row r="447" spans="1:18" x14ac:dyDescent="0.3">
      <c r="A447" s="13" t="s">
        <v>864</v>
      </c>
      <c r="B447" s="14">
        <v>45490</v>
      </c>
      <c r="C447" s="13" t="s">
        <v>181</v>
      </c>
      <c r="D447" s="13" t="s">
        <v>187</v>
      </c>
      <c r="E447" s="13" t="s">
        <v>121</v>
      </c>
      <c r="F447" s="15">
        <v>10</v>
      </c>
      <c r="G447" s="15">
        <v>3570</v>
      </c>
      <c r="H447" s="15">
        <v>20.3</v>
      </c>
      <c r="I447" s="15">
        <v>28452.9</v>
      </c>
      <c r="J447" s="13" t="s">
        <v>87</v>
      </c>
      <c r="K447" s="13" t="s">
        <v>99</v>
      </c>
      <c r="L447">
        <f>IF(COUNTIF(A$2:A447, A447)=1, IF(COUNTIF(A$2:A$2001, A447)&gt;1, 1, 0), 0)</f>
        <v>0</v>
      </c>
      <c r="M447" t="b">
        <f>VLOOKUP(D447, Products!A$2:F$61, 6, FALSE)</f>
        <v>1</v>
      </c>
      <c r="N447" t="str">
        <f>VLOOKUP(D447, Products!A$2:C$61, 3, FALSE)</f>
        <v>Electronics</v>
      </c>
      <c r="O447" t="str">
        <f>VLOOKUP(C447, Customers!A$2:E$301, 5, FALSE)</f>
        <v>Retail</v>
      </c>
      <c r="P447">
        <f>VLOOKUP(C447, Customers!A$2:C$301, 3, FALSE)</f>
        <v>31</v>
      </c>
      <c r="Q447" t="str">
        <f>VLOOKUP(E447, Sales_Reps!A$2:C$31, 3, FALSE)</f>
        <v>East</v>
      </c>
      <c r="R447">
        <f>VLOOKUP(D447, Products!A$2:D$61, 4, FALSE)</f>
        <v>1665</v>
      </c>
    </row>
    <row r="448" spans="1:18" x14ac:dyDescent="0.3">
      <c r="A448" s="13" t="s">
        <v>865</v>
      </c>
      <c r="B448" s="14">
        <v>45330</v>
      </c>
      <c r="C448" s="13" t="s">
        <v>197</v>
      </c>
      <c r="D448" s="13" t="s">
        <v>179</v>
      </c>
      <c r="E448" s="13" t="s">
        <v>132</v>
      </c>
      <c r="F448" s="15">
        <v>4</v>
      </c>
      <c r="G448" s="15">
        <v>3350</v>
      </c>
      <c r="H448" s="15">
        <v>28.1</v>
      </c>
      <c r="I448" s="15">
        <v>9634.6</v>
      </c>
      <c r="J448" s="13" t="s">
        <v>87</v>
      </c>
      <c r="K448" s="13" t="s">
        <v>88</v>
      </c>
      <c r="L448">
        <f>IF(COUNTIF(A$2:A448, A448)=1, IF(COUNTIF(A$2:A$2001, A448)&gt;1, 1, 0), 0)</f>
        <v>0</v>
      </c>
      <c r="M448" t="b">
        <f>VLOOKUP(D448, Products!A$2:F$61, 6, FALSE)</f>
        <v>1</v>
      </c>
      <c r="N448" t="str">
        <f>VLOOKUP(D448, Products!A$2:C$61, 3, FALSE)</f>
        <v>Beauty</v>
      </c>
      <c r="O448" t="str">
        <f>VLOOKUP(C448, Customers!A$2:E$301, 5, FALSE)</f>
        <v>Corporate</v>
      </c>
      <c r="P448">
        <f>VLOOKUP(C448, Customers!A$2:C$301, 3, FALSE)</f>
        <v>47</v>
      </c>
      <c r="Q448" t="str">
        <f>VLOOKUP(E448, Sales_Reps!A$2:C$31, 3, FALSE)</f>
        <v>South</v>
      </c>
      <c r="R448">
        <f>VLOOKUP(D448, Products!A$2:D$61, 4, FALSE)</f>
        <v>1728</v>
      </c>
    </row>
    <row r="449" spans="1:18" x14ac:dyDescent="0.3">
      <c r="A449" s="13" t="s">
        <v>866</v>
      </c>
      <c r="B449" s="14">
        <v>45336</v>
      </c>
      <c r="C449" s="13" t="s">
        <v>101</v>
      </c>
      <c r="D449" s="13" t="s">
        <v>167</v>
      </c>
      <c r="E449" s="13" t="s">
        <v>158</v>
      </c>
      <c r="F449" s="15">
        <v>1</v>
      </c>
      <c r="G449" s="15">
        <v>2480</v>
      </c>
      <c r="H449" s="15">
        <v>13.5</v>
      </c>
      <c r="I449" s="15">
        <v>2145.1999999999998</v>
      </c>
      <c r="J449" s="13" t="s">
        <v>87</v>
      </c>
      <c r="K449" s="13" t="s">
        <v>99</v>
      </c>
      <c r="L449">
        <f>IF(COUNTIF(A$2:A449, A449)=1, IF(COUNTIF(A$2:A$2001, A449)&gt;1, 1, 0), 0)</f>
        <v>0</v>
      </c>
      <c r="M449" t="b">
        <f>VLOOKUP(D449, Products!A$2:F$61, 6, FALSE)</f>
        <v>1</v>
      </c>
      <c r="N449" t="str">
        <f>VLOOKUP(D449, Products!A$2:C$61, 3, FALSE)</f>
        <v>Apparel</v>
      </c>
      <c r="O449" t="str">
        <f>VLOOKUP(C449, Customers!A$2:E$301, 5, FALSE)</f>
        <v>Corporate</v>
      </c>
      <c r="P449">
        <f>VLOOKUP(C449, Customers!A$2:C$301, 3, FALSE)</f>
        <v>46</v>
      </c>
      <c r="Q449" t="str">
        <f>VLOOKUP(E449, Sales_Reps!A$2:C$31, 3, FALSE)</f>
        <v>East</v>
      </c>
      <c r="R449">
        <f>VLOOKUP(D449, Products!A$2:D$61, 4, FALSE)</f>
        <v>1173</v>
      </c>
    </row>
    <row r="450" spans="1:18" x14ac:dyDescent="0.3">
      <c r="A450" s="13" t="s">
        <v>867</v>
      </c>
      <c r="B450" s="14">
        <v>45649</v>
      </c>
      <c r="C450" s="13" t="s">
        <v>868</v>
      </c>
      <c r="D450" s="13" t="s">
        <v>360</v>
      </c>
      <c r="E450" s="13" t="s">
        <v>188</v>
      </c>
      <c r="F450" s="15">
        <v>10</v>
      </c>
      <c r="G450" s="15">
        <v>5410</v>
      </c>
      <c r="H450" s="15">
        <v>26.1</v>
      </c>
      <c r="I450" s="15">
        <v>39979.9</v>
      </c>
      <c r="J450" s="13" t="s">
        <v>87</v>
      </c>
      <c r="K450" s="13" t="s">
        <v>99</v>
      </c>
      <c r="L450">
        <f>IF(COUNTIF(A$2:A450, A450)=1, IF(COUNTIF(A$2:A$2001, A450)&gt;1, 1, 0), 0)</f>
        <v>0</v>
      </c>
      <c r="M450" t="b">
        <f>VLOOKUP(D450, Products!A$2:F$61, 6, FALSE)</f>
        <v>1</v>
      </c>
      <c r="N450" t="str">
        <f>VLOOKUP(D450, Products!A$2:C$61, 3, FALSE)</f>
        <v>Sports</v>
      </c>
      <c r="O450" t="str">
        <f>VLOOKUP(C450, Customers!A$2:E$301, 5, FALSE)</f>
        <v>SMB</v>
      </c>
      <c r="P450">
        <f>VLOOKUP(C450, Customers!A$2:C$301, 3, FALSE)</f>
        <v>38</v>
      </c>
      <c r="Q450" t="str">
        <f>VLOOKUP(E450, Sales_Reps!A$2:C$31, 3, FALSE)</f>
        <v>South</v>
      </c>
      <c r="R450">
        <f>VLOOKUP(D450, Products!A$2:D$61, 4, FALSE)</f>
        <v>2265</v>
      </c>
    </row>
    <row r="451" spans="1:18" x14ac:dyDescent="0.3">
      <c r="A451" s="13" t="s">
        <v>869</v>
      </c>
      <c r="B451" s="14">
        <v>45586</v>
      </c>
      <c r="C451" s="13" t="s">
        <v>870</v>
      </c>
      <c r="D451" s="13" t="s">
        <v>203</v>
      </c>
      <c r="E451" s="13" t="s">
        <v>154</v>
      </c>
      <c r="F451" s="15">
        <v>2</v>
      </c>
      <c r="G451" s="15">
        <v>660</v>
      </c>
      <c r="H451" s="15">
        <v>5</v>
      </c>
      <c r="I451" s="15">
        <v>1254</v>
      </c>
      <c r="J451" s="13" t="s">
        <v>87</v>
      </c>
      <c r="K451" s="13" t="s">
        <v>117</v>
      </c>
      <c r="L451">
        <f>IF(COUNTIF(A$2:A451, A451)=1, IF(COUNTIF(A$2:A$2001, A451)&gt;1, 1, 0), 0)</f>
        <v>0</v>
      </c>
      <c r="M451" t="b">
        <f>VLOOKUP(D451, Products!A$2:F$61, 6, FALSE)</f>
        <v>1</v>
      </c>
      <c r="N451" t="str">
        <f>VLOOKUP(D451, Products!A$2:C$61, 3, FALSE)</f>
        <v>Home</v>
      </c>
      <c r="O451" t="str">
        <f>VLOOKUP(C451, Customers!A$2:E$301, 5, FALSE)</f>
        <v>Retail</v>
      </c>
      <c r="P451">
        <f>VLOOKUP(C451, Customers!A$2:C$301, 3, FALSE)</f>
        <v>47</v>
      </c>
      <c r="Q451" t="str">
        <f>VLOOKUP(E451, Sales_Reps!A$2:C$31, 3, FALSE)</f>
        <v>East</v>
      </c>
      <c r="R451">
        <f>VLOOKUP(D451, Products!A$2:D$61, 4, FALSE)</f>
        <v>329</v>
      </c>
    </row>
    <row r="452" spans="1:18" x14ac:dyDescent="0.3">
      <c r="A452" s="13" t="s">
        <v>871</v>
      </c>
      <c r="B452" s="14">
        <v>45647</v>
      </c>
      <c r="C452" s="13" t="s">
        <v>872</v>
      </c>
      <c r="D452" s="13" t="s">
        <v>182</v>
      </c>
      <c r="E452" s="13" t="s">
        <v>86</v>
      </c>
      <c r="F452" s="15">
        <v>10</v>
      </c>
      <c r="G452" s="15">
        <v>1010</v>
      </c>
      <c r="H452" s="15">
        <v>10</v>
      </c>
      <c r="I452" s="15">
        <v>9090</v>
      </c>
      <c r="J452" s="13" t="s">
        <v>87</v>
      </c>
      <c r="K452" s="13" t="s">
        <v>112</v>
      </c>
      <c r="L452">
        <f>IF(COUNTIF(A$2:A452, A452)=1, IF(COUNTIF(A$2:A$2001, A452)&gt;1, 1, 0), 0)</f>
        <v>0</v>
      </c>
      <c r="M452" t="b">
        <f>VLOOKUP(D452, Products!A$2:F$61, 6, FALSE)</f>
        <v>1</v>
      </c>
      <c r="N452" t="str">
        <f>VLOOKUP(D452, Products!A$2:C$61, 3, FALSE)</f>
        <v>Sports</v>
      </c>
      <c r="O452" t="str">
        <f>VLOOKUP(C452, Customers!A$2:E$301, 5, FALSE)</f>
        <v>Corporate</v>
      </c>
      <c r="P452">
        <f>VLOOKUP(C452, Customers!A$2:C$301, 3, FALSE)</f>
        <v>62</v>
      </c>
      <c r="Q452" t="str">
        <f>VLOOKUP(E452, Sales_Reps!A$2:C$31, 3, FALSE)</f>
        <v>North</v>
      </c>
      <c r="R452">
        <f>VLOOKUP(D452, Products!A$2:D$61, 4, FALSE)</f>
        <v>516</v>
      </c>
    </row>
    <row r="453" spans="1:18" x14ac:dyDescent="0.3">
      <c r="A453" s="13" t="s">
        <v>873</v>
      </c>
      <c r="B453" s="14">
        <v>45496</v>
      </c>
      <c r="C453" s="13" t="s">
        <v>874</v>
      </c>
      <c r="D453" s="13" t="s">
        <v>386</v>
      </c>
      <c r="E453" s="13" t="s">
        <v>215</v>
      </c>
      <c r="F453" s="15">
        <v>3</v>
      </c>
      <c r="G453" s="15">
        <v>2290</v>
      </c>
      <c r="H453" s="15">
        <v>8.9</v>
      </c>
      <c r="I453" s="15">
        <v>6258.57</v>
      </c>
      <c r="J453" s="13" t="s">
        <v>87</v>
      </c>
      <c r="K453" s="13" t="s">
        <v>112</v>
      </c>
      <c r="L453">
        <f>IF(COUNTIF(A$2:A453, A453)=1, IF(COUNTIF(A$2:A$2001, A453)&gt;1, 1, 0), 0)</f>
        <v>0</v>
      </c>
      <c r="M453" t="b">
        <f>VLOOKUP(D453, Products!A$2:F$61, 6, FALSE)</f>
        <v>1</v>
      </c>
      <c r="N453" t="str">
        <f>VLOOKUP(D453, Products!A$2:C$61, 3, FALSE)</f>
        <v>Beauty</v>
      </c>
      <c r="O453" t="str">
        <f>VLOOKUP(C453, Customers!A$2:E$301, 5, FALSE)</f>
        <v>Retail</v>
      </c>
      <c r="P453">
        <f>VLOOKUP(C453, Customers!A$2:C$301, 3, FALSE)</f>
        <v>57</v>
      </c>
      <c r="Q453" t="str">
        <f>VLOOKUP(E453, Sales_Reps!A$2:C$31, 3, FALSE)</f>
        <v>North</v>
      </c>
      <c r="R453">
        <f>VLOOKUP(D453, Products!A$2:D$61, 4, FALSE)</f>
        <v>1219</v>
      </c>
    </row>
    <row r="454" spans="1:18" x14ac:dyDescent="0.3">
      <c r="A454" s="13" t="s">
        <v>875</v>
      </c>
      <c r="B454" s="14">
        <v>45369</v>
      </c>
      <c r="C454" s="13" t="s">
        <v>714</v>
      </c>
      <c r="D454" s="13" t="s">
        <v>157</v>
      </c>
      <c r="E454" s="13" t="s">
        <v>215</v>
      </c>
      <c r="F454" s="15">
        <v>9</v>
      </c>
      <c r="G454" s="15">
        <v>3450</v>
      </c>
      <c r="H454" s="15">
        <v>24.3</v>
      </c>
      <c r="I454" s="15">
        <v>23504.85</v>
      </c>
      <c r="J454" s="13" t="s">
        <v>87</v>
      </c>
      <c r="K454" s="13" t="s">
        <v>99</v>
      </c>
      <c r="L454">
        <f>IF(COUNTIF(A$2:A454, A454)=1, IF(COUNTIF(A$2:A$2001, A454)&gt;1, 1, 0), 0)</f>
        <v>0</v>
      </c>
      <c r="M454" t="b">
        <f>VLOOKUP(D454, Products!A$2:F$61, 6, FALSE)</f>
        <v>1</v>
      </c>
      <c r="N454" t="str">
        <f>VLOOKUP(D454, Products!A$2:C$61, 3, FALSE)</f>
        <v>Beauty</v>
      </c>
      <c r="O454" t="str">
        <f>VLOOKUP(C454, Customers!A$2:E$301, 5, FALSE)</f>
        <v>Retail</v>
      </c>
      <c r="P454">
        <f>VLOOKUP(C454, Customers!A$2:C$301, 3, FALSE)</f>
        <v>24</v>
      </c>
      <c r="Q454" t="str">
        <f>VLOOKUP(E454, Sales_Reps!A$2:C$31, 3, FALSE)</f>
        <v>North</v>
      </c>
      <c r="R454">
        <f>VLOOKUP(D454, Products!A$2:D$61, 4, FALSE)</f>
        <v>2420</v>
      </c>
    </row>
    <row r="455" spans="1:18" x14ac:dyDescent="0.3">
      <c r="A455" s="13" t="s">
        <v>876</v>
      </c>
      <c r="B455" s="14">
        <v>45389</v>
      </c>
      <c r="C455" s="13" t="s">
        <v>289</v>
      </c>
      <c r="D455" s="13" t="s">
        <v>237</v>
      </c>
      <c r="E455" s="13" t="s">
        <v>148</v>
      </c>
      <c r="F455" s="15">
        <v>10</v>
      </c>
      <c r="G455" s="15">
        <v>3640</v>
      </c>
      <c r="H455" s="15">
        <v>21.4</v>
      </c>
      <c r="I455" s="15">
        <v>28610.400000000001</v>
      </c>
      <c r="J455" s="13" t="s">
        <v>140</v>
      </c>
      <c r="K455" s="13" t="s">
        <v>94</v>
      </c>
      <c r="L455">
        <f>IF(COUNTIF(A$2:A455, A455)=1, IF(COUNTIF(A$2:A$2001, A455)&gt;1, 1, 0), 0)</f>
        <v>0</v>
      </c>
      <c r="M455" t="b">
        <f>VLOOKUP(D455, Products!A$2:F$61, 6, FALSE)</f>
        <v>1</v>
      </c>
      <c r="N455" t="str">
        <f>VLOOKUP(D455, Products!A$2:C$61, 3, FALSE)</f>
        <v>Apparel</v>
      </c>
      <c r="O455" t="str">
        <f>VLOOKUP(C455, Customers!A$2:E$301, 5, FALSE)</f>
        <v>Retail</v>
      </c>
      <c r="P455">
        <f>VLOOKUP(C455, Customers!A$2:C$301, 3, FALSE)</f>
        <v>38</v>
      </c>
      <c r="Q455" t="str">
        <f>VLOOKUP(E455, Sales_Reps!A$2:C$31, 3, FALSE)</f>
        <v>North</v>
      </c>
      <c r="R455">
        <f>VLOOKUP(D455, Products!A$2:D$61, 4, FALSE)</f>
        <v>2611</v>
      </c>
    </row>
    <row r="456" spans="1:18" x14ac:dyDescent="0.3">
      <c r="A456" s="13" t="s">
        <v>877</v>
      </c>
      <c r="B456" s="14">
        <v>45336</v>
      </c>
      <c r="C456" s="13" t="s">
        <v>878</v>
      </c>
      <c r="D456" s="13" t="s">
        <v>367</v>
      </c>
      <c r="E456" s="13" t="s">
        <v>188</v>
      </c>
      <c r="F456" s="15">
        <v>5</v>
      </c>
      <c r="G456" s="15">
        <v>2380</v>
      </c>
      <c r="H456" s="15">
        <v>12.2</v>
      </c>
      <c r="I456" s="15">
        <v>10448.200000000001</v>
      </c>
      <c r="J456" s="13" t="s">
        <v>87</v>
      </c>
      <c r="K456" s="13" t="s">
        <v>112</v>
      </c>
      <c r="L456">
        <f>IF(COUNTIF(A$2:A456, A456)=1, IF(COUNTIF(A$2:A$2001, A456)&gt;1, 1, 0), 0)</f>
        <v>0</v>
      </c>
      <c r="M456" t="b">
        <f>VLOOKUP(D456, Products!A$2:F$61, 6, FALSE)</f>
        <v>1</v>
      </c>
      <c r="N456" t="str">
        <f>VLOOKUP(D456, Products!A$2:C$61, 3, FALSE)</f>
        <v>Grocery</v>
      </c>
      <c r="O456" t="str">
        <f>VLOOKUP(C456, Customers!A$2:E$301, 5, FALSE)</f>
        <v>Corporate</v>
      </c>
      <c r="P456">
        <f>VLOOKUP(C456, Customers!A$2:C$301, 3, FALSE)</f>
        <v>62</v>
      </c>
      <c r="Q456" t="str">
        <f>VLOOKUP(E456, Sales_Reps!A$2:C$31, 3, FALSE)</f>
        <v>South</v>
      </c>
      <c r="R456">
        <f>VLOOKUP(D456, Products!A$2:D$61, 4, FALSE)</f>
        <v>1182</v>
      </c>
    </row>
    <row r="457" spans="1:18" x14ac:dyDescent="0.3">
      <c r="A457" s="13" t="s">
        <v>879</v>
      </c>
      <c r="B457" s="14">
        <v>45505</v>
      </c>
      <c r="C457" s="13" t="s">
        <v>539</v>
      </c>
      <c r="D457" s="13" t="s">
        <v>360</v>
      </c>
      <c r="E457" s="13" t="s">
        <v>238</v>
      </c>
      <c r="F457" s="15">
        <v>10</v>
      </c>
      <c r="G457" s="15">
        <v>5410</v>
      </c>
      <c r="H457" s="15">
        <v>29.8</v>
      </c>
      <c r="I457" s="15">
        <v>37978.199999999997</v>
      </c>
      <c r="J457" s="13" t="s">
        <v>87</v>
      </c>
      <c r="K457" s="13" t="s">
        <v>133</v>
      </c>
      <c r="L457">
        <f>IF(COUNTIF(A$2:A457, A457)=1, IF(COUNTIF(A$2:A$2001, A457)&gt;1, 1, 0), 0)</f>
        <v>0</v>
      </c>
      <c r="M457" t="b">
        <f>VLOOKUP(D457, Products!A$2:F$61, 6, FALSE)</f>
        <v>1</v>
      </c>
      <c r="N457" t="str">
        <f>VLOOKUP(D457, Products!A$2:C$61, 3, FALSE)</f>
        <v>Sports</v>
      </c>
      <c r="O457" t="str">
        <f>VLOOKUP(C457, Customers!A$2:E$301, 5, FALSE)</f>
        <v>Retail</v>
      </c>
      <c r="P457">
        <f>VLOOKUP(C457, Customers!A$2:C$301, 3, FALSE)</f>
        <v>38</v>
      </c>
      <c r="Q457" t="str">
        <f>VLOOKUP(E457, Sales_Reps!A$2:C$31, 3, FALSE)</f>
        <v>East</v>
      </c>
      <c r="R457">
        <f>VLOOKUP(D457, Products!A$2:D$61, 4, FALSE)</f>
        <v>2265</v>
      </c>
    </row>
    <row r="458" spans="1:18" x14ac:dyDescent="0.3">
      <c r="A458" s="13" t="s">
        <v>880</v>
      </c>
      <c r="B458" s="14">
        <v>45375</v>
      </c>
      <c r="C458" s="13" t="s">
        <v>872</v>
      </c>
      <c r="D458" s="13" t="s">
        <v>176</v>
      </c>
      <c r="E458" s="13" t="s">
        <v>158</v>
      </c>
      <c r="F458" s="15">
        <v>3</v>
      </c>
      <c r="G458" s="15">
        <v>1650</v>
      </c>
      <c r="H458" s="15">
        <v>9.4</v>
      </c>
      <c r="I458" s="15">
        <v>4484.7</v>
      </c>
      <c r="J458" s="13" t="s">
        <v>140</v>
      </c>
      <c r="K458" s="13" t="s">
        <v>112</v>
      </c>
      <c r="L458">
        <f>IF(COUNTIF(A$2:A458, A458)=1, IF(COUNTIF(A$2:A$2001, A458)&gt;1, 1, 0), 0)</f>
        <v>0</v>
      </c>
      <c r="M458" t="b">
        <f>VLOOKUP(D458, Products!A$2:F$61, 6, FALSE)</f>
        <v>1</v>
      </c>
      <c r="N458" t="str">
        <f>VLOOKUP(D458, Products!A$2:C$61, 3, FALSE)</f>
        <v>Beauty</v>
      </c>
      <c r="O458" t="str">
        <f>VLOOKUP(C458, Customers!A$2:E$301, 5, FALSE)</f>
        <v>Corporate</v>
      </c>
      <c r="P458">
        <f>VLOOKUP(C458, Customers!A$2:C$301, 3, FALSE)</f>
        <v>62</v>
      </c>
      <c r="Q458" t="str">
        <f>VLOOKUP(E458, Sales_Reps!A$2:C$31, 3, FALSE)</f>
        <v>East</v>
      </c>
      <c r="R458">
        <f>VLOOKUP(D458, Products!A$2:D$61, 4, FALSE)</f>
        <v>1222</v>
      </c>
    </row>
    <row r="459" spans="1:18" x14ac:dyDescent="0.3">
      <c r="A459" s="13" t="s">
        <v>881</v>
      </c>
      <c r="B459" s="14">
        <v>45383</v>
      </c>
      <c r="C459" s="13" t="s">
        <v>882</v>
      </c>
      <c r="D459" s="13" t="s">
        <v>138</v>
      </c>
      <c r="E459" s="13" t="s">
        <v>285</v>
      </c>
      <c r="F459" s="15">
        <v>7</v>
      </c>
      <c r="G459" s="15">
        <v>2600</v>
      </c>
      <c r="H459" s="15">
        <v>19.899999999999999</v>
      </c>
      <c r="I459" s="15">
        <v>14578.2</v>
      </c>
      <c r="J459" s="13" t="s">
        <v>93</v>
      </c>
      <c r="K459" s="13" t="s">
        <v>112</v>
      </c>
      <c r="L459">
        <f>IF(COUNTIF(A$2:A459, A459)=1, IF(COUNTIF(A$2:A$2001, A459)&gt;1, 1, 0), 0)</f>
        <v>0</v>
      </c>
      <c r="M459" t="b">
        <f>VLOOKUP(D459, Products!A$2:F$61, 6, FALSE)</f>
        <v>1</v>
      </c>
      <c r="N459" t="str">
        <f>VLOOKUP(D459, Products!A$2:C$61, 3, FALSE)</f>
        <v>Electronics</v>
      </c>
      <c r="O459" t="str">
        <f>VLOOKUP(C459, Customers!A$2:E$301, 5, FALSE)</f>
        <v>Retail</v>
      </c>
      <c r="P459">
        <f>VLOOKUP(C459, Customers!A$2:C$301, 3, FALSE)</f>
        <v>22</v>
      </c>
      <c r="Q459" t="str">
        <f>VLOOKUP(E459, Sales_Reps!A$2:C$31, 3, FALSE)</f>
        <v>East</v>
      </c>
      <c r="R459">
        <f>VLOOKUP(D459, Products!A$2:D$61, 4, FALSE)</f>
        <v>1052</v>
      </c>
    </row>
    <row r="460" spans="1:18" x14ac:dyDescent="0.3">
      <c r="A460" s="13" t="s">
        <v>421</v>
      </c>
      <c r="B460" s="14">
        <v>45474</v>
      </c>
      <c r="C460" s="13" t="s">
        <v>883</v>
      </c>
      <c r="D460" s="13" t="s">
        <v>270</v>
      </c>
      <c r="E460" s="13" t="s">
        <v>297</v>
      </c>
      <c r="F460" s="15">
        <v>4</v>
      </c>
      <c r="G460" s="15">
        <v>4610</v>
      </c>
      <c r="H460" s="15">
        <v>13.2</v>
      </c>
      <c r="I460" s="15">
        <v>16005.92</v>
      </c>
      <c r="J460" s="13" t="s">
        <v>87</v>
      </c>
      <c r="K460" s="13" t="s">
        <v>133</v>
      </c>
      <c r="L460">
        <f>IF(COUNTIF(A$2:A460, A460)=1, IF(COUNTIF(A$2:A$2001, A460)&gt;1, 1, 0), 0)</f>
        <v>0</v>
      </c>
      <c r="M460" t="b">
        <f>VLOOKUP(D460, Products!A$2:F$61, 6, FALSE)</f>
        <v>1</v>
      </c>
      <c r="N460" t="str">
        <f>VLOOKUP(D460, Products!A$2:C$61, 3, FALSE)</f>
        <v>Home</v>
      </c>
      <c r="O460" t="str">
        <f>VLOOKUP(C460, Customers!A$2:E$301, 5, FALSE)</f>
        <v>SMB</v>
      </c>
      <c r="P460">
        <f>VLOOKUP(C460, Customers!A$2:C$301, 3, FALSE)</f>
        <v>28</v>
      </c>
      <c r="Q460" t="str">
        <f>VLOOKUP(E460, Sales_Reps!A$2:C$31, 3, FALSE)</f>
        <v>North</v>
      </c>
      <c r="R460">
        <f>VLOOKUP(D460, Products!A$2:D$61, 4, FALSE)</f>
        <v>1850</v>
      </c>
    </row>
    <row r="461" spans="1:18" x14ac:dyDescent="0.3">
      <c r="A461" s="13" t="s">
        <v>884</v>
      </c>
      <c r="B461" s="14">
        <v>45361</v>
      </c>
      <c r="C461" s="13" t="s">
        <v>263</v>
      </c>
      <c r="D461" s="13" t="s">
        <v>270</v>
      </c>
      <c r="E461" s="13" t="s">
        <v>158</v>
      </c>
      <c r="F461" s="15">
        <v>9</v>
      </c>
      <c r="G461" s="15">
        <v>4610</v>
      </c>
      <c r="H461" s="15">
        <v>25.8</v>
      </c>
      <c r="I461" s="15">
        <v>30785.58</v>
      </c>
      <c r="J461" s="13" t="s">
        <v>87</v>
      </c>
      <c r="K461" s="13" t="s">
        <v>133</v>
      </c>
      <c r="L461">
        <f>IF(COUNTIF(A$2:A461, A461)=1, IF(COUNTIF(A$2:A$2001, A461)&gt;1, 1, 0), 0)</f>
        <v>0</v>
      </c>
      <c r="M461" t="b">
        <f>VLOOKUP(D461, Products!A$2:F$61, 6, FALSE)</f>
        <v>1</v>
      </c>
      <c r="N461" t="str">
        <f>VLOOKUP(D461, Products!A$2:C$61, 3, FALSE)</f>
        <v>Home</v>
      </c>
      <c r="O461" t="str">
        <f>VLOOKUP(C461, Customers!A$2:E$301, 5, FALSE)</f>
        <v>Retail</v>
      </c>
      <c r="P461">
        <f>VLOOKUP(C461, Customers!A$2:C$301, 3, FALSE)</f>
        <v>53</v>
      </c>
      <c r="Q461" t="str">
        <f>VLOOKUP(E461, Sales_Reps!A$2:C$31, 3, FALSE)</f>
        <v>East</v>
      </c>
      <c r="R461">
        <f>VLOOKUP(D461, Products!A$2:D$61, 4, FALSE)</f>
        <v>1850</v>
      </c>
    </row>
    <row r="462" spans="1:18" x14ac:dyDescent="0.3">
      <c r="A462" s="13" t="s">
        <v>885</v>
      </c>
      <c r="B462" s="14">
        <v>45550</v>
      </c>
      <c r="C462" s="13" t="s">
        <v>886</v>
      </c>
      <c r="D462" s="13" t="s">
        <v>282</v>
      </c>
      <c r="E462" s="13" t="s">
        <v>98</v>
      </c>
      <c r="F462" s="15">
        <v>5</v>
      </c>
      <c r="G462" s="15">
        <v>300</v>
      </c>
      <c r="H462" s="15">
        <v>11.8</v>
      </c>
      <c r="I462" s="15">
        <v>1323</v>
      </c>
      <c r="J462" s="13" t="s">
        <v>87</v>
      </c>
      <c r="K462" s="13" t="s">
        <v>94</v>
      </c>
      <c r="L462">
        <f>IF(COUNTIF(A$2:A462, A462)=1, IF(COUNTIF(A$2:A$2001, A462)&gt;1, 1, 0), 0)</f>
        <v>0</v>
      </c>
      <c r="M462" t="b">
        <f>VLOOKUP(D462, Products!A$2:F$61, 6, FALSE)</f>
        <v>1</v>
      </c>
      <c r="N462" t="str">
        <f>VLOOKUP(D462, Products!A$2:C$61, 3, FALSE)</f>
        <v>Electronics</v>
      </c>
      <c r="O462" t="str">
        <f>VLOOKUP(C462, Customers!A$2:E$301, 5, FALSE)</f>
        <v>Corporate</v>
      </c>
      <c r="P462">
        <f>VLOOKUP(C462, Customers!A$2:C$301, 3, FALSE)</f>
        <v>44</v>
      </c>
      <c r="Q462" t="str">
        <f>VLOOKUP(E462, Sales_Reps!A$2:C$31, 3, FALSE)</f>
        <v>South</v>
      </c>
      <c r="R462">
        <f>VLOOKUP(D462, Products!A$2:D$61, 4, FALSE)</f>
        <v>128</v>
      </c>
    </row>
    <row r="463" spans="1:18" x14ac:dyDescent="0.3">
      <c r="A463" s="13" t="s">
        <v>887</v>
      </c>
      <c r="B463" s="14">
        <v>45485</v>
      </c>
      <c r="C463" s="13" t="s">
        <v>795</v>
      </c>
      <c r="D463" s="13" t="s">
        <v>452</v>
      </c>
      <c r="E463" s="13" t="s">
        <v>192</v>
      </c>
      <c r="F463" s="15">
        <v>3</v>
      </c>
      <c r="G463" s="15">
        <v>3450</v>
      </c>
      <c r="H463" s="15">
        <v>14.2</v>
      </c>
      <c r="I463" s="15">
        <v>8880.2999999999993</v>
      </c>
      <c r="J463" s="13" t="s">
        <v>87</v>
      </c>
      <c r="K463" s="13" t="s">
        <v>94</v>
      </c>
      <c r="L463">
        <f>IF(COUNTIF(A$2:A463, A463)=1, IF(COUNTIF(A$2:A$2001, A463)&gt;1, 1, 0), 0)</f>
        <v>0</v>
      </c>
      <c r="M463" t="b">
        <f>VLOOKUP(D463, Products!A$2:F$61, 6, FALSE)</f>
        <v>1</v>
      </c>
      <c r="N463" t="str">
        <f>VLOOKUP(D463, Products!A$2:C$61, 3, FALSE)</f>
        <v>Apparel</v>
      </c>
      <c r="O463" t="str">
        <f>VLOOKUP(C463, Customers!A$2:E$301, 5, FALSE)</f>
        <v>Retail</v>
      </c>
      <c r="P463">
        <f>VLOOKUP(C463, Customers!A$2:C$301, 3, FALSE)</f>
        <v>22</v>
      </c>
      <c r="Q463" t="str">
        <f>VLOOKUP(E463, Sales_Reps!A$2:C$31, 3, FALSE)</f>
        <v>East</v>
      </c>
      <c r="R463">
        <f>VLOOKUP(D463, Products!A$2:D$61, 4, FALSE)</f>
        <v>1748</v>
      </c>
    </row>
    <row r="464" spans="1:18" x14ac:dyDescent="0.3">
      <c r="A464" s="13" t="s">
        <v>888</v>
      </c>
      <c r="B464" s="14">
        <v>45523</v>
      </c>
      <c r="C464" s="13" t="s">
        <v>589</v>
      </c>
      <c r="D464" s="13" t="s">
        <v>173</v>
      </c>
      <c r="E464" s="13" t="s">
        <v>128</v>
      </c>
      <c r="F464" s="15">
        <v>2</v>
      </c>
      <c r="G464" s="15">
        <v>2720</v>
      </c>
      <c r="H464" s="15">
        <v>14.6</v>
      </c>
      <c r="I464" s="15">
        <v>4645.76</v>
      </c>
      <c r="J464" s="13" t="s">
        <v>140</v>
      </c>
      <c r="K464" s="13" t="s">
        <v>94</v>
      </c>
      <c r="L464">
        <f>IF(COUNTIF(A$2:A464, A464)=1, IF(COUNTIF(A$2:A$2001, A464)&gt;1, 1, 0), 0)</f>
        <v>0</v>
      </c>
      <c r="M464" t="b">
        <f>VLOOKUP(D464, Products!A$2:F$61, 6, FALSE)</f>
        <v>1</v>
      </c>
      <c r="N464" t="str">
        <f>VLOOKUP(D464, Products!A$2:C$61, 3, FALSE)</f>
        <v>Apparel</v>
      </c>
      <c r="O464" t="str">
        <f>VLOOKUP(C464, Customers!A$2:E$301, 5, FALSE)</f>
        <v>Corporate</v>
      </c>
      <c r="P464">
        <f>VLOOKUP(C464, Customers!A$2:C$301, 3, FALSE)</f>
        <v>30</v>
      </c>
      <c r="Q464" t="str">
        <f>VLOOKUP(E464, Sales_Reps!A$2:C$31, 3, FALSE)</f>
        <v>West</v>
      </c>
      <c r="R464">
        <f>VLOOKUP(D464, Products!A$2:D$61, 4, FALSE)</f>
        <v>1962</v>
      </c>
    </row>
    <row r="465" spans="1:18" x14ac:dyDescent="0.3">
      <c r="A465" s="13" t="s">
        <v>889</v>
      </c>
      <c r="B465" s="14">
        <v>45626</v>
      </c>
      <c r="C465" s="13" t="s">
        <v>669</v>
      </c>
      <c r="D465" s="13" t="s">
        <v>279</v>
      </c>
      <c r="E465" s="13" t="s">
        <v>238</v>
      </c>
      <c r="F465" s="15">
        <v>7</v>
      </c>
      <c r="G465" s="15">
        <v>2660</v>
      </c>
      <c r="H465" s="15">
        <v>27.4</v>
      </c>
      <c r="I465" s="15">
        <v>13518.12</v>
      </c>
      <c r="J465" s="13" t="s">
        <v>140</v>
      </c>
      <c r="K465" s="13" t="s">
        <v>133</v>
      </c>
      <c r="L465">
        <f>IF(COUNTIF(A$2:A465, A465)=1, IF(COUNTIF(A$2:A$2001, A465)&gt;1, 1, 0), 0)</f>
        <v>0</v>
      </c>
      <c r="M465" t="b">
        <f>VLOOKUP(D465, Products!A$2:F$61, 6, FALSE)</f>
        <v>0</v>
      </c>
      <c r="N465" t="str">
        <f>VLOOKUP(D465, Products!A$2:C$61, 3, FALSE)</f>
        <v>Electronics</v>
      </c>
      <c r="O465" t="str">
        <f>VLOOKUP(C465, Customers!A$2:E$301, 5, FALSE)</f>
        <v>Retail</v>
      </c>
      <c r="P465">
        <f>VLOOKUP(C465, Customers!A$2:C$301, 3, FALSE)</f>
        <v>31</v>
      </c>
      <c r="Q465" t="str">
        <f>VLOOKUP(E465, Sales_Reps!A$2:C$31, 3, FALSE)</f>
        <v>East</v>
      </c>
      <c r="R465">
        <f>VLOOKUP(D465, Products!A$2:D$61, 4, FALSE)</f>
        <v>1259</v>
      </c>
    </row>
    <row r="466" spans="1:18" x14ac:dyDescent="0.3">
      <c r="A466" s="13" t="s">
        <v>890</v>
      </c>
      <c r="B466" s="14">
        <v>45302</v>
      </c>
      <c r="C466" s="13" t="s">
        <v>615</v>
      </c>
      <c r="D466" s="13" t="s">
        <v>161</v>
      </c>
      <c r="E466" s="13" t="s">
        <v>92</v>
      </c>
      <c r="F466" s="15">
        <v>8</v>
      </c>
      <c r="G466" s="15">
        <v>3450</v>
      </c>
      <c r="H466" s="15">
        <v>20.399999999999999</v>
      </c>
      <c r="I466" s="15">
        <v>21969.599999999999</v>
      </c>
      <c r="J466" s="13" t="s">
        <v>87</v>
      </c>
      <c r="K466" s="13" t="s">
        <v>112</v>
      </c>
      <c r="L466">
        <f>IF(COUNTIF(A$2:A466, A466)=1, IF(COUNTIF(A$2:A$2001, A466)&gt;1, 1, 0), 0)</f>
        <v>0</v>
      </c>
      <c r="M466" t="b">
        <f>VLOOKUP(D466, Products!A$2:F$61, 6, FALSE)</f>
        <v>1</v>
      </c>
      <c r="N466" t="str">
        <f>VLOOKUP(D466, Products!A$2:C$61, 3, FALSE)</f>
        <v>Sports</v>
      </c>
      <c r="O466" t="str">
        <f>VLOOKUP(C466, Customers!A$2:E$301, 5, FALSE)</f>
        <v>Retail</v>
      </c>
      <c r="P466">
        <f>VLOOKUP(C466, Customers!A$2:C$301, 3, FALSE)</f>
        <v>53</v>
      </c>
      <c r="Q466" t="str">
        <f>VLOOKUP(E466, Sales_Reps!A$2:C$31, 3, FALSE)</f>
        <v>North</v>
      </c>
      <c r="R466">
        <f>VLOOKUP(D466, Products!A$2:D$61, 4, FALSE)</f>
        <v>2467</v>
      </c>
    </row>
    <row r="467" spans="1:18" x14ac:dyDescent="0.3">
      <c r="A467" s="13" t="s">
        <v>891</v>
      </c>
      <c r="B467" s="14">
        <v>45427</v>
      </c>
      <c r="C467" s="13" t="s">
        <v>482</v>
      </c>
      <c r="D467" s="13" t="s">
        <v>360</v>
      </c>
      <c r="E467" s="13" t="s">
        <v>346</v>
      </c>
      <c r="F467" s="15">
        <v>2</v>
      </c>
      <c r="G467" s="15">
        <v>5410</v>
      </c>
      <c r="H467" s="15">
        <v>7.2</v>
      </c>
      <c r="I467" s="15">
        <v>10040.959999999999</v>
      </c>
      <c r="J467" s="13" t="s">
        <v>87</v>
      </c>
      <c r="K467" s="13" t="s">
        <v>133</v>
      </c>
      <c r="L467">
        <f>IF(COUNTIF(A$2:A467, A467)=1, IF(COUNTIF(A$2:A$2001, A467)&gt;1, 1, 0), 0)</f>
        <v>0</v>
      </c>
      <c r="M467" t="b">
        <f>VLOOKUP(D467, Products!A$2:F$61, 6, FALSE)</f>
        <v>1</v>
      </c>
      <c r="N467" t="str">
        <f>VLOOKUP(D467, Products!A$2:C$61, 3, FALSE)</f>
        <v>Sports</v>
      </c>
      <c r="O467" t="str">
        <f>VLOOKUP(C467, Customers!A$2:E$301, 5, FALSE)</f>
        <v>Corporate</v>
      </c>
      <c r="P467">
        <f>VLOOKUP(C467, Customers!A$2:C$301, 3, FALSE)</f>
        <v>52</v>
      </c>
      <c r="Q467" t="str">
        <f>VLOOKUP(E467, Sales_Reps!A$2:C$31, 3, FALSE)</f>
        <v>South</v>
      </c>
      <c r="R467">
        <f>VLOOKUP(D467, Products!A$2:D$61, 4, FALSE)</f>
        <v>2265</v>
      </c>
    </row>
    <row r="468" spans="1:18" x14ac:dyDescent="0.3">
      <c r="A468" s="13" t="s">
        <v>892</v>
      </c>
      <c r="B468" s="14">
        <v>45315</v>
      </c>
      <c r="C468" s="13" t="s">
        <v>589</v>
      </c>
      <c r="D468" s="13" t="s">
        <v>248</v>
      </c>
      <c r="E468" s="13" t="s">
        <v>252</v>
      </c>
      <c r="F468" s="15">
        <v>3</v>
      </c>
      <c r="G468" s="15">
        <v>3870</v>
      </c>
      <c r="H468" s="15">
        <v>4.2</v>
      </c>
      <c r="I468" s="15">
        <v>11122.38</v>
      </c>
      <c r="J468" s="13" t="s">
        <v>87</v>
      </c>
      <c r="K468" s="13" t="s">
        <v>94</v>
      </c>
      <c r="L468">
        <f>IF(COUNTIF(A$2:A468, A468)=1, IF(COUNTIF(A$2:A$2001, A468)&gt;1, 1, 0), 0)</f>
        <v>0</v>
      </c>
      <c r="M468" t="b">
        <f>VLOOKUP(D468, Products!A$2:F$61, 6, FALSE)</f>
        <v>1</v>
      </c>
      <c r="N468" t="str">
        <f>VLOOKUP(D468, Products!A$2:C$61, 3, FALSE)</f>
        <v>Electronics</v>
      </c>
      <c r="O468" t="str">
        <f>VLOOKUP(C468, Customers!A$2:E$301, 5, FALSE)</f>
        <v>Corporate</v>
      </c>
      <c r="P468">
        <f>VLOOKUP(C468, Customers!A$2:C$301, 3, FALSE)</f>
        <v>30</v>
      </c>
      <c r="Q468" t="str">
        <f>VLOOKUP(E468, Sales_Reps!A$2:C$31, 3, FALSE)</f>
        <v>South</v>
      </c>
      <c r="R468">
        <f>VLOOKUP(D468, Products!A$2:D$61, 4, FALSE)</f>
        <v>1559</v>
      </c>
    </row>
    <row r="469" spans="1:18" x14ac:dyDescent="0.3">
      <c r="A469" s="13" t="s">
        <v>893</v>
      </c>
      <c r="B469" s="14">
        <v>45328</v>
      </c>
      <c r="C469" s="13" t="s">
        <v>316</v>
      </c>
      <c r="D469" s="13" t="s">
        <v>131</v>
      </c>
      <c r="E469" s="13" t="s">
        <v>92</v>
      </c>
      <c r="F469" s="15">
        <v>10</v>
      </c>
      <c r="G469" s="15">
        <v>2270</v>
      </c>
      <c r="H469" s="15">
        <v>17.3</v>
      </c>
      <c r="I469" s="15">
        <v>18772.900000000001</v>
      </c>
      <c r="J469" s="13" t="s">
        <v>87</v>
      </c>
      <c r="K469" s="13" t="s">
        <v>88</v>
      </c>
      <c r="L469">
        <f>IF(COUNTIF(A$2:A469, A469)=1, IF(COUNTIF(A$2:A$2001, A469)&gt;1, 1, 0), 0)</f>
        <v>0</v>
      </c>
      <c r="M469" t="b">
        <f>VLOOKUP(D469, Products!A$2:F$61, 6, FALSE)</f>
        <v>1</v>
      </c>
      <c r="N469" t="str">
        <f>VLOOKUP(D469, Products!A$2:C$61, 3, FALSE)</f>
        <v>Grocery</v>
      </c>
      <c r="O469" t="str">
        <f>VLOOKUP(C469, Customers!A$2:E$301, 5, FALSE)</f>
        <v>SMB</v>
      </c>
      <c r="P469">
        <f>VLOOKUP(C469, Customers!A$2:C$301, 3, FALSE)</f>
        <v>60</v>
      </c>
      <c r="Q469" t="str">
        <f>VLOOKUP(E469, Sales_Reps!A$2:C$31, 3, FALSE)</f>
        <v>North</v>
      </c>
      <c r="R469">
        <f>VLOOKUP(D469, Products!A$2:D$61, 4, FALSE)</f>
        <v>1203</v>
      </c>
    </row>
    <row r="470" spans="1:18" x14ac:dyDescent="0.3">
      <c r="A470" s="13" t="s">
        <v>894</v>
      </c>
      <c r="B470" s="14">
        <v>45394</v>
      </c>
      <c r="C470" s="13" t="s">
        <v>895</v>
      </c>
      <c r="D470" s="13" t="s">
        <v>364</v>
      </c>
      <c r="E470" s="13" t="s">
        <v>111</v>
      </c>
      <c r="F470" s="15">
        <v>1</v>
      </c>
      <c r="G470" s="15">
        <v>5330</v>
      </c>
      <c r="H470" s="15">
        <v>24.2</v>
      </c>
      <c r="I470" s="15">
        <v>4040.14</v>
      </c>
      <c r="J470" s="13" t="s">
        <v>87</v>
      </c>
      <c r="K470" s="13" t="s">
        <v>117</v>
      </c>
      <c r="L470">
        <f>IF(COUNTIF(A$2:A470, A470)=1, IF(COUNTIF(A$2:A$2001, A470)&gt;1, 1, 0), 0)</f>
        <v>0</v>
      </c>
      <c r="M470" t="b">
        <f>VLOOKUP(D470, Products!A$2:F$61, 6, FALSE)</f>
        <v>1</v>
      </c>
      <c r="N470" t="str">
        <f>VLOOKUP(D470, Products!A$2:C$61, 3, FALSE)</f>
        <v>Electronics</v>
      </c>
      <c r="O470" t="str">
        <f>VLOOKUP(C470, Customers!A$2:E$301, 5, FALSE)</f>
        <v>Retail</v>
      </c>
      <c r="P470">
        <f>VLOOKUP(C470, Customers!A$2:C$301, 3, FALSE)</f>
        <v>46</v>
      </c>
      <c r="Q470" t="str">
        <f>VLOOKUP(E470, Sales_Reps!A$2:C$31, 3, FALSE)</f>
        <v>West</v>
      </c>
      <c r="R470">
        <f>VLOOKUP(D470, Products!A$2:D$61, 4, FALSE)</f>
        <v>2405</v>
      </c>
    </row>
    <row r="471" spans="1:18" x14ac:dyDescent="0.3">
      <c r="A471" s="13" t="s">
        <v>896</v>
      </c>
      <c r="B471" s="14">
        <v>45414</v>
      </c>
      <c r="C471" s="13" t="s">
        <v>119</v>
      </c>
      <c r="D471" s="13" t="s">
        <v>179</v>
      </c>
      <c r="E471" s="13" t="s">
        <v>188</v>
      </c>
      <c r="F471" s="15">
        <v>2</v>
      </c>
      <c r="G471" s="15">
        <v>3350</v>
      </c>
      <c r="H471" s="15">
        <v>23.4</v>
      </c>
      <c r="I471" s="15">
        <v>5132.2</v>
      </c>
      <c r="J471" s="13" t="s">
        <v>87</v>
      </c>
      <c r="K471" s="13" t="s">
        <v>117</v>
      </c>
      <c r="L471">
        <f>IF(COUNTIF(A$2:A471, A471)=1, IF(COUNTIF(A$2:A$2001, A471)&gt;1, 1, 0), 0)</f>
        <v>0</v>
      </c>
      <c r="M471" t="b">
        <f>VLOOKUP(D471, Products!A$2:F$61, 6, FALSE)</f>
        <v>1</v>
      </c>
      <c r="N471" t="str">
        <f>VLOOKUP(D471, Products!A$2:C$61, 3, FALSE)</f>
        <v>Beauty</v>
      </c>
      <c r="O471" t="str">
        <f>VLOOKUP(C471, Customers!A$2:E$301, 5, FALSE)</f>
        <v>Corporate</v>
      </c>
      <c r="P471">
        <f>VLOOKUP(C471, Customers!A$2:C$301, 3, FALSE)</f>
        <v>57</v>
      </c>
      <c r="Q471" t="str">
        <f>VLOOKUP(E471, Sales_Reps!A$2:C$31, 3, FALSE)</f>
        <v>South</v>
      </c>
      <c r="R471">
        <f>VLOOKUP(D471, Products!A$2:D$61, 4, FALSE)</f>
        <v>1728</v>
      </c>
    </row>
    <row r="472" spans="1:18" x14ac:dyDescent="0.3">
      <c r="A472" s="13" t="s">
        <v>897</v>
      </c>
      <c r="B472" s="14">
        <v>45393</v>
      </c>
      <c r="C472" s="13" t="s">
        <v>823</v>
      </c>
      <c r="D472" s="13" t="s">
        <v>276</v>
      </c>
      <c r="E472" s="13" t="s">
        <v>103</v>
      </c>
      <c r="F472" s="15">
        <v>7</v>
      </c>
      <c r="G472" s="15">
        <v>3020</v>
      </c>
      <c r="H472" s="15">
        <v>23.7</v>
      </c>
      <c r="I472" s="15">
        <v>16129.82</v>
      </c>
      <c r="J472" s="13" t="s">
        <v>87</v>
      </c>
      <c r="K472" s="13" t="s">
        <v>94</v>
      </c>
      <c r="L472">
        <f>IF(COUNTIF(A$2:A472, A472)=1, IF(COUNTIF(A$2:A$2001, A472)&gt;1, 1, 0), 0)</f>
        <v>0</v>
      </c>
      <c r="M472" t="b">
        <f>VLOOKUP(D472, Products!A$2:F$61, 6, FALSE)</f>
        <v>1</v>
      </c>
      <c r="N472" t="str">
        <f>VLOOKUP(D472, Products!A$2:C$61, 3, FALSE)</f>
        <v>Beauty</v>
      </c>
      <c r="O472" t="str">
        <f>VLOOKUP(C472, Customers!A$2:E$301, 5, FALSE)</f>
        <v>Retail</v>
      </c>
      <c r="P472">
        <f>VLOOKUP(C472, Customers!A$2:C$301, 3, FALSE)</f>
        <v>32</v>
      </c>
      <c r="Q472" t="str">
        <f>VLOOKUP(E472, Sales_Reps!A$2:C$31, 3, FALSE)</f>
        <v>North</v>
      </c>
      <c r="R472">
        <f>VLOOKUP(D472, Products!A$2:D$61, 4, FALSE)</f>
        <v>1626</v>
      </c>
    </row>
    <row r="473" spans="1:18" x14ac:dyDescent="0.3">
      <c r="A473" s="13" t="s">
        <v>898</v>
      </c>
      <c r="B473" s="14">
        <v>45535</v>
      </c>
      <c r="C473" s="13" t="s">
        <v>565</v>
      </c>
      <c r="D473" s="13" t="s">
        <v>106</v>
      </c>
      <c r="E473" s="13" t="s">
        <v>192</v>
      </c>
      <c r="F473" s="15">
        <v>7</v>
      </c>
      <c r="G473" s="15">
        <v>3160</v>
      </c>
      <c r="H473" s="15">
        <v>22.8</v>
      </c>
      <c r="I473" s="15">
        <v>17076.64</v>
      </c>
      <c r="J473" s="13" t="s">
        <v>87</v>
      </c>
      <c r="K473" s="13" t="s">
        <v>112</v>
      </c>
      <c r="L473">
        <f>IF(COUNTIF(A$2:A473, A473)=1, IF(COUNTIF(A$2:A$2001, A473)&gt;1, 1, 0), 0)</f>
        <v>0</v>
      </c>
      <c r="M473" t="b">
        <f>VLOOKUP(D473, Products!A$2:F$61, 6, FALSE)</f>
        <v>1</v>
      </c>
      <c r="N473" t="str">
        <f>VLOOKUP(D473, Products!A$2:C$61, 3, FALSE)</f>
        <v>Apparel</v>
      </c>
      <c r="O473" t="str">
        <f>VLOOKUP(C473, Customers!A$2:E$301, 5, FALSE)</f>
        <v>SMB</v>
      </c>
      <c r="P473">
        <f>VLOOKUP(C473, Customers!A$2:C$301, 3, FALSE)</f>
        <v>61</v>
      </c>
      <c r="Q473" t="str">
        <f>VLOOKUP(E473, Sales_Reps!A$2:C$31, 3, FALSE)</f>
        <v>East</v>
      </c>
      <c r="R473">
        <f>VLOOKUP(D473, Products!A$2:D$61, 4, FALSE)</f>
        <v>1886</v>
      </c>
    </row>
    <row r="474" spans="1:18" x14ac:dyDescent="0.3">
      <c r="A474" s="13" t="s">
        <v>899</v>
      </c>
      <c r="B474" s="14">
        <v>45541</v>
      </c>
      <c r="C474" s="13" t="s">
        <v>900</v>
      </c>
      <c r="D474" s="13" t="s">
        <v>97</v>
      </c>
      <c r="E474" s="13" t="s">
        <v>192</v>
      </c>
      <c r="F474" s="15">
        <v>2</v>
      </c>
      <c r="G474" s="15">
        <v>470</v>
      </c>
      <c r="H474" s="15">
        <v>28.8</v>
      </c>
      <c r="I474" s="15">
        <v>669.28</v>
      </c>
      <c r="J474" s="13" t="s">
        <v>140</v>
      </c>
      <c r="K474" s="13" t="s">
        <v>117</v>
      </c>
      <c r="L474">
        <f>IF(COUNTIF(A$2:A474, A474)=1, IF(COUNTIF(A$2:A$2001, A474)&gt;1, 1, 0), 0)</f>
        <v>0</v>
      </c>
      <c r="M474" t="b">
        <f>VLOOKUP(D474, Products!A$2:F$61, 6, FALSE)</f>
        <v>0</v>
      </c>
      <c r="N474" t="str">
        <f>VLOOKUP(D474, Products!A$2:C$61, 3, FALSE)</f>
        <v>Sports</v>
      </c>
      <c r="O474" t="str">
        <f>VLOOKUP(C474, Customers!A$2:E$301, 5, FALSE)</f>
        <v>Retail</v>
      </c>
      <c r="P474">
        <f>VLOOKUP(C474, Customers!A$2:C$301, 3, FALSE)</f>
        <v>35</v>
      </c>
      <c r="Q474" t="str">
        <f>VLOOKUP(E474, Sales_Reps!A$2:C$31, 3, FALSE)</f>
        <v>East</v>
      </c>
      <c r="R474">
        <f>VLOOKUP(D474, Products!A$2:D$61, 4, FALSE)</f>
        <v>302</v>
      </c>
    </row>
    <row r="475" spans="1:18" x14ac:dyDescent="0.3">
      <c r="A475" s="13" t="s">
        <v>901</v>
      </c>
      <c r="B475" s="14">
        <v>45454</v>
      </c>
      <c r="C475" s="13" t="s">
        <v>902</v>
      </c>
      <c r="D475" s="13" t="s">
        <v>143</v>
      </c>
      <c r="E475" s="13" t="s">
        <v>158</v>
      </c>
      <c r="F475" s="15">
        <v>2</v>
      </c>
      <c r="G475" s="15">
        <v>3250</v>
      </c>
      <c r="H475" s="15">
        <v>24.7</v>
      </c>
      <c r="I475" s="15">
        <v>4894.5</v>
      </c>
      <c r="J475" s="13" t="s">
        <v>87</v>
      </c>
      <c r="K475" s="13" t="s">
        <v>112</v>
      </c>
      <c r="L475">
        <f>IF(COUNTIF(A$2:A475, A475)=1, IF(COUNTIF(A$2:A$2001, A475)&gt;1, 1, 0), 0)</f>
        <v>0</v>
      </c>
      <c r="M475" t="b">
        <f>VLOOKUP(D475, Products!A$2:F$61, 6, FALSE)</f>
        <v>1</v>
      </c>
      <c r="N475" t="str">
        <f>VLOOKUP(D475, Products!A$2:C$61, 3, FALSE)</f>
        <v>Home</v>
      </c>
      <c r="O475" t="str">
        <f>VLOOKUP(C475, Customers!A$2:E$301, 5, FALSE)</f>
        <v>Retail</v>
      </c>
      <c r="P475">
        <f>VLOOKUP(C475, Customers!A$2:C$301, 3, FALSE)</f>
        <v>37</v>
      </c>
      <c r="Q475" t="str">
        <f>VLOOKUP(E475, Sales_Reps!A$2:C$31, 3, FALSE)</f>
        <v>East</v>
      </c>
      <c r="R475">
        <f>VLOOKUP(D475, Products!A$2:D$61, 4, FALSE)</f>
        <v>1556</v>
      </c>
    </row>
    <row r="476" spans="1:18" x14ac:dyDescent="0.3">
      <c r="A476" s="13" t="s">
        <v>903</v>
      </c>
      <c r="B476" s="14">
        <v>45631</v>
      </c>
      <c r="C476" s="13" t="s">
        <v>390</v>
      </c>
      <c r="D476" s="13" t="s">
        <v>182</v>
      </c>
      <c r="E476" s="13" t="s">
        <v>154</v>
      </c>
      <c r="F476" s="15">
        <v>2</v>
      </c>
      <c r="G476" s="15">
        <v>1010</v>
      </c>
      <c r="H476" s="15">
        <v>5.2</v>
      </c>
      <c r="I476" s="15">
        <v>1914.96</v>
      </c>
      <c r="J476" s="13" t="s">
        <v>140</v>
      </c>
      <c r="K476" s="13" t="s">
        <v>88</v>
      </c>
      <c r="L476">
        <f>IF(COUNTIF(A$2:A476, A476)=1, IF(COUNTIF(A$2:A$2001, A476)&gt;1, 1, 0), 0)</f>
        <v>0</v>
      </c>
      <c r="M476" t="b">
        <f>VLOOKUP(D476, Products!A$2:F$61, 6, FALSE)</f>
        <v>1</v>
      </c>
      <c r="N476" t="str">
        <f>VLOOKUP(D476, Products!A$2:C$61, 3, FALSE)</f>
        <v>Sports</v>
      </c>
      <c r="O476" t="str">
        <f>VLOOKUP(C476, Customers!A$2:E$301, 5, FALSE)</f>
        <v>SMB</v>
      </c>
      <c r="P476">
        <f>VLOOKUP(C476, Customers!A$2:C$301, 3, FALSE)</f>
        <v>54</v>
      </c>
      <c r="Q476" t="str">
        <f>VLOOKUP(E476, Sales_Reps!A$2:C$31, 3, FALSE)</f>
        <v>East</v>
      </c>
      <c r="R476">
        <f>VLOOKUP(D476, Products!A$2:D$61, 4, FALSE)</f>
        <v>516</v>
      </c>
    </row>
    <row r="477" spans="1:18" x14ac:dyDescent="0.3">
      <c r="A477" s="13" t="s">
        <v>904</v>
      </c>
      <c r="B477" s="14">
        <v>45588</v>
      </c>
      <c r="C477" s="13" t="s">
        <v>905</v>
      </c>
      <c r="D477" s="13" t="s">
        <v>282</v>
      </c>
      <c r="E477" s="13" t="s">
        <v>215</v>
      </c>
      <c r="F477" s="15">
        <v>9</v>
      </c>
      <c r="G477" s="15">
        <v>300</v>
      </c>
      <c r="H477" s="15">
        <v>7.9</v>
      </c>
      <c r="I477" s="15">
        <v>2486.6999999999998</v>
      </c>
      <c r="J477" s="13" t="s">
        <v>87</v>
      </c>
      <c r="K477" s="13" t="s">
        <v>112</v>
      </c>
      <c r="L477">
        <f>IF(COUNTIF(A$2:A477, A477)=1, IF(COUNTIF(A$2:A$2001, A477)&gt;1, 1, 0), 0)</f>
        <v>0</v>
      </c>
      <c r="M477" t="b">
        <f>VLOOKUP(D477, Products!A$2:F$61, 6, FALSE)</f>
        <v>1</v>
      </c>
      <c r="N477" t="str">
        <f>VLOOKUP(D477, Products!A$2:C$61, 3, FALSE)</f>
        <v>Electronics</v>
      </c>
      <c r="O477" t="str">
        <f>VLOOKUP(C477, Customers!A$2:E$301, 5, FALSE)</f>
        <v>SMB</v>
      </c>
      <c r="P477">
        <f>VLOOKUP(C477, Customers!A$2:C$301, 3, FALSE)</f>
        <v>43</v>
      </c>
      <c r="Q477" t="str">
        <f>VLOOKUP(E477, Sales_Reps!A$2:C$31, 3, FALSE)</f>
        <v>North</v>
      </c>
      <c r="R477">
        <f>VLOOKUP(D477, Products!A$2:D$61, 4, FALSE)</f>
        <v>128</v>
      </c>
    </row>
    <row r="478" spans="1:18" x14ac:dyDescent="0.3">
      <c r="A478" s="13" t="s">
        <v>906</v>
      </c>
      <c r="B478" s="14">
        <v>45469</v>
      </c>
      <c r="C478" s="13" t="s">
        <v>703</v>
      </c>
      <c r="D478" s="13" t="s">
        <v>191</v>
      </c>
      <c r="E478" s="13" t="s">
        <v>103</v>
      </c>
      <c r="F478" s="15">
        <v>10</v>
      </c>
      <c r="G478" s="15">
        <v>5100</v>
      </c>
      <c r="H478" s="15">
        <v>26.3</v>
      </c>
      <c r="I478" s="15">
        <v>37587</v>
      </c>
      <c r="J478" s="13" t="s">
        <v>93</v>
      </c>
      <c r="K478" s="13" t="s">
        <v>88</v>
      </c>
      <c r="L478">
        <f>IF(COUNTIF(A$2:A478, A478)=1, IF(COUNTIF(A$2:A$2001, A478)&gt;1, 1, 0), 0)</f>
        <v>0</v>
      </c>
      <c r="M478" t="b">
        <f>VLOOKUP(D478, Products!A$2:F$61, 6, FALSE)</f>
        <v>1</v>
      </c>
      <c r="N478" t="str">
        <f>VLOOKUP(D478, Products!A$2:C$61, 3, FALSE)</f>
        <v>Beauty</v>
      </c>
      <c r="O478" t="str">
        <f>VLOOKUP(C478, Customers!A$2:E$301, 5, FALSE)</f>
        <v>Corporate</v>
      </c>
      <c r="P478">
        <f>VLOOKUP(C478, Customers!A$2:C$301, 3, FALSE)</f>
        <v>52</v>
      </c>
      <c r="Q478" t="str">
        <f>VLOOKUP(E478, Sales_Reps!A$2:C$31, 3, FALSE)</f>
        <v>North</v>
      </c>
      <c r="R478">
        <f>VLOOKUP(D478, Products!A$2:D$61, 4, FALSE)</f>
        <v>2237</v>
      </c>
    </row>
    <row r="479" spans="1:18" x14ac:dyDescent="0.3">
      <c r="A479" s="13" t="s">
        <v>907</v>
      </c>
      <c r="B479" s="14">
        <v>45552</v>
      </c>
      <c r="C479" s="13" t="s">
        <v>908</v>
      </c>
      <c r="D479" s="13" t="s">
        <v>179</v>
      </c>
      <c r="E479" s="13" t="s">
        <v>128</v>
      </c>
      <c r="F479" s="15">
        <v>1</v>
      </c>
      <c r="G479" s="15">
        <v>3350</v>
      </c>
      <c r="H479" s="15">
        <v>8.5</v>
      </c>
      <c r="I479" s="15">
        <v>3065.25</v>
      </c>
      <c r="J479" s="13" t="s">
        <v>140</v>
      </c>
      <c r="K479" s="13" t="s">
        <v>133</v>
      </c>
      <c r="L479">
        <f>IF(COUNTIF(A$2:A479, A479)=1, IF(COUNTIF(A$2:A$2001, A479)&gt;1, 1, 0), 0)</f>
        <v>0</v>
      </c>
      <c r="M479" t="b">
        <f>VLOOKUP(D479, Products!A$2:F$61, 6, FALSE)</f>
        <v>1</v>
      </c>
      <c r="N479" t="str">
        <f>VLOOKUP(D479, Products!A$2:C$61, 3, FALSE)</f>
        <v>Beauty</v>
      </c>
      <c r="O479" t="str">
        <f>VLOOKUP(C479, Customers!A$2:E$301, 5, FALSE)</f>
        <v>Retail</v>
      </c>
      <c r="P479">
        <f>VLOOKUP(C479, Customers!A$2:C$301, 3, FALSE)</f>
        <v>31</v>
      </c>
      <c r="Q479" t="str">
        <f>VLOOKUP(E479, Sales_Reps!A$2:C$31, 3, FALSE)</f>
        <v>West</v>
      </c>
      <c r="R479">
        <f>VLOOKUP(D479, Products!A$2:D$61, 4, FALSE)</f>
        <v>1728</v>
      </c>
    </row>
    <row r="480" spans="1:18" x14ac:dyDescent="0.3">
      <c r="A480" s="13" t="s">
        <v>909</v>
      </c>
      <c r="B480" s="14">
        <v>45554</v>
      </c>
      <c r="C480" s="13" t="s">
        <v>910</v>
      </c>
      <c r="D480" s="13" t="s">
        <v>143</v>
      </c>
      <c r="E480" s="13" t="s">
        <v>285</v>
      </c>
      <c r="F480" s="15">
        <v>2</v>
      </c>
      <c r="G480" s="15">
        <v>3250</v>
      </c>
      <c r="H480" s="15">
        <v>25.7</v>
      </c>
      <c r="I480" s="15">
        <v>4829.5</v>
      </c>
      <c r="J480" s="13" t="s">
        <v>144</v>
      </c>
      <c r="K480" s="13" t="s">
        <v>99</v>
      </c>
      <c r="L480">
        <f>IF(COUNTIF(A$2:A480, A480)=1, IF(COUNTIF(A$2:A$2001, A480)&gt;1, 1, 0), 0)</f>
        <v>1</v>
      </c>
      <c r="M480" t="b">
        <f>VLOOKUP(D480, Products!A$2:F$61, 6, FALSE)</f>
        <v>1</v>
      </c>
      <c r="N480" t="str">
        <f>VLOOKUP(D480, Products!A$2:C$61, 3, FALSE)</f>
        <v>Home</v>
      </c>
      <c r="O480" t="str">
        <f>VLOOKUP(C480, Customers!A$2:E$301, 5, FALSE)</f>
        <v>Retail</v>
      </c>
      <c r="P480">
        <f>VLOOKUP(C480, Customers!A$2:C$301, 3, FALSE)</f>
        <v>55</v>
      </c>
      <c r="Q480" t="str">
        <f>VLOOKUP(E480, Sales_Reps!A$2:C$31, 3, FALSE)</f>
        <v>East</v>
      </c>
      <c r="R480">
        <f>VLOOKUP(D480, Products!A$2:D$61, 4, FALSE)</f>
        <v>1556</v>
      </c>
    </row>
    <row r="481" spans="1:18" x14ac:dyDescent="0.3">
      <c r="A481" s="13" t="s">
        <v>911</v>
      </c>
      <c r="B481" s="14">
        <v>45352</v>
      </c>
      <c r="C481" s="13" t="s">
        <v>146</v>
      </c>
      <c r="D481" s="13" t="s">
        <v>102</v>
      </c>
      <c r="E481" s="13" t="s">
        <v>107</v>
      </c>
      <c r="F481" s="15">
        <v>10</v>
      </c>
      <c r="G481" s="15">
        <v>3660</v>
      </c>
      <c r="H481" s="15">
        <v>12</v>
      </c>
      <c r="I481" s="15">
        <v>32208</v>
      </c>
      <c r="J481" s="13" t="s">
        <v>87</v>
      </c>
      <c r="K481" s="13" t="s">
        <v>88</v>
      </c>
      <c r="L481">
        <f>IF(COUNTIF(A$2:A481, A481)=1, IF(COUNTIF(A$2:A$2001, A481)&gt;1, 1, 0), 0)</f>
        <v>0</v>
      </c>
      <c r="M481" t="b">
        <f>VLOOKUP(D481, Products!A$2:F$61, 6, FALSE)</f>
        <v>0</v>
      </c>
      <c r="N481" t="str">
        <f>VLOOKUP(D481, Products!A$2:C$61, 3, FALSE)</f>
        <v>Grocery</v>
      </c>
      <c r="O481" t="str">
        <f>VLOOKUP(C481, Customers!A$2:E$301, 5, FALSE)</f>
        <v>Retail</v>
      </c>
      <c r="P481">
        <f>VLOOKUP(C481, Customers!A$2:C$301, 3, FALSE)</f>
        <v>38</v>
      </c>
      <c r="Q481" t="str">
        <f>VLOOKUP(E481, Sales_Reps!A$2:C$31, 3, FALSE)</f>
        <v>North</v>
      </c>
      <c r="R481">
        <f>VLOOKUP(D481, Products!A$2:D$61, 4, FALSE)</f>
        <v>2214</v>
      </c>
    </row>
    <row r="482" spans="1:18" x14ac:dyDescent="0.3">
      <c r="A482" s="13" t="s">
        <v>912</v>
      </c>
      <c r="B482" s="14">
        <v>45521</v>
      </c>
      <c r="C482" s="13" t="s">
        <v>217</v>
      </c>
      <c r="D482" s="13" t="s">
        <v>151</v>
      </c>
      <c r="E482" s="13" t="s">
        <v>204</v>
      </c>
      <c r="F482" s="15">
        <v>1</v>
      </c>
      <c r="G482" s="15">
        <v>2400</v>
      </c>
      <c r="H482" s="15">
        <v>24.5</v>
      </c>
      <c r="I482" s="15">
        <v>1812</v>
      </c>
      <c r="J482" s="13" t="s">
        <v>87</v>
      </c>
      <c r="K482" s="13" t="s">
        <v>94</v>
      </c>
      <c r="L482">
        <f>IF(COUNTIF(A$2:A482, A482)=1, IF(COUNTIF(A$2:A$2001, A482)&gt;1, 1, 0), 0)</f>
        <v>0</v>
      </c>
      <c r="M482" t="b">
        <f>VLOOKUP(D482, Products!A$2:F$61, 6, FALSE)</f>
        <v>1</v>
      </c>
      <c r="N482" t="str">
        <f>VLOOKUP(D482, Products!A$2:C$61, 3, FALSE)</f>
        <v>Sports</v>
      </c>
      <c r="O482" t="str">
        <f>VLOOKUP(C482, Customers!A$2:E$301, 5, FALSE)</f>
        <v>Retail</v>
      </c>
      <c r="P482">
        <f>VLOOKUP(C482, Customers!A$2:C$301, 3, FALSE)</f>
        <v>51</v>
      </c>
      <c r="Q482" t="str">
        <f>VLOOKUP(E482, Sales_Reps!A$2:C$31, 3, FALSE)</f>
        <v>South</v>
      </c>
      <c r="R482">
        <f>VLOOKUP(D482, Products!A$2:D$61, 4, FALSE)</f>
        <v>974</v>
      </c>
    </row>
    <row r="483" spans="1:18" x14ac:dyDescent="0.3">
      <c r="A483" s="13" t="s">
        <v>913</v>
      </c>
      <c r="B483" s="14">
        <v>45496</v>
      </c>
      <c r="C483" s="13" t="s">
        <v>434</v>
      </c>
      <c r="D483" s="13" t="s">
        <v>502</v>
      </c>
      <c r="E483" s="13" t="s">
        <v>132</v>
      </c>
      <c r="F483" s="15">
        <v>1</v>
      </c>
      <c r="G483" s="15">
        <v>1090</v>
      </c>
      <c r="H483" s="15">
        <v>18.399999999999999</v>
      </c>
      <c r="I483" s="15">
        <v>889.44</v>
      </c>
      <c r="J483" s="13" t="s">
        <v>87</v>
      </c>
      <c r="K483" s="13" t="s">
        <v>99</v>
      </c>
      <c r="L483">
        <f>IF(COUNTIF(A$2:A483, A483)=1, IF(COUNTIF(A$2:A$2001, A483)&gt;1, 1, 0), 0)</f>
        <v>0</v>
      </c>
      <c r="M483" t="b">
        <f>VLOOKUP(D483, Products!A$2:F$61, 6, FALSE)</f>
        <v>1</v>
      </c>
      <c r="N483" t="str">
        <f>VLOOKUP(D483, Products!A$2:C$61, 3, FALSE)</f>
        <v>Home</v>
      </c>
      <c r="O483" t="str">
        <f>VLOOKUP(C483, Customers!A$2:E$301, 5, FALSE)</f>
        <v>Corporate</v>
      </c>
      <c r="P483">
        <f>VLOOKUP(C483, Customers!A$2:C$301, 3, FALSE)</f>
        <v>31</v>
      </c>
      <c r="Q483" t="str">
        <f>VLOOKUP(E483, Sales_Reps!A$2:C$31, 3, FALSE)</f>
        <v>South</v>
      </c>
      <c r="R483">
        <f>VLOOKUP(D483, Products!A$2:D$61, 4, FALSE)</f>
        <v>464</v>
      </c>
    </row>
    <row r="484" spans="1:18" x14ac:dyDescent="0.3">
      <c r="A484" s="13" t="s">
        <v>914</v>
      </c>
      <c r="B484" s="14">
        <v>45404</v>
      </c>
      <c r="C484" s="13" t="s">
        <v>795</v>
      </c>
      <c r="D484" s="13" t="s">
        <v>461</v>
      </c>
      <c r="E484" s="13" t="s">
        <v>188</v>
      </c>
      <c r="F484" s="15">
        <v>6</v>
      </c>
      <c r="G484" s="15">
        <v>3780</v>
      </c>
      <c r="H484" s="15">
        <v>15.9</v>
      </c>
      <c r="I484" s="15">
        <v>19073.88</v>
      </c>
      <c r="J484" s="13" t="s">
        <v>87</v>
      </c>
      <c r="K484" s="13" t="s">
        <v>94</v>
      </c>
      <c r="L484">
        <f>IF(COUNTIF(A$2:A484, A484)=1, IF(COUNTIF(A$2:A$2001, A484)&gt;1, 1, 0), 0)</f>
        <v>0</v>
      </c>
      <c r="M484" t="b">
        <f>VLOOKUP(D484, Products!A$2:F$61, 6, FALSE)</f>
        <v>1</v>
      </c>
      <c r="N484" t="str">
        <f>VLOOKUP(D484, Products!A$2:C$61, 3, FALSE)</f>
        <v>Sports</v>
      </c>
      <c r="O484" t="str">
        <f>VLOOKUP(C484, Customers!A$2:E$301, 5, FALSE)</f>
        <v>Retail</v>
      </c>
      <c r="P484">
        <f>VLOOKUP(C484, Customers!A$2:C$301, 3, FALSE)</f>
        <v>22</v>
      </c>
      <c r="Q484" t="str">
        <f>VLOOKUP(E484, Sales_Reps!A$2:C$31, 3, FALSE)</f>
        <v>South</v>
      </c>
      <c r="R484">
        <f>VLOOKUP(D484, Products!A$2:D$61, 4, FALSE)</f>
        <v>1860</v>
      </c>
    </row>
    <row r="485" spans="1:18" x14ac:dyDescent="0.3">
      <c r="A485" s="13" t="s">
        <v>915</v>
      </c>
      <c r="B485" s="14">
        <v>45330</v>
      </c>
      <c r="C485" s="13" t="s">
        <v>479</v>
      </c>
      <c r="D485" s="13" t="s">
        <v>179</v>
      </c>
      <c r="E485" s="13" t="s">
        <v>121</v>
      </c>
      <c r="F485" s="15">
        <v>3</v>
      </c>
      <c r="G485" s="15">
        <v>3350</v>
      </c>
      <c r="H485" s="15">
        <v>18.8</v>
      </c>
      <c r="I485" s="15">
        <v>8160.6</v>
      </c>
      <c r="J485" s="13" t="s">
        <v>144</v>
      </c>
      <c r="K485" s="13" t="s">
        <v>88</v>
      </c>
      <c r="L485">
        <f>IF(COUNTIF(A$2:A485, A485)=1, IF(COUNTIF(A$2:A$2001, A485)&gt;1, 1, 0), 0)</f>
        <v>0</v>
      </c>
      <c r="M485" t="b">
        <f>VLOOKUP(D485, Products!A$2:F$61, 6, FALSE)</f>
        <v>1</v>
      </c>
      <c r="N485" t="str">
        <f>VLOOKUP(D485, Products!A$2:C$61, 3, FALSE)</f>
        <v>Beauty</v>
      </c>
      <c r="O485" t="str">
        <f>VLOOKUP(C485, Customers!A$2:E$301, 5, FALSE)</f>
        <v>SMB</v>
      </c>
      <c r="P485">
        <f>VLOOKUP(C485, Customers!A$2:C$301, 3, FALSE)</f>
        <v>49</v>
      </c>
      <c r="Q485" t="str">
        <f>VLOOKUP(E485, Sales_Reps!A$2:C$31, 3, FALSE)</f>
        <v>East</v>
      </c>
      <c r="R485">
        <f>VLOOKUP(D485, Products!A$2:D$61, 4, FALSE)</f>
        <v>1728</v>
      </c>
    </row>
    <row r="486" spans="1:18" x14ac:dyDescent="0.3">
      <c r="A486" s="13" t="s">
        <v>916</v>
      </c>
      <c r="B486" s="14">
        <v>45323</v>
      </c>
      <c r="C486" s="13" t="s">
        <v>119</v>
      </c>
      <c r="D486" s="13" t="s">
        <v>164</v>
      </c>
      <c r="E486" s="13" t="s">
        <v>170</v>
      </c>
      <c r="F486" s="15">
        <v>3</v>
      </c>
      <c r="G486" s="15">
        <v>1080</v>
      </c>
      <c r="H486" s="15">
        <v>3.4</v>
      </c>
      <c r="I486" s="15">
        <v>3129.84</v>
      </c>
      <c r="J486" s="13" t="s">
        <v>87</v>
      </c>
      <c r="K486" s="13" t="s">
        <v>117</v>
      </c>
      <c r="L486">
        <f>IF(COUNTIF(A$2:A486, A486)=1, IF(COUNTIF(A$2:A$2001, A486)&gt;1, 1, 0), 0)</f>
        <v>0</v>
      </c>
      <c r="M486" t="b">
        <f>VLOOKUP(D486, Products!A$2:F$61, 6, FALSE)</f>
        <v>1</v>
      </c>
      <c r="N486" t="str">
        <f>VLOOKUP(D486, Products!A$2:C$61, 3, FALSE)</f>
        <v>Home</v>
      </c>
      <c r="O486" t="str">
        <f>VLOOKUP(C486, Customers!A$2:E$301, 5, FALSE)</f>
        <v>Corporate</v>
      </c>
      <c r="P486">
        <f>VLOOKUP(C486, Customers!A$2:C$301, 3, FALSE)</f>
        <v>57</v>
      </c>
      <c r="Q486" t="str">
        <f>VLOOKUP(E486, Sales_Reps!A$2:C$31, 3, FALSE)</f>
        <v>West</v>
      </c>
      <c r="R486">
        <f>VLOOKUP(D486, Products!A$2:D$61, 4, FALSE)</f>
        <v>519</v>
      </c>
    </row>
    <row r="487" spans="1:18" x14ac:dyDescent="0.3">
      <c r="A487" s="13" t="s">
        <v>917</v>
      </c>
      <c r="B487" s="14">
        <v>45519</v>
      </c>
      <c r="C487" s="13" t="s">
        <v>318</v>
      </c>
      <c r="D487" s="13" t="s">
        <v>264</v>
      </c>
      <c r="E487" s="13" t="s">
        <v>285</v>
      </c>
      <c r="F487" s="15">
        <v>6</v>
      </c>
      <c r="G487" s="15">
        <v>4070</v>
      </c>
      <c r="H487" s="15">
        <v>27.7</v>
      </c>
      <c r="I487" s="15">
        <v>17655.66</v>
      </c>
      <c r="J487" s="13" t="s">
        <v>93</v>
      </c>
      <c r="K487" s="13" t="s">
        <v>94</v>
      </c>
      <c r="L487">
        <f>IF(COUNTIF(A$2:A487, A487)=1, IF(COUNTIF(A$2:A$2001, A487)&gt;1, 1, 0), 0)</f>
        <v>0</v>
      </c>
      <c r="M487" t="b">
        <f>VLOOKUP(D487, Products!A$2:F$61, 6, FALSE)</f>
        <v>1</v>
      </c>
      <c r="N487" t="str">
        <f>VLOOKUP(D487, Products!A$2:C$61, 3, FALSE)</f>
        <v>Grocery</v>
      </c>
      <c r="O487" t="str">
        <f>VLOOKUP(C487, Customers!A$2:E$301, 5, FALSE)</f>
        <v>SMB</v>
      </c>
      <c r="P487">
        <f>VLOOKUP(C487, Customers!A$2:C$301, 3, FALSE)</f>
        <v>57</v>
      </c>
      <c r="Q487" t="str">
        <f>VLOOKUP(E487, Sales_Reps!A$2:C$31, 3, FALSE)</f>
        <v>East</v>
      </c>
      <c r="R487">
        <f>VLOOKUP(D487, Products!A$2:D$61, 4, FALSE)</f>
        <v>2027</v>
      </c>
    </row>
    <row r="488" spans="1:18" x14ac:dyDescent="0.3">
      <c r="A488" s="13" t="s">
        <v>918</v>
      </c>
      <c r="B488" s="14">
        <v>45514</v>
      </c>
      <c r="C488" s="13" t="s">
        <v>795</v>
      </c>
      <c r="D488" s="13" t="s">
        <v>259</v>
      </c>
      <c r="E488" s="13" t="s">
        <v>201</v>
      </c>
      <c r="F488" s="15">
        <v>5</v>
      </c>
      <c r="G488" s="15">
        <v>1540</v>
      </c>
      <c r="H488" s="15">
        <v>24.9</v>
      </c>
      <c r="I488" s="15">
        <v>5782.7</v>
      </c>
      <c r="J488" s="13" t="s">
        <v>87</v>
      </c>
      <c r="K488" s="13" t="s">
        <v>94</v>
      </c>
      <c r="L488">
        <f>IF(COUNTIF(A$2:A488, A488)=1, IF(COUNTIF(A$2:A$2001, A488)&gt;1, 1, 0), 0)</f>
        <v>0</v>
      </c>
      <c r="M488" t="b">
        <f>VLOOKUP(D488, Products!A$2:F$61, 6, FALSE)</f>
        <v>0</v>
      </c>
      <c r="N488" t="str">
        <f>VLOOKUP(D488, Products!A$2:C$61, 3, FALSE)</f>
        <v>Beauty</v>
      </c>
      <c r="O488" t="str">
        <f>VLOOKUP(C488, Customers!A$2:E$301, 5, FALSE)</f>
        <v>Retail</v>
      </c>
      <c r="P488">
        <f>VLOOKUP(C488, Customers!A$2:C$301, 3, FALSE)</f>
        <v>22</v>
      </c>
      <c r="Q488" t="str">
        <f>VLOOKUP(E488, Sales_Reps!A$2:C$31, 3, FALSE)</f>
        <v>West</v>
      </c>
      <c r="R488">
        <f>VLOOKUP(D488, Products!A$2:D$61, 4, FALSE)</f>
        <v>647</v>
      </c>
    </row>
    <row r="489" spans="1:18" x14ac:dyDescent="0.3">
      <c r="A489" s="13" t="s">
        <v>919</v>
      </c>
      <c r="B489" s="14">
        <v>45497</v>
      </c>
      <c r="C489" s="13" t="s">
        <v>394</v>
      </c>
      <c r="D489" s="13" t="s">
        <v>200</v>
      </c>
      <c r="E489" s="13" t="s">
        <v>128</v>
      </c>
      <c r="F489" s="15">
        <v>6</v>
      </c>
      <c r="G489" s="15">
        <v>2760</v>
      </c>
      <c r="H489" s="15">
        <v>29.9</v>
      </c>
      <c r="I489" s="15">
        <v>11608.56</v>
      </c>
      <c r="J489" s="13" t="s">
        <v>87</v>
      </c>
      <c r="K489" s="13" t="s">
        <v>117</v>
      </c>
      <c r="L489">
        <f>IF(COUNTIF(A$2:A489, A489)=1, IF(COUNTIF(A$2:A$2001, A489)&gt;1, 1, 0), 0)</f>
        <v>0</v>
      </c>
      <c r="M489" t="b">
        <f>VLOOKUP(D489, Products!A$2:F$61, 6, FALSE)</f>
        <v>1</v>
      </c>
      <c r="N489" t="str">
        <f>VLOOKUP(D489, Products!A$2:C$61, 3, FALSE)</f>
        <v>Grocery</v>
      </c>
      <c r="O489" t="str">
        <f>VLOOKUP(C489, Customers!A$2:E$301, 5, FALSE)</f>
        <v>SMB</v>
      </c>
      <c r="P489">
        <f>VLOOKUP(C489, Customers!A$2:C$301, 3, FALSE)</f>
        <v>28</v>
      </c>
      <c r="Q489" t="str">
        <f>VLOOKUP(E489, Sales_Reps!A$2:C$31, 3, FALSE)</f>
        <v>West</v>
      </c>
      <c r="R489">
        <f>VLOOKUP(D489, Products!A$2:D$61, 4, FALSE)</f>
        <v>1435</v>
      </c>
    </row>
    <row r="490" spans="1:18" x14ac:dyDescent="0.3">
      <c r="A490" s="13" t="s">
        <v>920</v>
      </c>
      <c r="B490" s="14">
        <v>45639</v>
      </c>
      <c r="C490" s="13" t="s">
        <v>921</v>
      </c>
      <c r="D490" s="13" t="s">
        <v>408</v>
      </c>
      <c r="E490" s="13" t="s">
        <v>285</v>
      </c>
      <c r="F490" s="15">
        <v>8</v>
      </c>
      <c r="G490" s="15">
        <v>3970</v>
      </c>
      <c r="H490" s="15">
        <v>23.7</v>
      </c>
      <c r="I490" s="15">
        <v>24232.880000000001</v>
      </c>
      <c r="J490" s="13" t="s">
        <v>87</v>
      </c>
      <c r="K490" s="13" t="s">
        <v>117</v>
      </c>
      <c r="L490">
        <f>IF(COUNTIF(A$2:A490, A490)=1, IF(COUNTIF(A$2:A$2001, A490)&gt;1, 1, 0), 0)</f>
        <v>0</v>
      </c>
      <c r="M490" t="b">
        <f>VLOOKUP(D490, Products!A$2:F$61, 6, FALSE)</f>
        <v>1</v>
      </c>
      <c r="N490" t="str">
        <f>VLOOKUP(D490, Products!A$2:C$61, 3, FALSE)</f>
        <v>Electronics</v>
      </c>
      <c r="O490" t="str">
        <f>VLOOKUP(C490, Customers!A$2:E$301, 5, FALSE)</f>
        <v>Retail</v>
      </c>
      <c r="P490">
        <f>VLOOKUP(C490, Customers!A$2:C$301, 3, FALSE)</f>
        <v>28</v>
      </c>
      <c r="Q490" t="str">
        <f>VLOOKUP(E490, Sales_Reps!A$2:C$31, 3, FALSE)</f>
        <v>East</v>
      </c>
      <c r="R490">
        <f>VLOOKUP(D490, Products!A$2:D$61, 4, FALSE)</f>
        <v>2865</v>
      </c>
    </row>
    <row r="491" spans="1:18" x14ac:dyDescent="0.3">
      <c r="A491" s="13" t="s">
        <v>922</v>
      </c>
      <c r="B491" s="14">
        <v>45562</v>
      </c>
      <c r="C491" s="13" t="s">
        <v>902</v>
      </c>
      <c r="D491" s="13" t="s">
        <v>452</v>
      </c>
      <c r="E491" s="13" t="s">
        <v>158</v>
      </c>
      <c r="F491" s="15">
        <v>1</v>
      </c>
      <c r="G491" s="15">
        <v>3450</v>
      </c>
      <c r="H491" s="15">
        <v>7.4</v>
      </c>
      <c r="I491" s="15">
        <v>3194.7</v>
      </c>
      <c r="J491" s="13" t="s">
        <v>87</v>
      </c>
      <c r="K491" s="13" t="s">
        <v>112</v>
      </c>
      <c r="L491">
        <f>IF(COUNTIF(A$2:A491, A491)=1, IF(COUNTIF(A$2:A$2001, A491)&gt;1, 1, 0), 0)</f>
        <v>0</v>
      </c>
      <c r="M491" t="b">
        <f>VLOOKUP(D491, Products!A$2:F$61, 6, FALSE)</f>
        <v>1</v>
      </c>
      <c r="N491" t="str">
        <f>VLOOKUP(D491, Products!A$2:C$61, 3, FALSE)</f>
        <v>Apparel</v>
      </c>
      <c r="O491" t="str">
        <f>VLOOKUP(C491, Customers!A$2:E$301, 5, FALSE)</f>
        <v>Retail</v>
      </c>
      <c r="P491">
        <f>VLOOKUP(C491, Customers!A$2:C$301, 3, FALSE)</f>
        <v>37</v>
      </c>
      <c r="Q491" t="str">
        <f>VLOOKUP(E491, Sales_Reps!A$2:C$31, 3, FALSE)</f>
        <v>East</v>
      </c>
      <c r="R491">
        <f>VLOOKUP(D491, Products!A$2:D$61, 4, FALSE)</f>
        <v>1748</v>
      </c>
    </row>
    <row r="492" spans="1:18" x14ac:dyDescent="0.3">
      <c r="A492" s="13" t="s">
        <v>923</v>
      </c>
      <c r="B492" s="14">
        <v>45308</v>
      </c>
      <c r="C492" s="13" t="s">
        <v>504</v>
      </c>
      <c r="D492" s="13" t="s">
        <v>659</v>
      </c>
      <c r="E492" s="13" t="s">
        <v>92</v>
      </c>
      <c r="F492" s="15">
        <v>3</v>
      </c>
      <c r="G492" s="15">
        <v>3560</v>
      </c>
      <c r="H492" s="15">
        <v>15.2</v>
      </c>
      <c r="I492" s="15">
        <v>9056.64</v>
      </c>
      <c r="J492" s="13" t="s">
        <v>87</v>
      </c>
      <c r="K492" s="13" t="s">
        <v>117</v>
      </c>
      <c r="L492">
        <f>IF(COUNTIF(A$2:A492, A492)=1, IF(COUNTIF(A$2:A$2001, A492)&gt;1, 1, 0), 0)</f>
        <v>0</v>
      </c>
      <c r="M492" t="b">
        <f>VLOOKUP(D492, Products!A$2:F$61, 6, FALSE)</f>
        <v>1</v>
      </c>
      <c r="N492" t="str">
        <f>VLOOKUP(D492, Products!A$2:C$61, 3, FALSE)</f>
        <v>Apparel</v>
      </c>
      <c r="O492" t="str">
        <f>VLOOKUP(C492, Customers!A$2:E$301, 5, FALSE)</f>
        <v>Corporate</v>
      </c>
      <c r="P492">
        <f>VLOOKUP(C492, Customers!A$2:C$301, 3, FALSE)</f>
        <v>36</v>
      </c>
      <c r="Q492" t="str">
        <f>VLOOKUP(E492, Sales_Reps!A$2:C$31, 3, FALSE)</f>
        <v>North</v>
      </c>
      <c r="R492">
        <f>VLOOKUP(D492, Products!A$2:D$61, 4, FALSE)</f>
        <v>2629</v>
      </c>
    </row>
    <row r="493" spans="1:18" x14ac:dyDescent="0.3">
      <c r="A493" s="13" t="s">
        <v>924</v>
      </c>
      <c r="B493" s="14">
        <v>45428</v>
      </c>
      <c r="C493" s="13" t="s">
        <v>487</v>
      </c>
      <c r="D493" s="13" t="s">
        <v>187</v>
      </c>
      <c r="E493" s="13" t="s">
        <v>170</v>
      </c>
      <c r="F493" s="15">
        <v>4</v>
      </c>
      <c r="G493" s="15">
        <v>3570</v>
      </c>
      <c r="H493" s="15">
        <v>18.899999999999999</v>
      </c>
      <c r="I493" s="15">
        <v>11581.08</v>
      </c>
      <c r="J493" s="13" t="s">
        <v>87</v>
      </c>
      <c r="K493" s="13" t="s">
        <v>88</v>
      </c>
      <c r="L493">
        <f>IF(COUNTIF(A$2:A493, A493)=1, IF(COUNTIF(A$2:A$2001, A493)&gt;1, 1, 0), 0)</f>
        <v>0</v>
      </c>
      <c r="M493" t="b">
        <f>VLOOKUP(D493, Products!A$2:F$61, 6, FALSE)</f>
        <v>1</v>
      </c>
      <c r="N493" t="str">
        <f>VLOOKUP(D493, Products!A$2:C$61, 3, FALSE)</f>
        <v>Electronics</v>
      </c>
      <c r="O493" t="str">
        <f>VLOOKUP(C493, Customers!A$2:E$301, 5, FALSE)</f>
        <v>Corporate</v>
      </c>
      <c r="P493">
        <f>VLOOKUP(C493, Customers!A$2:C$301, 3, FALSE)</f>
        <v>29</v>
      </c>
      <c r="Q493" t="str">
        <f>VLOOKUP(E493, Sales_Reps!A$2:C$31, 3, FALSE)</f>
        <v>West</v>
      </c>
      <c r="R493">
        <f>VLOOKUP(D493, Products!A$2:D$61, 4, FALSE)</f>
        <v>1665</v>
      </c>
    </row>
    <row r="494" spans="1:18" x14ac:dyDescent="0.3">
      <c r="A494" s="13" t="s">
        <v>925</v>
      </c>
      <c r="B494" s="14">
        <v>45472</v>
      </c>
      <c r="C494" s="13" t="s">
        <v>507</v>
      </c>
      <c r="D494" s="13" t="s">
        <v>115</v>
      </c>
      <c r="E494" s="13" t="s">
        <v>111</v>
      </c>
      <c r="F494" s="15">
        <v>9</v>
      </c>
      <c r="G494" s="15">
        <v>960</v>
      </c>
      <c r="H494" s="15">
        <v>14</v>
      </c>
      <c r="I494" s="15">
        <v>7430.4</v>
      </c>
      <c r="J494" s="13" t="s">
        <v>144</v>
      </c>
      <c r="K494" s="13" t="s">
        <v>88</v>
      </c>
      <c r="L494">
        <f>IF(COUNTIF(A$2:A494, A494)=1, IF(COUNTIF(A$2:A$2001, A494)&gt;1, 1, 0), 0)</f>
        <v>0</v>
      </c>
      <c r="M494" t="b">
        <f>VLOOKUP(D494, Products!A$2:F$61, 6, FALSE)</f>
        <v>1</v>
      </c>
      <c r="N494" t="str">
        <f>VLOOKUP(D494, Products!A$2:C$61, 3, FALSE)</f>
        <v>Sports</v>
      </c>
      <c r="O494" t="str">
        <f>VLOOKUP(C494, Customers!A$2:E$301, 5, FALSE)</f>
        <v>Retail</v>
      </c>
      <c r="P494">
        <f>VLOOKUP(C494, Customers!A$2:C$301, 3, FALSE)</f>
        <v>59</v>
      </c>
      <c r="Q494" t="str">
        <f>VLOOKUP(E494, Sales_Reps!A$2:C$31, 3, FALSE)</f>
        <v>West</v>
      </c>
      <c r="R494">
        <f>VLOOKUP(D494, Products!A$2:D$61, 4, FALSE)</f>
        <v>705</v>
      </c>
    </row>
    <row r="495" spans="1:18" x14ac:dyDescent="0.3">
      <c r="A495" s="13" t="s">
        <v>926</v>
      </c>
      <c r="B495" s="14">
        <v>45406</v>
      </c>
      <c r="C495" s="13" t="s">
        <v>703</v>
      </c>
      <c r="D495" s="13" t="s">
        <v>157</v>
      </c>
      <c r="E495" s="13" t="s">
        <v>346</v>
      </c>
      <c r="F495" s="15">
        <v>9</v>
      </c>
      <c r="G495" s="15">
        <v>3450</v>
      </c>
      <c r="H495" s="15">
        <v>6</v>
      </c>
      <c r="I495" s="15">
        <v>29187</v>
      </c>
      <c r="J495" s="13" t="s">
        <v>140</v>
      </c>
      <c r="K495" s="13" t="s">
        <v>88</v>
      </c>
      <c r="L495">
        <f>IF(COUNTIF(A$2:A495, A495)=1, IF(COUNTIF(A$2:A$2001, A495)&gt;1, 1, 0), 0)</f>
        <v>0</v>
      </c>
      <c r="M495" t="b">
        <f>VLOOKUP(D495, Products!A$2:F$61, 6, FALSE)</f>
        <v>1</v>
      </c>
      <c r="N495" t="str">
        <f>VLOOKUP(D495, Products!A$2:C$61, 3, FALSE)</f>
        <v>Beauty</v>
      </c>
      <c r="O495" t="str">
        <f>VLOOKUP(C495, Customers!A$2:E$301, 5, FALSE)</f>
        <v>Corporate</v>
      </c>
      <c r="P495">
        <f>VLOOKUP(C495, Customers!A$2:C$301, 3, FALSE)</f>
        <v>52</v>
      </c>
      <c r="Q495" t="str">
        <f>VLOOKUP(E495, Sales_Reps!A$2:C$31, 3, FALSE)</f>
        <v>South</v>
      </c>
      <c r="R495">
        <f>VLOOKUP(D495, Products!A$2:D$61, 4, FALSE)</f>
        <v>2420</v>
      </c>
    </row>
    <row r="496" spans="1:18" x14ac:dyDescent="0.3">
      <c r="A496" s="13" t="s">
        <v>927</v>
      </c>
      <c r="B496" s="14">
        <v>45457</v>
      </c>
      <c r="C496" s="13" t="s">
        <v>403</v>
      </c>
      <c r="D496" s="13" t="s">
        <v>179</v>
      </c>
      <c r="E496" s="13" t="s">
        <v>325</v>
      </c>
      <c r="F496" s="15">
        <v>7</v>
      </c>
      <c r="G496" s="15">
        <v>3350</v>
      </c>
      <c r="H496" s="15">
        <v>14</v>
      </c>
      <c r="I496" s="15">
        <v>20167</v>
      </c>
      <c r="J496" s="13" t="s">
        <v>140</v>
      </c>
      <c r="K496" s="13" t="s">
        <v>117</v>
      </c>
      <c r="L496">
        <f>IF(COUNTIF(A$2:A496, A496)=1, IF(COUNTIF(A$2:A$2001, A496)&gt;1, 1, 0), 0)</f>
        <v>0</v>
      </c>
      <c r="M496" t="b">
        <f>VLOOKUP(D496, Products!A$2:F$61, 6, FALSE)</f>
        <v>1</v>
      </c>
      <c r="N496" t="str">
        <f>VLOOKUP(D496, Products!A$2:C$61, 3, FALSE)</f>
        <v>Beauty</v>
      </c>
      <c r="O496" t="str">
        <f>VLOOKUP(C496, Customers!A$2:E$301, 5, FALSE)</f>
        <v>Retail</v>
      </c>
      <c r="P496">
        <f>VLOOKUP(C496, Customers!A$2:C$301, 3, FALSE)</f>
        <v>59</v>
      </c>
      <c r="Q496" t="str">
        <f>VLOOKUP(E496, Sales_Reps!A$2:C$31, 3, FALSE)</f>
        <v>South</v>
      </c>
      <c r="R496">
        <f>VLOOKUP(D496, Products!A$2:D$61, 4, FALSE)</f>
        <v>1728</v>
      </c>
    </row>
    <row r="497" spans="1:18" x14ac:dyDescent="0.3">
      <c r="A497" s="13" t="s">
        <v>928</v>
      </c>
      <c r="B497" s="14">
        <v>45298</v>
      </c>
      <c r="C497" s="13" t="s">
        <v>291</v>
      </c>
      <c r="D497" s="13" t="s">
        <v>380</v>
      </c>
      <c r="E497" s="13" t="s">
        <v>139</v>
      </c>
      <c r="F497" s="15">
        <v>6</v>
      </c>
      <c r="G497" s="15">
        <v>960</v>
      </c>
      <c r="H497" s="15">
        <v>10.1</v>
      </c>
      <c r="I497" s="15">
        <v>5178.24</v>
      </c>
      <c r="J497" s="13" t="s">
        <v>87</v>
      </c>
      <c r="K497" s="13" t="s">
        <v>99</v>
      </c>
      <c r="L497">
        <f>IF(COUNTIF(A$2:A497, A497)=1, IF(COUNTIF(A$2:A$2001, A497)&gt;1, 1, 0), 0)</f>
        <v>0</v>
      </c>
      <c r="M497" t="b">
        <f>VLOOKUP(D497, Products!A$2:F$61, 6, FALSE)</f>
        <v>1</v>
      </c>
      <c r="N497" t="str">
        <f>VLOOKUP(D497, Products!A$2:C$61, 3, FALSE)</f>
        <v>Beauty</v>
      </c>
      <c r="O497" t="str">
        <f>VLOOKUP(C497, Customers!A$2:E$301, 5, FALSE)</f>
        <v>Retail</v>
      </c>
      <c r="P497">
        <f>VLOOKUP(C497, Customers!A$2:C$301, 3, FALSE)</f>
        <v>35</v>
      </c>
      <c r="Q497" t="str">
        <f>VLOOKUP(E497, Sales_Reps!A$2:C$31, 3, FALSE)</f>
        <v>North</v>
      </c>
      <c r="R497">
        <f>VLOOKUP(D497, Products!A$2:D$61, 4, FALSE)</f>
        <v>675</v>
      </c>
    </row>
    <row r="498" spans="1:18" x14ac:dyDescent="0.3">
      <c r="A498" s="13" t="s">
        <v>929</v>
      </c>
      <c r="B498" s="14">
        <v>45337</v>
      </c>
      <c r="C498" s="13" t="s">
        <v>137</v>
      </c>
      <c r="D498" s="13" t="s">
        <v>282</v>
      </c>
      <c r="E498" s="13" t="s">
        <v>346</v>
      </c>
      <c r="F498" s="15">
        <v>7</v>
      </c>
      <c r="G498" s="15">
        <v>300</v>
      </c>
      <c r="H498" s="15">
        <v>21.9</v>
      </c>
      <c r="I498" s="15">
        <v>1640.1</v>
      </c>
      <c r="J498" s="13" t="s">
        <v>87</v>
      </c>
      <c r="K498" s="13" t="s">
        <v>99</v>
      </c>
      <c r="L498">
        <f>IF(COUNTIF(A$2:A498, A498)=1, IF(COUNTIF(A$2:A$2001, A498)&gt;1, 1, 0), 0)</f>
        <v>0</v>
      </c>
      <c r="M498" t="b">
        <f>VLOOKUP(D498, Products!A$2:F$61, 6, FALSE)</f>
        <v>1</v>
      </c>
      <c r="N498" t="str">
        <f>VLOOKUP(D498, Products!A$2:C$61, 3, FALSE)</f>
        <v>Electronics</v>
      </c>
      <c r="O498" t="str">
        <f>VLOOKUP(C498, Customers!A$2:E$301, 5, FALSE)</f>
        <v>SMB</v>
      </c>
      <c r="P498">
        <f>VLOOKUP(C498, Customers!A$2:C$301, 3, FALSE)</f>
        <v>27</v>
      </c>
      <c r="Q498" t="str">
        <f>VLOOKUP(E498, Sales_Reps!A$2:C$31, 3, FALSE)</f>
        <v>South</v>
      </c>
      <c r="R498">
        <f>VLOOKUP(D498, Products!A$2:D$61, 4, FALSE)</f>
        <v>128</v>
      </c>
    </row>
    <row r="499" spans="1:18" x14ac:dyDescent="0.3">
      <c r="A499" s="13" t="s">
        <v>930</v>
      </c>
      <c r="B499" s="14">
        <v>45389</v>
      </c>
      <c r="C499" s="13" t="s">
        <v>539</v>
      </c>
      <c r="D499" s="13" t="s">
        <v>367</v>
      </c>
      <c r="E499" s="13" t="s">
        <v>121</v>
      </c>
      <c r="F499" s="15">
        <v>2</v>
      </c>
      <c r="G499" s="15">
        <v>2380</v>
      </c>
      <c r="H499" s="15">
        <v>6.8</v>
      </c>
      <c r="I499" s="15">
        <v>4436.32</v>
      </c>
      <c r="J499" s="13" t="s">
        <v>87</v>
      </c>
      <c r="K499" s="13" t="s">
        <v>133</v>
      </c>
      <c r="L499">
        <f>IF(COUNTIF(A$2:A499, A499)=1, IF(COUNTIF(A$2:A$2001, A499)&gt;1, 1, 0), 0)</f>
        <v>0</v>
      </c>
      <c r="M499" t="b">
        <f>VLOOKUP(D499, Products!A$2:F$61, 6, FALSE)</f>
        <v>1</v>
      </c>
      <c r="N499" t="str">
        <f>VLOOKUP(D499, Products!A$2:C$61, 3, FALSE)</f>
        <v>Grocery</v>
      </c>
      <c r="O499" t="str">
        <f>VLOOKUP(C499, Customers!A$2:E$301, 5, FALSE)</f>
        <v>Retail</v>
      </c>
      <c r="P499">
        <f>VLOOKUP(C499, Customers!A$2:C$301, 3, FALSE)</f>
        <v>38</v>
      </c>
      <c r="Q499" t="str">
        <f>VLOOKUP(E499, Sales_Reps!A$2:C$31, 3, FALSE)</f>
        <v>East</v>
      </c>
      <c r="R499">
        <f>VLOOKUP(D499, Products!A$2:D$61, 4, FALSE)</f>
        <v>1182</v>
      </c>
    </row>
    <row r="500" spans="1:18" x14ac:dyDescent="0.3">
      <c r="A500" s="13" t="s">
        <v>931</v>
      </c>
      <c r="B500" s="14">
        <v>45298</v>
      </c>
      <c r="C500" s="13" t="s">
        <v>759</v>
      </c>
      <c r="D500" s="13" t="s">
        <v>115</v>
      </c>
      <c r="E500" s="13" t="s">
        <v>116</v>
      </c>
      <c r="F500" s="15">
        <v>5</v>
      </c>
      <c r="G500" s="15">
        <v>960</v>
      </c>
      <c r="H500" s="15">
        <v>15</v>
      </c>
      <c r="I500" s="15">
        <v>4080</v>
      </c>
      <c r="J500" s="13" t="s">
        <v>140</v>
      </c>
      <c r="K500" s="13" t="s">
        <v>117</v>
      </c>
      <c r="L500">
        <f>IF(COUNTIF(A$2:A500, A500)=1, IF(COUNTIF(A$2:A$2001, A500)&gt;1, 1, 0), 0)</f>
        <v>0</v>
      </c>
      <c r="M500" t="b">
        <f>VLOOKUP(D500, Products!A$2:F$61, 6, FALSE)</f>
        <v>1</v>
      </c>
      <c r="N500" t="str">
        <f>VLOOKUP(D500, Products!A$2:C$61, 3, FALSE)</f>
        <v>Sports</v>
      </c>
      <c r="O500" t="str">
        <f>VLOOKUP(C500, Customers!A$2:E$301, 5, FALSE)</f>
        <v>Retail</v>
      </c>
      <c r="P500">
        <f>VLOOKUP(C500, Customers!A$2:C$301, 3, FALSE)</f>
        <v>29</v>
      </c>
      <c r="Q500" t="str">
        <f>VLOOKUP(E500, Sales_Reps!A$2:C$31, 3, FALSE)</f>
        <v>West</v>
      </c>
      <c r="R500">
        <f>VLOOKUP(D500, Products!A$2:D$61, 4, FALSE)</f>
        <v>705</v>
      </c>
    </row>
    <row r="501" spans="1:18" x14ac:dyDescent="0.3">
      <c r="A501" s="13" t="s">
        <v>932</v>
      </c>
      <c r="B501" s="14">
        <v>45577</v>
      </c>
      <c r="C501" s="13" t="s">
        <v>272</v>
      </c>
      <c r="D501" s="13" t="s">
        <v>461</v>
      </c>
      <c r="E501" s="13" t="s">
        <v>325</v>
      </c>
      <c r="F501" s="15">
        <v>10</v>
      </c>
      <c r="G501" s="15">
        <v>3780</v>
      </c>
      <c r="H501" s="15">
        <v>24.1</v>
      </c>
      <c r="I501" s="15">
        <v>28690.2</v>
      </c>
      <c r="J501" s="13" t="s">
        <v>144</v>
      </c>
      <c r="K501" s="13" t="s">
        <v>94</v>
      </c>
      <c r="L501">
        <f>IF(COUNTIF(A$2:A501, A501)=1, IF(COUNTIF(A$2:A$2001, A501)&gt;1, 1, 0), 0)</f>
        <v>0</v>
      </c>
      <c r="M501" t="b">
        <f>VLOOKUP(D501, Products!A$2:F$61, 6, FALSE)</f>
        <v>1</v>
      </c>
      <c r="N501" t="str">
        <f>VLOOKUP(D501, Products!A$2:C$61, 3, FALSE)</f>
        <v>Sports</v>
      </c>
      <c r="O501" t="str">
        <f>VLOOKUP(C501, Customers!A$2:E$301, 5, FALSE)</f>
        <v>SMB</v>
      </c>
      <c r="P501">
        <f>VLOOKUP(C501, Customers!A$2:C$301, 3, FALSE)</f>
        <v>55</v>
      </c>
      <c r="Q501" t="str">
        <f>VLOOKUP(E501, Sales_Reps!A$2:C$31, 3, FALSE)</f>
        <v>South</v>
      </c>
      <c r="R501">
        <f>VLOOKUP(D501, Products!A$2:D$61, 4, FALSE)</f>
        <v>1860</v>
      </c>
    </row>
    <row r="502" spans="1:18" x14ac:dyDescent="0.3">
      <c r="A502" s="13" t="s">
        <v>933</v>
      </c>
      <c r="B502" s="14">
        <v>45355</v>
      </c>
      <c r="C502" s="13" t="s">
        <v>217</v>
      </c>
      <c r="D502" s="13" t="s">
        <v>259</v>
      </c>
      <c r="E502" s="13" t="s">
        <v>192</v>
      </c>
      <c r="F502" s="15">
        <v>4</v>
      </c>
      <c r="G502" s="15">
        <v>1540</v>
      </c>
      <c r="H502" s="15">
        <v>14.2</v>
      </c>
      <c r="I502" s="15">
        <v>5285.28</v>
      </c>
      <c r="J502" s="13" t="s">
        <v>140</v>
      </c>
      <c r="K502" s="13" t="s">
        <v>94</v>
      </c>
      <c r="L502">
        <f>IF(COUNTIF(A$2:A502, A502)=1, IF(COUNTIF(A$2:A$2001, A502)&gt;1, 1, 0), 0)</f>
        <v>0</v>
      </c>
      <c r="M502" t="b">
        <f>VLOOKUP(D502, Products!A$2:F$61, 6, FALSE)</f>
        <v>0</v>
      </c>
      <c r="N502" t="str">
        <f>VLOOKUP(D502, Products!A$2:C$61, 3, FALSE)</f>
        <v>Beauty</v>
      </c>
      <c r="O502" t="str">
        <f>VLOOKUP(C502, Customers!A$2:E$301, 5, FALSE)</f>
        <v>Retail</v>
      </c>
      <c r="P502">
        <f>VLOOKUP(C502, Customers!A$2:C$301, 3, FALSE)</f>
        <v>51</v>
      </c>
      <c r="Q502" t="str">
        <f>VLOOKUP(E502, Sales_Reps!A$2:C$31, 3, FALSE)</f>
        <v>East</v>
      </c>
      <c r="R502">
        <f>VLOOKUP(D502, Products!A$2:D$61, 4, FALSE)</f>
        <v>647</v>
      </c>
    </row>
    <row r="503" spans="1:18" x14ac:dyDescent="0.3">
      <c r="A503" s="13" t="s">
        <v>934</v>
      </c>
      <c r="B503" s="14">
        <v>45463</v>
      </c>
      <c r="C503" s="13" t="s">
        <v>835</v>
      </c>
      <c r="D503" s="13" t="s">
        <v>355</v>
      </c>
      <c r="E503" s="13" t="s">
        <v>92</v>
      </c>
      <c r="F503" s="15">
        <v>10</v>
      </c>
      <c r="G503" s="15">
        <v>2510</v>
      </c>
      <c r="H503" s="15">
        <v>20.8</v>
      </c>
      <c r="I503" s="15">
        <v>19879.2</v>
      </c>
      <c r="J503" s="13" t="s">
        <v>87</v>
      </c>
      <c r="K503" s="13" t="s">
        <v>117</v>
      </c>
      <c r="L503">
        <f>IF(COUNTIF(A$2:A503, A503)=1, IF(COUNTIF(A$2:A$2001, A503)&gt;1, 1, 0), 0)</f>
        <v>0</v>
      </c>
      <c r="M503" t="b">
        <f>VLOOKUP(D503, Products!A$2:F$61, 6, FALSE)</f>
        <v>0</v>
      </c>
      <c r="N503" t="str">
        <f>VLOOKUP(D503, Products!A$2:C$61, 3, FALSE)</f>
        <v>Apparel</v>
      </c>
      <c r="O503" t="str">
        <f>VLOOKUP(C503, Customers!A$2:E$301, 5, FALSE)</f>
        <v>Retail</v>
      </c>
      <c r="P503">
        <f>VLOOKUP(C503, Customers!A$2:C$301, 3, FALSE)</f>
        <v>52</v>
      </c>
      <c r="Q503" t="str">
        <f>VLOOKUP(E503, Sales_Reps!A$2:C$31, 3, FALSE)</f>
        <v>North</v>
      </c>
      <c r="R503">
        <f>VLOOKUP(D503, Products!A$2:D$61, 4, FALSE)</f>
        <v>1075</v>
      </c>
    </row>
    <row r="504" spans="1:18" x14ac:dyDescent="0.3">
      <c r="A504" s="13" t="s">
        <v>935</v>
      </c>
      <c r="B504" s="14">
        <v>45374</v>
      </c>
      <c r="C504" s="13" t="s">
        <v>388</v>
      </c>
      <c r="D504" s="13" t="s">
        <v>351</v>
      </c>
      <c r="E504" s="13" t="s">
        <v>98</v>
      </c>
      <c r="F504" s="15">
        <v>9</v>
      </c>
      <c r="G504" s="15">
        <v>4060</v>
      </c>
      <c r="H504" s="15">
        <v>27.1</v>
      </c>
      <c r="I504" s="15">
        <v>26637.66</v>
      </c>
      <c r="J504" s="13" t="s">
        <v>87</v>
      </c>
      <c r="K504" s="13" t="s">
        <v>133</v>
      </c>
      <c r="L504">
        <f>IF(COUNTIF(A$2:A504, A504)=1, IF(COUNTIF(A$2:A$2001, A504)&gt;1, 1, 0), 0)</f>
        <v>0</v>
      </c>
      <c r="M504" t="b">
        <f>VLOOKUP(D504, Products!A$2:F$61, 6, FALSE)</f>
        <v>1</v>
      </c>
      <c r="N504" t="str">
        <f>VLOOKUP(D504, Products!A$2:C$61, 3, FALSE)</f>
        <v>Grocery</v>
      </c>
      <c r="O504" t="str">
        <f>VLOOKUP(C504, Customers!A$2:E$301, 5, FALSE)</f>
        <v>Retail</v>
      </c>
      <c r="P504">
        <f>VLOOKUP(C504, Customers!A$2:C$301, 3, FALSE)</f>
        <v>44</v>
      </c>
      <c r="Q504" t="str">
        <f>VLOOKUP(E504, Sales_Reps!A$2:C$31, 3, FALSE)</f>
        <v>South</v>
      </c>
      <c r="R504">
        <f>VLOOKUP(D504, Products!A$2:D$61, 4, FALSE)</f>
        <v>2911</v>
      </c>
    </row>
    <row r="505" spans="1:18" x14ac:dyDescent="0.3">
      <c r="A505" s="13" t="s">
        <v>936</v>
      </c>
      <c r="B505" s="14">
        <v>45638</v>
      </c>
      <c r="C505" s="13" t="s">
        <v>359</v>
      </c>
      <c r="D505" s="13" t="s">
        <v>151</v>
      </c>
      <c r="E505" s="13" t="s">
        <v>111</v>
      </c>
      <c r="F505" s="15">
        <v>4</v>
      </c>
      <c r="G505" s="15">
        <v>2400</v>
      </c>
      <c r="H505" s="15">
        <v>19.100000000000001</v>
      </c>
      <c r="I505" s="15">
        <v>7766.4</v>
      </c>
      <c r="J505" s="13" t="s">
        <v>87</v>
      </c>
      <c r="K505" s="13" t="s">
        <v>99</v>
      </c>
      <c r="L505">
        <f>IF(COUNTIF(A$2:A505, A505)=1, IF(COUNTIF(A$2:A$2001, A505)&gt;1, 1, 0), 0)</f>
        <v>0</v>
      </c>
      <c r="M505" t="b">
        <f>VLOOKUP(D505, Products!A$2:F$61, 6, FALSE)</f>
        <v>1</v>
      </c>
      <c r="N505" t="str">
        <f>VLOOKUP(D505, Products!A$2:C$61, 3, FALSE)</f>
        <v>Sports</v>
      </c>
      <c r="O505" t="str">
        <f>VLOOKUP(C505, Customers!A$2:E$301, 5, FALSE)</f>
        <v>SMB</v>
      </c>
      <c r="P505">
        <f>VLOOKUP(C505, Customers!A$2:C$301, 3, FALSE)</f>
        <v>28</v>
      </c>
      <c r="Q505" t="str">
        <f>VLOOKUP(E505, Sales_Reps!A$2:C$31, 3, FALSE)</f>
        <v>West</v>
      </c>
      <c r="R505">
        <f>VLOOKUP(D505, Products!A$2:D$61, 4, FALSE)</f>
        <v>974</v>
      </c>
    </row>
    <row r="506" spans="1:18" x14ac:dyDescent="0.3">
      <c r="A506" s="13" t="s">
        <v>937</v>
      </c>
      <c r="B506" s="14">
        <v>45525</v>
      </c>
      <c r="C506" s="13" t="s">
        <v>101</v>
      </c>
      <c r="D506" s="13" t="s">
        <v>184</v>
      </c>
      <c r="E506" s="13" t="s">
        <v>285</v>
      </c>
      <c r="F506" s="15">
        <v>8</v>
      </c>
      <c r="G506" s="15">
        <v>4880</v>
      </c>
      <c r="H506" s="15">
        <v>9.1999999999999993</v>
      </c>
      <c r="I506" s="15">
        <v>35448.32</v>
      </c>
      <c r="J506" s="13" t="s">
        <v>140</v>
      </c>
      <c r="K506" s="13" t="s">
        <v>99</v>
      </c>
      <c r="L506">
        <f>IF(COUNTIF(A$2:A506, A506)=1, IF(COUNTIF(A$2:A$2001, A506)&gt;1, 1, 0), 0)</f>
        <v>0</v>
      </c>
      <c r="M506" t="b">
        <f>VLOOKUP(D506, Products!A$2:F$61, 6, FALSE)</f>
        <v>1</v>
      </c>
      <c r="N506" t="str">
        <f>VLOOKUP(D506, Products!A$2:C$61, 3, FALSE)</f>
        <v>Beauty</v>
      </c>
      <c r="O506" t="str">
        <f>VLOOKUP(C506, Customers!A$2:E$301, 5, FALSE)</f>
        <v>Corporate</v>
      </c>
      <c r="P506">
        <f>VLOOKUP(C506, Customers!A$2:C$301, 3, FALSE)</f>
        <v>46</v>
      </c>
      <c r="Q506" t="str">
        <f>VLOOKUP(E506, Sales_Reps!A$2:C$31, 3, FALSE)</f>
        <v>East</v>
      </c>
      <c r="R506">
        <f>VLOOKUP(D506, Products!A$2:D$61, 4, FALSE)</f>
        <v>2768</v>
      </c>
    </row>
    <row r="507" spans="1:18" x14ac:dyDescent="0.3">
      <c r="A507" s="13" t="s">
        <v>938</v>
      </c>
      <c r="B507" s="14">
        <v>45586</v>
      </c>
      <c r="C507" s="13" t="s">
        <v>613</v>
      </c>
      <c r="D507" s="13" t="s">
        <v>191</v>
      </c>
      <c r="E507" s="13" t="s">
        <v>121</v>
      </c>
      <c r="F507" s="15">
        <v>9</v>
      </c>
      <c r="G507" s="15">
        <v>5100</v>
      </c>
      <c r="H507" s="15">
        <v>11.1</v>
      </c>
      <c r="I507" s="15">
        <v>40805.1</v>
      </c>
      <c r="J507" s="13" t="s">
        <v>140</v>
      </c>
      <c r="K507" s="13" t="s">
        <v>112</v>
      </c>
      <c r="L507">
        <f>IF(COUNTIF(A$2:A507, A507)=1, IF(COUNTIF(A$2:A$2001, A507)&gt;1, 1, 0), 0)</f>
        <v>0</v>
      </c>
      <c r="M507" t="b">
        <f>VLOOKUP(D507, Products!A$2:F$61, 6, FALSE)</f>
        <v>1</v>
      </c>
      <c r="N507" t="str">
        <f>VLOOKUP(D507, Products!A$2:C$61, 3, FALSE)</f>
        <v>Beauty</v>
      </c>
      <c r="O507" t="str">
        <f>VLOOKUP(C507, Customers!A$2:E$301, 5, FALSE)</f>
        <v>Retail</v>
      </c>
      <c r="P507">
        <f>VLOOKUP(C507, Customers!A$2:C$301, 3, FALSE)</f>
        <v>44</v>
      </c>
      <c r="Q507" t="str">
        <f>VLOOKUP(E507, Sales_Reps!A$2:C$31, 3, FALSE)</f>
        <v>East</v>
      </c>
      <c r="R507">
        <f>VLOOKUP(D507, Products!A$2:D$61, 4, FALSE)</f>
        <v>2237</v>
      </c>
    </row>
    <row r="508" spans="1:18" x14ac:dyDescent="0.3">
      <c r="A508" s="13" t="s">
        <v>939</v>
      </c>
      <c r="B508" s="14">
        <v>45637</v>
      </c>
      <c r="C508" s="13" t="s">
        <v>357</v>
      </c>
      <c r="D508" s="13" t="s">
        <v>282</v>
      </c>
      <c r="E508" s="13" t="s">
        <v>128</v>
      </c>
      <c r="F508" s="15">
        <v>4</v>
      </c>
      <c r="G508" s="15">
        <v>300</v>
      </c>
      <c r="H508" s="15">
        <v>16.7</v>
      </c>
      <c r="I508" s="15">
        <v>999.6</v>
      </c>
      <c r="J508" s="13" t="s">
        <v>87</v>
      </c>
      <c r="K508" s="13" t="s">
        <v>99</v>
      </c>
      <c r="L508">
        <f>IF(COUNTIF(A$2:A508, A508)=1, IF(COUNTIF(A$2:A$2001, A508)&gt;1, 1, 0), 0)</f>
        <v>0</v>
      </c>
      <c r="M508" t="b">
        <f>VLOOKUP(D508, Products!A$2:F$61, 6, FALSE)</f>
        <v>1</v>
      </c>
      <c r="N508" t="str">
        <f>VLOOKUP(D508, Products!A$2:C$61, 3, FALSE)</f>
        <v>Electronics</v>
      </c>
      <c r="O508" t="str">
        <f>VLOOKUP(C508, Customers!A$2:E$301, 5, FALSE)</f>
        <v>SMB</v>
      </c>
      <c r="P508">
        <f>VLOOKUP(C508, Customers!A$2:C$301, 3, FALSE)</f>
        <v>38</v>
      </c>
      <c r="Q508" t="str">
        <f>VLOOKUP(E508, Sales_Reps!A$2:C$31, 3, FALSE)</f>
        <v>West</v>
      </c>
      <c r="R508">
        <f>VLOOKUP(D508, Products!A$2:D$61, 4, FALSE)</f>
        <v>128</v>
      </c>
    </row>
    <row r="509" spans="1:18" x14ac:dyDescent="0.3">
      <c r="A509" s="13" t="s">
        <v>940</v>
      </c>
      <c r="B509" s="14">
        <v>45443</v>
      </c>
      <c r="C509" s="13" t="s">
        <v>585</v>
      </c>
      <c r="D509" s="13" t="s">
        <v>167</v>
      </c>
      <c r="E509" s="13" t="s">
        <v>98</v>
      </c>
      <c r="F509" s="15">
        <v>6</v>
      </c>
      <c r="G509" s="15">
        <v>2480</v>
      </c>
      <c r="H509" s="15">
        <v>3.3</v>
      </c>
      <c r="I509" s="15">
        <v>14388.96</v>
      </c>
      <c r="J509" s="13" t="s">
        <v>87</v>
      </c>
      <c r="K509" s="13" t="s">
        <v>94</v>
      </c>
      <c r="L509">
        <f>IF(COUNTIF(A$2:A509, A509)=1, IF(COUNTIF(A$2:A$2001, A509)&gt;1, 1, 0), 0)</f>
        <v>0</v>
      </c>
      <c r="M509" t="b">
        <f>VLOOKUP(D509, Products!A$2:F$61, 6, FALSE)</f>
        <v>1</v>
      </c>
      <c r="N509" t="str">
        <f>VLOOKUP(D509, Products!A$2:C$61, 3, FALSE)</f>
        <v>Apparel</v>
      </c>
      <c r="O509" t="str">
        <f>VLOOKUP(C509, Customers!A$2:E$301, 5, FALSE)</f>
        <v>Retail</v>
      </c>
      <c r="P509">
        <f>VLOOKUP(C509, Customers!A$2:C$301, 3, FALSE)</f>
        <v>26</v>
      </c>
      <c r="Q509" t="str">
        <f>VLOOKUP(E509, Sales_Reps!A$2:C$31, 3, FALSE)</f>
        <v>South</v>
      </c>
      <c r="R509">
        <f>VLOOKUP(D509, Products!A$2:D$61, 4, FALSE)</f>
        <v>1173</v>
      </c>
    </row>
    <row r="510" spans="1:18" x14ac:dyDescent="0.3">
      <c r="A510" s="13" t="s">
        <v>941</v>
      </c>
      <c r="B510" s="14">
        <v>45569</v>
      </c>
      <c r="C510" s="13" t="s">
        <v>105</v>
      </c>
      <c r="D510" s="13" t="s">
        <v>176</v>
      </c>
      <c r="E510" s="13" t="s">
        <v>154</v>
      </c>
      <c r="F510" s="15">
        <v>10</v>
      </c>
      <c r="G510" s="15">
        <v>1650</v>
      </c>
      <c r="H510" s="15">
        <v>22.9</v>
      </c>
      <c r="I510" s="15">
        <v>12721.5</v>
      </c>
      <c r="J510" s="13" t="s">
        <v>144</v>
      </c>
      <c r="K510" s="13" t="s">
        <v>94</v>
      </c>
      <c r="L510">
        <f>IF(COUNTIF(A$2:A510, A510)=1, IF(COUNTIF(A$2:A$2001, A510)&gt;1, 1, 0), 0)</f>
        <v>0</v>
      </c>
      <c r="M510" t="b">
        <f>VLOOKUP(D510, Products!A$2:F$61, 6, FALSE)</f>
        <v>1</v>
      </c>
      <c r="N510" t="str">
        <f>VLOOKUP(D510, Products!A$2:C$61, 3, FALSE)</f>
        <v>Beauty</v>
      </c>
      <c r="O510" t="str">
        <f>VLOOKUP(C510, Customers!A$2:E$301, 5, FALSE)</f>
        <v>Retail</v>
      </c>
      <c r="P510">
        <f>VLOOKUP(C510, Customers!A$2:C$301, 3, FALSE)</f>
        <v>36</v>
      </c>
      <c r="Q510" t="str">
        <f>VLOOKUP(E510, Sales_Reps!A$2:C$31, 3, FALSE)</f>
        <v>East</v>
      </c>
      <c r="R510">
        <f>VLOOKUP(D510, Products!A$2:D$61, 4, FALSE)</f>
        <v>1222</v>
      </c>
    </row>
    <row r="511" spans="1:18" x14ac:dyDescent="0.3">
      <c r="A511" s="13" t="s">
        <v>942</v>
      </c>
      <c r="B511" s="14">
        <v>45319</v>
      </c>
      <c r="C511" s="13" t="s">
        <v>943</v>
      </c>
      <c r="D511" s="13" t="s">
        <v>338</v>
      </c>
      <c r="E511" s="13" t="s">
        <v>325</v>
      </c>
      <c r="F511" s="15">
        <v>3</v>
      </c>
      <c r="G511" s="15">
        <v>2210</v>
      </c>
      <c r="H511" s="15">
        <v>11.1</v>
      </c>
      <c r="I511" s="15">
        <v>5894.07</v>
      </c>
      <c r="J511" s="13" t="s">
        <v>87</v>
      </c>
      <c r="K511" s="13" t="s">
        <v>133</v>
      </c>
      <c r="L511">
        <f>IF(COUNTIF(A$2:A511, A511)=1, IF(COUNTIF(A$2:A$2001, A511)&gt;1, 1, 0), 0)</f>
        <v>0</v>
      </c>
      <c r="M511" t="b">
        <f>VLOOKUP(D511, Products!A$2:F$61, 6, FALSE)</f>
        <v>1</v>
      </c>
      <c r="N511" t="str">
        <f>VLOOKUP(D511, Products!A$2:C$61, 3, FALSE)</f>
        <v>Grocery</v>
      </c>
      <c r="O511" t="str">
        <f>VLOOKUP(C511, Customers!A$2:E$301, 5, FALSE)</f>
        <v>Corporate</v>
      </c>
      <c r="P511">
        <f>VLOOKUP(C511, Customers!A$2:C$301, 3, FALSE)</f>
        <v>54</v>
      </c>
      <c r="Q511" t="str">
        <f>VLOOKUP(E511, Sales_Reps!A$2:C$31, 3, FALSE)</f>
        <v>South</v>
      </c>
      <c r="R511">
        <f>VLOOKUP(D511, Products!A$2:D$61, 4, FALSE)</f>
        <v>1010</v>
      </c>
    </row>
    <row r="512" spans="1:18" x14ac:dyDescent="0.3">
      <c r="A512" s="13" t="s">
        <v>944</v>
      </c>
      <c r="B512" s="14">
        <v>45406</v>
      </c>
      <c r="C512" s="13" t="s">
        <v>945</v>
      </c>
      <c r="D512" s="13" t="s">
        <v>167</v>
      </c>
      <c r="E512" s="13" t="s">
        <v>92</v>
      </c>
      <c r="F512" s="15">
        <v>10</v>
      </c>
      <c r="G512" s="15">
        <v>2480</v>
      </c>
      <c r="H512" s="15">
        <v>13</v>
      </c>
      <c r="I512" s="15">
        <v>21576</v>
      </c>
      <c r="J512" s="13" t="s">
        <v>93</v>
      </c>
      <c r="K512" s="13" t="s">
        <v>88</v>
      </c>
      <c r="L512">
        <f>IF(COUNTIF(A$2:A512, A512)=1, IF(COUNTIF(A$2:A$2001, A512)&gt;1, 1, 0), 0)</f>
        <v>0</v>
      </c>
      <c r="M512" t="b">
        <f>VLOOKUP(D512, Products!A$2:F$61, 6, FALSE)</f>
        <v>1</v>
      </c>
      <c r="N512" t="str">
        <f>VLOOKUP(D512, Products!A$2:C$61, 3, FALSE)</f>
        <v>Apparel</v>
      </c>
      <c r="O512" t="str">
        <f>VLOOKUP(C512, Customers!A$2:E$301, 5, FALSE)</f>
        <v>Retail</v>
      </c>
      <c r="P512">
        <f>VLOOKUP(C512, Customers!A$2:C$301, 3, FALSE)</f>
        <v>54</v>
      </c>
      <c r="Q512" t="str">
        <f>VLOOKUP(E512, Sales_Reps!A$2:C$31, 3, FALSE)</f>
        <v>North</v>
      </c>
      <c r="R512">
        <f>VLOOKUP(D512, Products!A$2:D$61, 4, FALSE)</f>
        <v>1173</v>
      </c>
    </row>
    <row r="513" spans="1:18" x14ac:dyDescent="0.3">
      <c r="A513" s="13" t="s">
        <v>946</v>
      </c>
      <c r="B513" s="14">
        <v>45629</v>
      </c>
      <c r="C513" s="13" t="s">
        <v>101</v>
      </c>
      <c r="D513" s="13" t="s">
        <v>364</v>
      </c>
      <c r="E513" s="13" t="s">
        <v>154</v>
      </c>
      <c r="F513" s="15">
        <v>10</v>
      </c>
      <c r="G513" s="15">
        <v>5330</v>
      </c>
      <c r="H513" s="15">
        <v>0.7</v>
      </c>
      <c r="I513" s="15">
        <v>52926.9</v>
      </c>
      <c r="J513" s="13" t="s">
        <v>87</v>
      </c>
      <c r="K513" s="13" t="s">
        <v>99</v>
      </c>
      <c r="L513">
        <f>IF(COUNTIF(A$2:A513, A513)=1, IF(COUNTIF(A$2:A$2001, A513)&gt;1, 1, 0), 0)</f>
        <v>0</v>
      </c>
      <c r="M513" t="b">
        <f>VLOOKUP(D513, Products!A$2:F$61, 6, FALSE)</f>
        <v>1</v>
      </c>
      <c r="N513" t="str">
        <f>VLOOKUP(D513, Products!A$2:C$61, 3, FALSE)</f>
        <v>Electronics</v>
      </c>
      <c r="O513" t="str">
        <f>VLOOKUP(C513, Customers!A$2:E$301, 5, FALSE)</f>
        <v>Corporate</v>
      </c>
      <c r="P513">
        <f>VLOOKUP(C513, Customers!A$2:C$301, 3, FALSE)</f>
        <v>46</v>
      </c>
      <c r="Q513" t="str">
        <f>VLOOKUP(E513, Sales_Reps!A$2:C$31, 3, FALSE)</f>
        <v>East</v>
      </c>
      <c r="R513">
        <f>VLOOKUP(D513, Products!A$2:D$61, 4, FALSE)</f>
        <v>2405</v>
      </c>
    </row>
    <row r="514" spans="1:18" x14ac:dyDescent="0.3">
      <c r="A514" s="13" t="s">
        <v>947</v>
      </c>
      <c r="B514" s="14">
        <v>45612</v>
      </c>
      <c r="C514" s="13" t="s">
        <v>948</v>
      </c>
      <c r="D514" s="13" t="s">
        <v>264</v>
      </c>
      <c r="E514" s="13" t="s">
        <v>325</v>
      </c>
      <c r="F514" s="15">
        <v>9</v>
      </c>
      <c r="G514" s="15">
        <v>4070</v>
      </c>
      <c r="H514" s="15">
        <v>15.6</v>
      </c>
      <c r="I514" s="15">
        <v>30915.72</v>
      </c>
      <c r="J514" s="13" t="s">
        <v>87</v>
      </c>
      <c r="K514" s="13" t="s">
        <v>88</v>
      </c>
      <c r="L514">
        <f>IF(COUNTIF(A$2:A514, A514)=1, IF(COUNTIF(A$2:A$2001, A514)&gt;1, 1, 0), 0)</f>
        <v>0</v>
      </c>
      <c r="M514" t="b">
        <f>VLOOKUP(D514, Products!A$2:F$61, 6, FALSE)</f>
        <v>1</v>
      </c>
      <c r="N514" t="str">
        <f>VLOOKUP(D514, Products!A$2:C$61, 3, FALSE)</f>
        <v>Grocery</v>
      </c>
      <c r="O514" t="str">
        <f>VLOOKUP(C514, Customers!A$2:E$301, 5, FALSE)</f>
        <v>Retail</v>
      </c>
      <c r="P514">
        <f>VLOOKUP(C514, Customers!A$2:C$301, 3, FALSE)</f>
        <v>65</v>
      </c>
      <c r="Q514" t="str">
        <f>VLOOKUP(E514, Sales_Reps!A$2:C$31, 3, FALSE)</f>
        <v>South</v>
      </c>
      <c r="R514">
        <f>VLOOKUP(D514, Products!A$2:D$61, 4, FALSE)</f>
        <v>2027</v>
      </c>
    </row>
    <row r="515" spans="1:18" x14ac:dyDescent="0.3">
      <c r="A515" s="13" t="s">
        <v>949</v>
      </c>
      <c r="B515" s="14">
        <v>45613</v>
      </c>
      <c r="C515" s="13" t="s">
        <v>823</v>
      </c>
      <c r="D515" s="13" t="s">
        <v>173</v>
      </c>
      <c r="E515" s="13" t="s">
        <v>215</v>
      </c>
      <c r="F515" s="15">
        <v>5</v>
      </c>
      <c r="G515" s="15">
        <v>2720</v>
      </c>
      <c r="H515" s="15">
        <v>10.3</v>
      </c>
      <c r="I515" s="15">
        <v>12199.2</v>
      </c>
      <c r="J515" s="13" t="s">
        <v>140</v>
      </c>
      <c r="K515" s="13" t="s">
        <v>94</v>
      </c>
      <c r="L515">
        <f>IF(COUNTIF(A$2:A515, A515)=1, IF(COUNTIF(A$2:A$2001, A515)&gt;1, 1, 0), 0)</f>
        <v>0</v>
      </c>
      <c r="M515" t="b">
        <f>VLOOKUP(D515, Products!A$2:F$61, 6, FALSE)</f>
        <v>1</v>
      </c>
      <c r="N515" t="str">
        <f>VLOOKUP(D515, Products!A$2:C$61, 3, FALSE)</f>
        <v>Apparel</v>
      </c>
      <c r="O515" t="str">
        <f>VLOOKUP(C515, Customers!A$2:E$301, 5, FALSE)</f>
        <v>Retail</v>
      </c>
      <c r="P515">
        <f>VLOOKUP(C515, Customers!A$2:C$301, 3, FALSE)</f>
        <v>32</v>
      </c>
      <c r="Q515" t="str">
        <f>VLOOKUP(E515, Sales_Reps!A$2:C$31, 3, FALSE)</f>
        <v>North</v>
      </c>
      <c r="R515">
        <f>VLOOKUP(D515, Products!A$2:D$61, 4, FALSE)</f>
        <v>1962</v>
      </c>
    </row>
    <row r="516" spans="1:18" x14ac:dyDescent="0.3">
      <c r="A516" s="13" t="s">
        <v>950</v>
      </c>
      <c r="B516" s="14">
        <v>45484</v>
      </c>
      <c r="C516" s="13" t="s">
        <v>757</v>
      </c>
      <c r="D516" s="13" t="s">
        <v>195</v>
      </c>
      <c r="E516" s="13" t="s">
        <v>229</v>
      </c>
      <c r="F516" s="15">
        <v>6</v>
      </c>
      <c r="G516" s="15">
        <v>2860</v>
      </c>
      <c r="H516" s="15">
        <v>28.9</v>
      </c>
      <c r="I516" s="15">
        <v>12200.76</v>
      </c>
      <c r="J516" s="13" t="s">
        <v>87</v>
      </c>
      <c r="K516" s="13" t="s">
        <v>117</v>
      </c>
      <c r="L516">
        <f>IF(COUNTIF(A$2:A516, A516)=1, IF(COUNTIF(A$2:A$2001, A516)&gt;1, 1, 0), 0)</f>
        <v>0</v>
      </c>
      <c r="M516" t="b">
        <f>VLOOKUP(D516, Products!A$2:F$61, 6, FALSE)</f>
        <v>1</v>
      </c>
      <c r="N516" t="str">
        <f>VLOOKUP(D516, Products!A$2:C$61, 3, FALSE)</f>
        <v>Sports</v>
      </c>
      <c r="O516" t="str">
        <f>VLOOKUP(C516, Customers!A$2:E$301, 5, FALSE)</f>
        <v>Corporate</v>
      </c>
      <c r="P516">
        <f>VLOOKUP(C516, Customers!A$2:C$301, 3, FALSE)</f>
        <v>43</v>
      </c>
      <c r="Q516" t="str">
        <f>VLOOKUP(E516, Sales_Reps!A$2:C$31, 3, FALSE)</f>
        <v>West</v>
      </c>
      <c r="R516">
        <f>VLOOKUP(D516, Products!A$2:D$61, 4, FALSE)</f>
        <v>2028</v>
      </c>
    </row>
    <row r="517" spans="1:18" x14ac:dyDescent="0.3">
      <c r="A517" s="13" t="s">
        <v>951</v>
      </c>
      <c r="B517" s="14">
        <v>45656</v>
      </c>
      <c r="C517" s="13" t="s">
        <v>952</v>
      </c>
      <c r="D517" s="13" t="s">
        <v>85</v>
      </c>
      <c r="E517" s="13" t="s">
        <v>325</v>
      </c>
      <c r="F517" s="15">
        <v>5</v>
      </c>
      <c r="G517" s="15">
        <v>3620</v>
      </c>
      <c r="H517" s="15">
        <v>18.2</v>
      </c>
      <c r="I517" s="15">
        <v>14805.8</v>
      </c>
      <c r="J517" s="13" t="s">
        <v>87</v>
      </c>
      <c r="K517" s="13" t="s">
        <v>133</v>
      </c>
      <c r="L517">
        <f>IF(COUNTIF(A$2:A517, A517)=1, IF(COUNTIF(A$2:A$2001, A517)&gt;1, 1, 0), 0)</f>
        <v>0</v>
      </c>
      <c r="M517" t="b">
        <f>VLOOKUP(D517, Products!A$2:F$61, 6, FALSE)</f>
        <v>1</v>
      </c>
      <c r="N517" t="str">
        <f>VLOOKUP(D517, Products!A$2:C$61, 3, FALSE)</f>
        <v>Apparel</v>
      </c>
      <c r="O517" t="str">
        <f>VLOOKUP(C517, Customers!A$2:E$301, 5, FALSE)</f>
        <v>Retail</v>
      </c>
      <c r="P517">
        <f>VLOOKUP(C517, Customers!A$2:C$301, 3, FALSE)</f>
        <v>35</v>
      </c>
      <c r="Q517" t="str">
        <f>VLOOKUP(E517, Sales_Reps!A$2:C$31, 3, FALSE)</f>
        <v>South</v>
      </c>
      <c r="R517">
        <f>VLOOKUP(D517, Products!A$2:D$61, 4, FALSE)</f>
        <v>2509</v>
      </c>
    </row>
    <row r="518" spans="1:18" x14ac:dyDescent="0.3">
      <c r="A518" s="13" t="s">
        <v>953</v>
      </c>
      <c r="B518" s="14">
        <v>45432</v>
      </c>
      <c r="C518" s="13" t="s">
        <v>153</v>
      </c>
      <c r="D518" s="13" t="s">
        <v>176</v>
      </c>
      <c r="E518" s="13" t="s">
        <v>303</v>
      </c>
      <c r="F518" s="15">
        <v>3</v>
      </c>
      <c r="G518" s="15">
        <v>1650</v>
      </c>
      <c r="H518" s="15">
        <v>10.7</v>
      </c>
      <c r="I518" s="15">
        <v>4420.3500000000004</v>
      </c>
      <c r="J518" s="13" t="s">
        <v>87</v>
      </c>
      <c r="K518" s="13" t="s">
        <v>117</v>
      </c>
      <c r="L518">
        <f>IF(COUNTIF(A$2:A518, A518)=1, IF(COUNTIF(A$2:A$2001, A518)&gt;1, 1, 0), 0)</f>
        <v>0</v>
      </c>
      <c r="M518" t="b">
        <f>VLOOKUP(D518, Products!A$2:F$61, 6, FALSE)</f>
        <v>1</v>
      </c>
      <c r="N518" t="str">
        <f>VLOOKUP(D518, Products!A$2:C$61, 3, FALSE)</f>
        <v>Beauty</v>
      </c>
      <c r="O518" t="str">
        <f>VLOOKUP(C518, Customers!A$2:E$301, 5, FALSE)</f>
        <v>SMB</v>
      </c>
      <c r="P518">
        <f>VLOOKUP(C518, Customers!A$2:C$301, 3, FALSE)</f>
        <v>46</v>
      </c>
      <c r="Q518" t="str">
        <f>VLOOKUP(E518, Sales_Reps!A$2:C$31, 3, FALSE)</f>
        <v>East</v>
      </c>
      <c r="R518">
        <f>VLOOKUP(D518, Products!A$2:D$61, 4, FALSE)</f>
        <v>1222</v>
      </c>
    </row>
    <row r="519" spans="1:18" x14ac:dyDescent="0.3">
      <c r="A519" s="13" t="s">
        <v>954</v>
      </c>
      <c r="B519" s="14">
        <v>45495</v>
      </c>
      <c r="C519" s="13" t="s">
        <v>544</v>
      </c>
      <c r="D519" s="13" t="s">
        <v>147</v>
      </c>
      <c r="E519" s="13" t="s">
        <v>229</v>
      </c>
      <c r="F519" s="15">
        <v>8</v>
      </c>
      <c r="G519" s="15">
        <v>190</v>
      </c>
      <c r="H519" s="15">
        <v>18</v>
      </c>
      <c r="I519" s="15">
        <v>1246.4000000000001</v>
      </c>
      <c r="J519" s="13" t="s">
        <v>93</v>
      </c>
      <c r="K519" s="13" t="s">
        <v>133</v>
      </c>
      <c r="L519">
        <f>IF(COUNTIF(A$2:A519, A519)=1, IF(COUNTIF(A$2:A$2001, A519)&gt;1, 1, 0), 0)</f>
        <v>0</v>
      </c>
      <c r="M519" t="b">
        <f>VLOOKUP(D519, Products!A$2:F$61, 6, FALSE)</f>
        <v>1</v>
      </c>
      <c r="N519" t="str">
        <f>VLOOKUP(D519, Products!A$2:C$61, 3, FALSE)</f>
        <v>Sports</v>
      </c>
      <c r="O519" t="str">
        <f>VLOOKUP(C519, Customers!A$2:E$301, 5, FALSE)</f>
        <v>Retail</v>
      </c>
      <c r="P519">
        <f>VLOOKUP(C519, Customers!A$2:C$301, 3, FALSE)</f>
        <v>25</v>
      </c>
      <c r="Q519" t="str">
        <f>VLOOKUP(E519, Sales_Reps!A$2:C$31, 3, FALSE)</f>
        <v>West</v>
      </c>
      <c r="R519">
        <f>VLOOKUP(D519, Products!A$2:D$61, 4, FALSE)</f>
        <v>147</v>
      </c>
    </row>
    <row r="520" spans="1:18" x14ac:dyDescent="0.3">
      <c r="A520" s="13" t="s">
        <v>955</v>
      </c>
      <c r="B520" s="14">
        <v>45443</v>
      </c>
      <c r="C520" s="13" t="s">
        <v>956</v>
      </c>
      <c r="D520" s="13" t="s">
        <v>386</v>
      </c>
      <c r="E520" s="13" t="s">
        <v>229</v>
      </c>
      <c r="F520" s="15">
        <v>7</v>
      </c>
      <c r="G520" s="15">
        <v>2290</v>
      </c>
      <c r="H520" s="15">
        <v>12.5</v>
      </c>
      <c r="I520" s="15">
        <v>14026.25</v>
      </c>
      <c r="J520" s="13" t="s">
        <v>87</v>
      </c>
      <c r="K520" s="13" t="s">
        <v>112</v>
      </c>
      <c r="L520">
        <f>IF(COUNTIF(A$2:A520, A520)=1, IF(COUNTIF(A$2:A$2001, A520)&gt;1, 1, 0), 0)</f>
        <v>0</v>
      </c>
      <c r="M520" t="b">
        <f>VLOOKUP(D520, Products!A$2:F$61, 6, FALSE)</f>
        <v>1</v>
      </c>
      <c r="N520" t="str">
        <f>VLOOKUP(D520, Products!A$2:C$61, 3, FALSE)</f>
        <v>Beauty</v>
      </c>
      <c r="O520" t="str">
        <f>VLOOKUP(C520, Customers!A$2:E$301, 5, FALSE)</f>
        <v>Retail</v>
      </c>
      <c r="P520">
        <f>VLOOKUP(C520, Customers!A$2:C$301, 3, FALSE)</f>
        <v>49</v>
      </c>
      <c r="Q520" t="str">
        <f>VLOOKUP(E520, Sales_Reps!A$2:C$31, 3, FALSE)</f>
        <v>West</v>
      </c>
      <c r="R520">
        <f>VLOOKUP(D520, Products!A$2:D$61, 4, FALSE)</f>
        <v>1219</v>
      </c>
    </row>
    <row r="521" spans="1:18" x14ac:dyDescent="0.3">
      <c r="A521" s="13" t="s">
        <v>957</v>
      </c>
      <c r="B521" s="14">
        <v>45638</v>
      </c>
      <c r="C521" s="13" t="s">
        <v>186</v>
      </c>
      <c r="D521" s="13" t="s">
        <v>364</v>
      </c>
      <c r="E521" s="13" t="s">
        <v>238</v>
      </c>
      <c r="F521" s="15">
        <v>2</v>
      </c>
      <c r="G521" s="15">
        <v>5330</v>
      </c>
      <c r="H521" s="15">
        <v>26.5</v>
      </c>
      <c r="I521" s="15">
        <v>7835.1</v>
      </c>
      <c r="J521" s="13" t="s">
        <v>87</v>
      </c>
      <c r="K521" s="13" t="s">
        <v>94</v>
      </c>
      <c r="L521">
        <f>IF(COUNTIF(A$2:A521, A521)=1, IF(COUNTIF(A$2:A$2001, A521)&gt;1, 1, 0), 0)</f>
        <v>0</v>
      </c>
      <c r="M521" t="b">
        <f>VLOOKUP(D521, Products!A$2:F$61, 6, FALSE)</f>
        <v>1</v>
      </c>
      <c r="N521" t="str">
        <f>VLOOKUP(D521, Products!A$2:C$61, 3, FALSE)</f>
        <v>Electronics</v>
      </c>
      <c r="O521" t="str">
        <f>VLOOKUP(C521, Customers!A$2:E$301, 5, FALSE)</f>
        <v>SMB</v>
      </c>
      <c r="P521">
        <f>VLOOKUP(C521, Customers!A$2:C$301, 3, FALSE)</f>
        <v>52</v>
      </c>
      <c r="Q521" t="str">
        <f>VLOOKUP(E521, Sales_Reps!A$2:C$31, 3, FALSE)</f>
        <v>East</v>
      </c>
      <c r="R521">
        <f>VLOOKUP(D521, Products!A$2:D$61, 4, FALSE)</f>
        <v>2405</v>
      </c>
    </row>
    <row r="522" spans="1:18" x14ac:dyDescent="0.3">
      <c r="A522" s="13" t="s">
        <v>958</v>
      </c>
      <c r="B522" s="14">
        <v>45476</v>
      </c>
      <c r="C522" s="13" t="s">
        <v>959</v>
      </c>
      <c r="D522" s="13" t="s">
        <v>364</v>
      </c>
      <c r="E522" s="13" t="s">
        <v>188</v>
      </c>
      <c r="F522" s="15">
        <v>4</v>
      </c>
      <c r="G522" s="15">
        <v>5330</v>
      </c>
      <c r="H522" s="15">
        <v>25.6</v>
      </c>
      <c r="I522" s="15">
        <v>15862.08</v>
      </c>
      <c r="J522" s="13" t="s">
        <v>87</v>
      </c>
      <c r="K522" s="13" t="s">
        <v>112</v>
      </c>
      <c r="L522">
        <f>IF(COUNTIF(A$2:A522, A522)=1, IF(COUNTIF(A$2:A$2001, A522)&gt;1, 1, 0), 0)</f>
        <v>0</v>
      </c>
      <c r="M522" t="b">
        <f>VLOOKUP(D522, Products!A$2:F$61, 6, FALSE)</f>
        <v>1</v>
      </c>
      <c r="N522" t="str">
        <f>VLOOKUP(D522, Products!A$2:C$61, 3, FALSE)</f>
        <v>Electronics</v>
      </c>
      <c r="O522" t="str">
        <f>VLOOKUP(C522, Customers!A$2:E$301, 5, FALSE)</f>
        <v>SMB</v>
      </c>
      <c r="P522">
        <f>VLOOKUP(C522, Customers!A$2:C$301, 3, FALSE)</f>
        <v>65</v>
      </c>
      <c r="Q522" t="str">
        <f>VLOOKUP(E522, Sales_Reps!A$2:C$31, 3, FALSE)</f>
        <v>South</v>
      </c>
      <c r="R522">
        <f>VLOOKUP(D522, Products!A$2:D$61, 4, FALSE)</f>
        <v>2405</v>
      </c>
    </row>
    <row r="523" spans="1:18" x14ac:dyDescent="0.3">
      <c r="A523" s="13" t="s">
        <v>960</v>
      </c>
      <c r="B523" s="14">
        <v>45566</v>
      </c>
      <c r="C523" s="13" t="s">
        <v>289</v>
      </c>
      <c r="D523" s="13" t="s">
        <v>443</v>
      </c>
      <c r="E523" s="13" t="s">
        <v>103</v>
      </c>
      <c r="F523" s="15">
        <v>4</v>
      </c>
      <c r="G523" s="15">
        <v>5080</v>
      </c>
      <c r="H523" s="15">
        <v>28.6</v>
      </c>
      <c r="I523" s="15">
        <v>14508.48</v>
      </c>
      <c r="J523" s="13" t="s">
        <v>87</v>
      </c>
      <c r="K523" s="13" t="s">
        <v>94</v>
      </c>
      <c r="L523">
        <f>IF(COUNTIF(A$2:A523, A523)=1, IF(COUNTIF(A$2:A$2001, A523)&gt;1, 1, 0), 0)</f>
        <v>0</v>
      </c>
      <c r="M523" t="b">
        <f>VLOOKUP(D523, Products!A$2:F$61, 6, FALSE)</f>
        <v>1</v>
      </c>
      <c r="N523" t="str">
        <f>VLOOKUP(D523, Products!A$2:C$61, 3, FALSE)</f>
        <v>Home</v>
      </c>
      <c r="O523" t="str">
        <f>VLOOKUP(C523, Customers!A$2:E$301, 5, FALSE)</f>
        <v>Retail</v>
      </c>
      <c r="P523">
        <f>VLOOKUP(C523, Customers!A$2:C$301, 3, FALSE)</f>
        <v>38</v>
      </c>
      <c r="Q523" t="str">
        <f>VLOOKUP(E523, Sales_Reps!A$2:C$31, 3, FALSE)</f>
        <v>North</v>
      </c>
      <c r="R523">
        <f>VLOOKUP(D523, Products!A$2:D$61, 4, FALSE)</f>
        <v>2459</v>
      </c>
    </row>
    <row r="524" spans="1:18" x14ac:dyDescent="0.3">
      <c r="A524" s="13" t="s">
        <v>961</v>
      </c>
      <c r="B524" s="14">
        <v>45392</v>
      </c>
      <c r="C524" s="13" t="s">
        <v>479</v>
      </c>
      <c r="D524" s="13" t="s">
        <v>110</v>
      </c>
      <c r="E524" s="13" t="s">
        <v>297</v>
      </c>
      <c r="F524" s="15">
        <v>4</v>
      </c>
      <c r="G524" s="15">
        <v>370</v>
      </c>
      <c r="H524" s="15">
        <v>12.6</v>
      </c>
      <c r="I524" s="15">
        <v>1293.52</v>
      </c>
      <c r="J524" s="13" t="s">
        <v>93</v>
      </c>
      <c r="K524" s="13" t="s">
        <v>88</v>
      </c>
      <c r="L524">
        <f>IF(COUNTIF(A$2:A524, A524)=1, IF(COUNTIF(A$2:A$2001, A524)&gt;1, 1, 0), 0)</f>
        <v>0</v>
      </c>
      <c r="M524" t="b">
        <f>VLOOKUP(D524, Products!A$2:F$61, 6, FALSE)</f>
        <v>1</v>
      </c>
      <c r="N524" t="str">
        <f>VLOOKUP(D524, Products!A$2:C$61, 3, FALSE)</f>
        <v>Home</v>
      </c>
      <c r="O524" t="str">
        <f>VLOOKUP(C524, Customers!A$2:E$301, 5, FALSE)</f>
        <v>SMB</v>
      </c>
      <c r="P524">
        <f>VLOOKUP(C524, Customers!A$2:C$301, 3, FALSE)</f>
        <v>49</v>
      </c>
      <c r="Q524" t="str">
        <f>VLOOKUP(E524, Sales_Reps!A$2:C$31, 3, FALSE)</f>
        <v>North</v>
      </c>
      <c r="R524">
        <f>VLOOKUP(D524, Products!A$2:D$61, 4, FALSE)</f>
        <v>288</v>
      </c>
    </row>
    <row r="525" spans="1:18" x14ac:dyDescent="0.3">
      <c r="A525" s="13" t="s">
        <v>962</v>
      </c>
      <c r="B525" s="14">
        <v>45561</v>
      </c>
      <c r="C525" s="13" t="s">
        <v>963</v>
      </c>
      <c r="D525" s="13" t="s">
        <v>97</v>
      </c>
      <c r="E525" s="13" t="s">
        <v>252</v>
      </c>
      <c r="F525" s="15">
        <v>9</v>
      </c>
      <c r="G525" s="15">
        <v>470</v>
      </c>
      <c r="H525" s="15">
        <v>3.6</v>
      </c>
      <c r="I525" s="15">
        <v>4077.72</v>
      </c>
      <c r="J525" s="13" t="s">
        <v>87</v>
      </c>
      <c r="K525" s="13" t="s">
        <v>94</v>
      </c>
      <c r="L525">
        <f>IF(COUNTIF(A$2:A525, A525)=1, IF(COUNTIF(A$2:A$2001, A525)&gt;1, 1, 0), 0)</f>
        <v>0</v>
      </c>
      <c r="M525" t="b">
        <f>VLOOKUP(D525, Products!A$2:F$61, 6, FALSE)</f>
        <v>0</v>
      </c>
      <c r="N525" t="str">
        <f>VLOOKUP(D525, Products!A$2:C$61, 3, FALSE)</f>
        <v>Sports</v>
      </c>
      <c r="O525" t="str">
        <f>VLOOKUP(C525, Customers!A$2:E$301, 5, FALSE)</f>
        <v>Retail</v>
      </c>
      <c r="P525">
        <f>VLOOKUP(C525, Customers!A$2:C$301, 3, FALSE)</f>
        <v>31</v>
      </c>
      <c r="Q525" t="str">
        <f>VLOOKUP(E525, Sales_Reps!A$2:C$31, 3, FALSE)</f>
        <v>South</v>
      </c>
      <c r="R525">
        <f>VLOOKUP(D525, Products!A$2:D$61, 4, FALSE)</f>
        <v>302</v>
      </c>
    </row>
    <row r="526" spans="1:18" x14ac:dyDescent="0.3">
      <c r="A526" s="13" t="s">
        <v>964</v>
      </c>
      <c r="B526" s="14">
        <v>45634</v>
      </c>
      <c r="C526" s="13" t="s">
        <v>643</v>
      </c>
      <c r="D526" s="13" t="s">
        <v>360</v>
      </c>
      <c r="E526" s="13" t="s">
        <v>343</v>
      </c>
      <c r="F526" s="15">
        <v>4</v>
      </c>
      <c r="G526" s="15">
        <v>5410</v>
      </c>
      <c r="H526" s="15">
        <v>11.3</v>
      </c>
      <c r="I526" s="15">
        <v>19194.68</v>
      </c>
      <c r="J526" s="13" t="s">
        <v>144</v>
      </c>
      <c r="K526" s="13" t="s">
        <v>112</v>
      </c>
      <c r="L526">
        <f>IF(COUNTIF(A$2:A526, A526)=1, IF(COUNTIF(A$2:A$2001, A526)&gt;1, 1, 0), 0)</f>
        <v>0</v>
      </c>
      <c r="M526" t="b">
        <f>VLOOKUP(D526, Products!A$2:F$61, 6, FALSE)</f>
        <v>1</v>
      </c>
      <c r="N526" t="str">
        <f>VLOOKUP(D526, Products!A$2:C$61, 3, FALSE)</f>
        <v>Sports</v>
      </c>
      <c r="O526" t="str">
        <f>VLOOKUP(C526, Customers!A$2:E$301, 5, FALSE)</f>
        <v>SMB</v>
      </c>
      <c r="P526">
        <f>VLOOKUP(C526, Customers!A$2:C$301, 3, FALSE)</f>
        <v>27</v>
      </c>
      <c r="Q526" t="str">
        <f>VLOOKUP(E526, Sales_Reps!A$2:C$31, 3, FALSE)</f>
        <v>West</v>
      </c>
      <c r="R526">
        <f>VLOOKUP(D526, Products!A$2:D$61, 4, FALSE)</f>
        <v>2265</v>
      </c>
    </row>
    <row r="527" spans="1:18" x14ac:dyDescent="0.3">
      <c r="A527" s="13" t="s">
        <v>965</v>
      </c>
      <c r="B527" s="14">
        <v>45311</v>
      </c>
      <c r="C527" s="13" t="s">
        <v>966</v>
      </c>
      <c r="D527" s="13" t="s">
        <v>85</v>
      </c>
      <c r="E527" s="13" t="s">
        <v>86</v>
      </c>
      <c r="F527" s="15">
        <v>10</v>
      </c>
      <c r="G527" s="15">
        <v>3620</v>
      </c>
      <c r="H527" s="15">
        <v>2.5</v>
      </c>
      <c r="I527" s="15">
        <v>35295</v>
      </c>
      <c r="J527" s="13" t="s">
        <v>87</v>
      </c>
      <c r="K527" s="13" t="s">
        <v>133</v>
      </c>
      <c r="L527">
        <f>IF(COUNTIF(A$2:A527, A527)=1, IF(COUNTIF(A$2:A$2001, A527)&gt;1, 1, 0), 0)</f>
        <v>0</v>
      </c>
      <c r="M527" t="b">
        <f>VLOOKUP(D527, Products!A$2:F$61, 6, FALSE)</f>
        <v>1</v>
      </c>
      <c r="N527" t="str">
        <f>VLOOKUP(D527, Products!A$2:C$61, 3, FALSE)</f>
        <v>Apparel</v>
      </c>
      <c r="O527" t="str">
        <f>VLOOKUP(C527, Customers!A$2:E$301, 5, FALSE)</f>
        <v>SMB</v>
      </c>
      <c r="P527">
        <f>VLOOKUP(C527, Customers!A$2:C$301, 3, FALSE)</f>
        <v>31</v>
      </c>
      <c r="Q527" t="str">
        <f>VLOOKUP(E527, Sales_Reps!A$2:C$31, 3, FALSE)</f>
        <v>North</v>
      </c>
      <c r="R527">
        <f>VLOOKUP(D527, Products!A$2:D$61, 4, FALSE)</f>
        <v>2509</v>
      </c>
    </row>
    <row r="528" spans="1:18" x14ac:dyDescent="0.3">
      <c r="A528" s="13" t="s">
        <v>967</v>
      </c>
      <c r="B528" s="14">
        <v>45380</v>
      </c>
      <c r="C528" s="13" t="s">
        <v>968</v>
      </c>
      <c r="D528" s="13" t="s">
        <v>200</v>
      </c>
      <c r="E528" s="13" t="s">
        <v>170</v>
      </c>
      <c r="F528" s="15">
        <v>1</v>
      </c>
      <c r="G528" s="15">
        <v>2760</v>
      </c>
      <c r="H528" s="15">
        <v>22.2</v>
      </c>
      <c r="I528" s="15">
        <v>2147.2800000000002</v>
      </c>
      <c r="J528" s="13" t="s">
        <v>87</v>
      </c>
      <c r="K528" s="13" t="s">
        <v>99</v>
      </c>
      <c r="L528">
        <f>IF(COUNTIF(A$2:A528, A528)=1, IF(COUNTIF(A$2:A$2001, A528)&gt;1, 1, 0), 0)</f>
        <v>0</v>
      </c>
      <c r="M528" t="b">
        <f>VLOOKUP(D528, Products!A$2:F$61, 6, FALSE)</f>
        <v>1</v>
      </c>
      <c r="N528" t="str">
        <f>VLOOKUP(D528, Products!A$2:C$61, 3, FALSE)</f>
        <v>Grocery</v>
      </c>
      <c r="O528" t="str">
        <f>VLOOKUP(C528, Customers!A$2:E$301, 5, FALSE)</f>
        <v>Retail</v>
      </c>
      <c r="P528">
        <f>VLOOKUP(C528, Customers!A$2:C$301, 3, FALSE)</f>
        <v>47</v>
      </c>
      <c r="Q528" t="str">
        <f>VLOOKUP(E528, Sales_Reps!A$2:C$31, 3, FALSE)</f>
        <v>West</v>
      </c>
      <c r="R528">
        <f>VLOOKUP(D528, Products!A$2:D$61, 4, FALSE)</f>
        <v>1435</v>
      </c>
    </row>
    <row r="529" spans="1:18" x14ac:dyDescent="0.3">
      <c r="A529" s="13" t="s">
        <v>969</v>
      </c>
      <c r="B529" s="14">
        <v>45549</v>
      </c>
      <c r="C529" s="13" t="s">
        <v>970</v>
      </c>
      <c r="D529" s="13" t="s">
        <v>157</v>
      </c>
      <c r="E529" s="13" t="s">
        <v>215</v>
      </c>
      <c r="F529" s="15">
        <v>7</v>
      </c>
      <c r="G529" s="15">
        <v>3450</v>
      </c>
      <c r="H529" s="15">
        <v>8.6</v>
      </c>
      <c r="I529" s="15">
        <v>22073.1</v>
      </c>
      <c r="J529" s="13" t="s">
        <v>87</v>
      </c>
      <c r="K529" s="13" t="s">
        <v>112</v>
      </c>
      <c r="L529">
        <f>IF(COUNTIF(A$2:A529, A529)=1, IF(COUNTIF(A$2:A$2001, A529)&gt;1, 1, 0), 0)</f>
        <v>0</v>
      </c>
      <c r="M529" t="b">
        <f>VLOOKUP(D529, Products!A$2:F$61, 6, FALSE)</f>
        <v>1</v>
      </c>
      <c r="N529" t="str">
        <f>VLOOKUP(D529, Products!A$2:C$61, 3, FALSE)</f>
        <v>Beauty</v>
      </c>
      <c r="O529" t="str">
        <f>VLOOKUP(C529, Customers!A$2:E$301, 5, FALSE)</f>
        <v>Retail</v>
      </c>
      <c r="P529">
        <f>VLOOKUP(C529, Customers!A$2:C$301, 3, FALSE)</f>
        <v>40</v>
      </c>
      <c r="Q529" t="str">
        <f>VLOOKUP(E529, Sales_Reps!A$2:C$31, 3, FALSE)</f>
        <v>North</v>
      </c>
      <c r="R529">
        <f>VLOOKUP(D529, Products!A$2:D$61, 4, FALSE)</f>
        <v>2420</v>
      </c>
    </row>
    <row r="530" spans="1:18" x14ac:dyDescent="0.3">
      <c r="A530" s="13" t="s">
        <v>971</v>
      </c>
      <c r="B530" s="14">
        <v>45418</v>
      </c>
      <c r="C530" s="13" t="s">
        <v>546</v>
      </c>
      <c r="D530" s="13" t="s">
        <v>102</v>
      </c>
      <c r="E530" s="13" t="s">
        <v>128</v>
      </c>
      <c r="F530" s="15">
        <v>6</v>
      </c>
      <c r="G530" s="15">
        <v>3660</v>
      </c>
      <c r="H530" s="15">
        <v>10.6</v>
      </c>
      <c r="I530" s="15">
        <v>19632.240000000002</v>
      </c>
      <c r="J530" s="13" t="s">
        <v>87</v>
      </c>
      <c r="K530" s="13" t="s">
        <v>99</v>
      </c>
      <c r="L530">
        <f>IF(COUNTIF(A$2:A530, A530)=1, IF(COUNTIF(A$2:A$2001, A530)&gt;1, 1, 0), 0)</f>
        <v>0</v>
      </c>
      <c r="M530" t="b">
        <f>VLOOKUP(D530, Products!A$2:F$61, 6, FALSE)</f>
        <v>0</v>
      </c>
      <c r="N530" t="str">
        <f>VLOOKUP(D530, Products!A$2:C$61, 3, FALSE)</f>
        <v>Grocery</v>
      </c>
      <c r="O530" t="str">
        <f>VLOOKUP(C530, Customers!A$2:E$301, 5, FALSE)</f>
        <v>SMB</v>
      </c>
      <c r="P530">
        <f>VLOOKUP(C530, Customers!A$2:C$301, 3, FALSE)</f>
        <v>29</v>
      </c>
      <c r="Q530" t="str">
        <f>VLOOKUP(E530, Sales_Reps!A$2:C$31, 3, FALSE)</f>
        <v>West</v>
      </c>
      <c r="R530">
        <f>VLOOKUP(D530, Products!A$2:D$61, 4, FALSE)</f>
        <v>2214</v>
      </c>
    </row>
    <row r="531" spans="1:18" x14ac:dyDescent="0.3">
      <c r="A531" s="13" t="s">
        <v>972</v>
      </c>
      <c r="B531" s="14">
        <v>45532</v>
      </c>
      <c r="C531" s="13" t="s">
        <v>524</v>
      </c>
      <c r="D531" s="13" t="s">
        <v>187</v>
      </c>
      <c r="E531" s="13" t="s">
        <v>128</v>
      </c>
      <c r="F531" s="15">
        <v>10</v>
      </c>
      <c r="G531" s="15">
        <v>3570</v>
      </c>
      <c r="H531" s="15">
        <v>1.2</v>
      </c>
      <c r="I531" s="15">
        <v>35271.599999999999</v>
      </c>
      <c r="J531" s="13" t="s">
        <v>87</v>
      </c>
      <c r="K531" s="13" t="s">
        <v>112</v>
      </c>
      <c r="L531">
        <f>IF(COUNTIF(A$2:A531, A531)=1, IF(COUNTIF(A$2:A$2001, A531)&gt;1, 1, 0), 0)</f>
        <v>0</v>
      </c>
      <c r="M531" t="b">
        <f>VLOOKUP(D531, Products!A$2:F$61, 6, FALSE)</f>
        <v>1</v>
      </c>
      <c r="N531" t="str">
        <f>VLOOKUP(D531, Products!A$2:C$61, 3, FALSE)</f>
        <v>Electronics</v>
      </c>
      <c r="O531" t="str">
        <f>VLOOKUP(C531, Customers!A$2:E$301, 5, FALSE)</f>
        <v>Corporate</v>
      </c>
      <c r="P531">
        <f>VLOOKUP(C531, Customers!A$2:C$301, 3, FALSE)</f>
        <v>55</v>
      </c>
      <c r="Q531" t="str">
        <f>VLOOKUP(E531, Sales_Reps!A$2:C$31, 3, FALSE)</f>
        <v>West</v>
      </c>
      <c r="R531">
        <f>VLOOKUP(D531, Products!A$2:D$61, 4, FALSE)</f>
        <v>1665</v>
      </c>
    </row>
    <row r="532" spans="1:18" x14ac:dyDescent="0.3">
      <c r="A532" s="13" t="s">
        <v>973</v>
      </c>
      <c r="B532" s="14">
        <v>45542</v>
      </c>
      <c r="C532" s="13" t="s">
        <v>420</v>
      </c>
      <c r="D532" s="13" t="s">
        <v>502</v>
      </c>
      <c r="E532" s="13" t="s">
        <v>204</v>
      </c>
      <c r="F532" s="15">
        <v>8</v>
      </c>
      <c r="G532" s="15">
        <v>1090</v>
      </c>
      <c r="H532" s="15">
        <v>13.2</v>
      </c>
      <c r="I532" s="15">
        <v>7568.96</v>
      </c>
      <c r="J532" s="13" t="s">
        <v>144</v>
      </c>
      <c r="K532" s="13" t="s">
        <v>99</v>
      </c>
      <c r="L532">
        <f>IF(COUNTIF(A$2:A532, A532)=1, IF(COUNTIF(A$2:A$2001, A532)&gt;1, 1, 0), 0)</f>
        <v>0</v>
      </c>
      <c r="M532" t="b">
        <f>VLOOKUP(D532, Products!A$2:F$61, 6, FALSE)</f>
        <v>1</v>
      </c>
      <c r="N532" t="str">
        <f>VLOOKUP(D532, Products!A$2:C$61, 3, FALSE)</f>
        <v>Home</v>
      </c>
      <c r="O532" t="str">
        <f>VLOOKUP(C532, Customers!A$2:E$301, 5, FALSE)</f>
        <v>Retail</v>
      </c>
      <c r="P532">
        <f>VLOOKUP(C532, Customers!A$2:C$301, 3, FALSE)</f>
        <v>44</v>
      </c>
      <c r="Q532" t="str">
        <f>VLOOKUP(E532, Sales_Reps!A$2:C$31, 3, FALSE)</f>
        <v>South</v>
      </c>
      <c r="R532">
        <f>VLOOKUP(D532, Products!A$2:D$61, 4, FALSE)</f>
        <v>464</v>
      </c>
    </row>
    <row r="533" spans="1:18" x14ac:dyDescent="0.3">
      <c r="A533" s="13" t="s">
        <v>974</v>
      </c>
      <c r="B533" s="14">
        <v>45320</v>
      </c>
      <c r="C533" s="13" t="s">
        <v>457</v>
      </c>
      <c r="D533" s="13" t="s">
        <v>85</v>
      </c>
      <c r="E533" s="13" t="s">
        <v>303</v>
      </c>
      <c r="F533" s="15">
        <v>8</v>
      </c>
      <c r="G533" s="15">
        <v>3620</v>
      </c>
      <c r="H533" s="15">
        <v>29</v>
      </c>
      <c r="I533" s="15">
        <v>20561.599999999999</v>
      </c>
      <c r="J533" s="13" t="s">
        <v>87</v>
      </c>
      <c r="K533" s="13" t="s">
        <v>88</v>
      </c>
      <c r="L533">
        <f>IF(COUNTIF(A$2:A533, A533)=1, IF(COUNTIF(A$2:A$2001, A533)&gt;1, 1, 0), 0)</f>
        <v>0</v>
      </c>
      <c r="M533" t="b">
        <f>VLOOKUP(D533, Products!A$2:F$61, 6, FALSE)</f>
        <v>1</v>
      </c>
      <c r="N533" t="str">
        <f>VLOOKUP(D533, Products!A$2:C$61, 3, FALSE)</f>
        <v>Apparel</v>
      </c>
      <c r="O533" t="str">
        <f>VLOOKUP(C533, Customers!A$2:E$301, 5, FALSE)</f>
        <v>Retail</v>
      </c>
      <c r="P533">
        <f>VLOOKUP(C533, Customers!A$2:C$301, 3, FALSE)</f>
        <v>29</v>
      </c>
      <c r="Q533" t="str">
        <f>VLOOKUP(E533, Sales_Reps!A$2:C$31, 3, FALSE)</f>
        <v>East</v>
      </c>
      <c r="R533">
        <f>VLOOKUP(D533, Products!A$2:D$61, 4, FALSE)</f>
        <v>2509</v>
      </c>
    </row>
    <row r="534" spans="1:18" x14ac:dyDescent="0.3">
      <c r="A534" s="13" t="s">
        <v>975</v>
      </c>
      <c r="B534" s="14">
        <v>45548</v>
      </c>
      <c r="C534" s="13" t="s">
        <v>291</v>
      </c>
      <c r="D534" s="13" t="s">
        <v>184</v>
      </c>
      <c r="E534" s="13" t="s">
        <v>132</v>
      </c>
      <c r="F534" s="15">
        <v>7</v>
      </c>
      <c r="G534" s="15">
        <v>4880</v>
      </c>
      <c r="H534" s="15">
        <v>25.6</v>
      </c>
      <c r="I534" s="15">
        <v>25415.040000000001</v>
      </c>
      <c r="J534" s="13" t="s">
        <v>144</v>
      </c>
      <c r="K534" s="13" t="s">
        <v>99</v>
      </c>
      <c r="L534">
        <f>IF(COUNTIF(A$2:A534, A534)=1, IF(COUNTIF(A$2:A$2001, A534)&gt;1, 1, 0), 0)</f>
        <v>0</v>
      </c>
      <c r="M534" t="b">
        <f>VLOOKUP(D534, Products!A$2:F$61, 6, FALSE)</f>
        <v>1</v>
      </c>
      <c r="N534" t="str">
        <f>VLOOKUP(D534, Products!A$2:C$61, 3, FALSE)</f>
        <v>Beauty</v>
      </c>
      <c r="O534" t="str">
        <f>VLOOKUP(C534, Customers!A$2:E$301, 5, FALSE)</f>
        <v>Retail</v>
      </c>
      <c r="P534">
        <f>VLOOKUP(C534, Customers!A$2:C$301, 3, FALSE)</f>
        <v>35</v>
      </c>
      <c r="Q534" t="str">
        <f>VLOOKUP(E534, Sales_Reps!A$2:C$31, 3, FALSE)</f>
        <v>South</v>
      </c>
      <c r="R534">
        <f>VLOOKUP(D534, Products!A$2:D$61, 4, FALSE)</f>
        <v>2768</v>
      </c>
    </row>
    <row r="535" spans="1:18" x14ac:dyDescent="0.3">
      <c r="A535" s="13" t="s">
        <v>976</v>
      </c>
      <c r="B535" s="14">
        <v>45434</v>
      </c>
      <c r="C535" s="13" t="s">
        <v>977</v>
      </c>
      <c r="D535" s="13" t="s">
        <v>97</v>
      </c>
      <c r="E535" s="13" t="s">
        <v>128</v>
      </c>
      <c r="F535" s="15">
        <v>2</v>
      </c>
      <c r="G535" s="15">
        <v>470</v>
      </c>
      <c r="H535" s="15">
        <v>9.6999999999999993</v>
      </c>
      <c r="I535" s="15">
        <v>848.82</v>
      </c>
      <c r="J535" s="13" t="s">
        <v>87</v>
      </c>
      <c r="K535" s="13" t="s">
        <v>88</v>
      </c>
      <c r="L535">
        <f>IF(COUNTIF(A$2:A535, A535)=1, IF(COUNTIF(A$2:A$2001, A535)&gt;1, 1, 0), 0)</f>
        <v>0</v>
      </c>
      <c r="M535" t="b">
        <f>VLOOKUP(D535, Products!A$2:F$61, 6, FALSE)</f>
        <v>0</v>
      </c>
      <c r="N535" t="str">
        <f>VLOOKUP(D535, Products!A$2:C$61, 3, FALSE)</f>
        <v>Sports</v>
      </c>
      <c r="O535" t="str">
        <f>VLOOKUP(C535, Customers!A$2:E$301, 5, FALSE)</f>
        <v>Corporate</v>
      </c>
      <c r="P535">
        <f>VLOOKUP(C535, Customers!A$2:C$301, 3, FALSE)</f>
        <v>29</v>
      </c>
      <c r="Q535" t="str">
        <f>VLOOKUP(E535, Sales_Reps!A$2:C$31, 3, FALSE)</f>
        <v>West</v>
      </c>
      <c r="R535">
        <f>VLOOKUP(D535, Products!A$2:D$61, 4, FALSE)</f>
        <v>302</v>
      </c>
    </row>
    <row r="536" spans="1:18" x14ac:dyDescent="0.3">
      <c r="A536" s="13" t="s">
        <v>978</v>
      </c>
      <c r="B536" s="14">
        <v>45539</v>
      </c>
      <c r="C536" s="13" t="s">
        <v>835</v>
      </c>
      <c r="D536" s="13" t="s">
        <v>386</v>
      </c>
      <c r="E536" s="13" t="s">
        <v>285</v>
      </c>
      <c r="F536" s="15">
        <v>6</v>
      </c>
      <c r="G536" s="15">
        <v>2290</v>
      </c>
      <c r="H536" s="15">
        <v>8.9</v>
      </c>
      <c r="I536" s="15">
        <v>12517.14</v>
      </c>
      <c r="J536" s="13" t="s">
        <v>87</v>
      </c>
      <c r="K536" s="13" t="s">
        <v>117</v>
      </c>
      <c r="L536">
        <f>IF(COUNTIF(A$2:A536, A536)=1, IF(COUNTIF(A$2:A$2001, A536)&gt;1, 1, 0), 0)</f>
        <v>0</v>
      </c>
      <c r="M536" t="b">
        <f>VLOOKUP(D536, Products!A$2:F$61, 6, FALSE)</f>
        <v>1</v>
      </c>
      <c r="N536" t="str">
        <f>VLOOKUP(D536, Products!A$2:C$61, 3, FALSE)</f>
        <v>Beauty</v>
      </c>
      <c r="O536" t="str">
        <f>VLOOKUP(C536, Customers!A$2:E$301, 5, FALSE)</f>
        <v>Retail</v>
      </c>
      <c r="P536">
        <f>VLOOKUP(C536, Customers!A$2:C$301, 3, FALSE)</f>
        <v>52</v>
      </c>
      <c r="Q536" t="str">
        <f>VLOOKUP(E536, Sales_Reps!A$2:C$31, 3, FALSE)</f>
        <v>East</v>
      </c>
      <c r="R536">
        <f>VLOOKUP(D536, Products!A$2:D$61, 4, FALSE)</f>
        <v>1219</v>
      </c>
    </row>
    <row r="537" spans="1:18" x14ac:dyDescent="0.3">
      <c r="A537" s="13" t="s">
        <v>979</v>
      </c>
      <c r="B537" s="14">
        <v>45468</v>
      </c>
      <c r="C537" s="13" t="s">
        <v>460</v>
      </c>
      <c r="D537" s="13" t="s">
        <v>367</v>
      </c>
      <c r="E537" s="13" t="s">
        <v>132</v>
      </c>
      <c r="F537" s="15">
        <v>3</v>
      </c>
      <c r="G537" s="15">
        <v>2380</v>
      </c>
      <c r="H537" s="15">
        <v>2.7</v>
      </c>
      <c r="I537" s="15">
        <v>6947.22</v>
      </c>
      <c r="J537" s="13" t="s">
        <v>93</v>
      </c>
      <c r="K537" s="13" t="s">
        <v>88</v>
      </c>
      <c r="L537">
        <f>IF(COUNTIF(A$2:A537, A537)=1, IF(COUNTIF(A$2:A$2001, A537)&gt;1, 1, 0), 0)</f>
        <v>0</v>
      </c>
      <c r="M537" t="b">
        <f>VLOOKUP(D537, Products!A$2:F$61, 6, FALSE)</f>
        <v>1</v>
      </c>
      <c r="N537" t="str">
        <f>VLOOKUP(D537, Products!A$2:C$61, 3, FALSE)</f>
        <v>Grocery</v>
      </c>
      <c r="O537" t="str">
        <f>VLOOKUP(C537, Customers!A$2:E$301, 5, FALSE)</f>
        <v>Corporate</v>
      </c>
      <c r="P537">
        <f>VLOOKUP(C537, Customers!A$2:C$301, 3, FALSE)</f>
        <v>37</v>
      </c>
      <c r="Q537" t="str">
        <f>VLOOKUP(E537, Sales_Reps!A$2:C$31, 3, FALSE)</f>
        <v>South</v>
      </c>
      <c r="R537">
        <f>VLOOKUP(D537, Products!A$2:D$61, 4, FALSE)</f>
        <v>1182</v>
      </c>
    </row>
    <row r="538" spans="1:18" x14ac:dyDescent="0.3">
      <c r="A538" s="13" t="s">
        <v>980</v>
      </c>
      <c r="B538" s="14">
        <v>45485</v>
      </c>
      <c r="C538" s="13" t="s">
        <v>729</v>
      </c>
      <c r="D538" s="13" t="s">
        <v>367</v>
      </c>
      <c r="E538" s="13" t="s">
        <v>107</v>
      </c>
      <c r="F538" s="15">
        <v>9</v>
      </c>
      <c r="G538" s="15">
        <v>2380</v>
      </c>
      <c r="H538" s="15">
        <v>20.100000000000001</v>
      </c>
      <c r="I538" s="15">
        <v>17114.580000000002</v>
      </c>
      <c r="J538" s="13" t="s">
        <v>87</v>
      </c>
      <c r="K538" s="13" t="s">
        <v>112</v>
      </c>
      <c r="L538">
        <f>IF(COUNTIF(A$2:A538, A538)=1, IF(COUNTIF(A$2:A$2001, A538)&gt;1, 1, 0), 0)</f>
        <v>0</v>
      </c>
      <c r="M538" t="b">
        <f>VLOOKUP(D538, Products!A$2:F$61, 6, FALSE)</f>
        <v>1</v>
      </c>
      <c r="N538" t="str">
        <f>VLOOKUP(D538, Products!A$2:C$61, 3, FALSE)</f>
        <v>Grocery</v>
      </c>
      <c r="O538" t="str">
        <f>VLOOKUP(C538, Customers!A$2:E$301, 5, FALSE)</f>
        <v>Retail</v>
      </c>
      <c r="P538">
        <f>VLOOKUP(C538, Customers!A$2:C$301, 3, FALSE)</f>
        <v>56</v>
      </c>
      <c r="Q538" t="str">
        <f>VLOOKUP(E538, Sales_Reps!A$2:C$31, 3, FALSE)</f>
        <v>North</v>
      </c>
      <c r="R538">
        <f>VLOOKUP(D538, Products!A$2:D$61, 4, FALSE)</f>
        <v>1182</v>
      </c>
    </row>
    <row r="539" spans="1:18" x14ac:dyDescent="0.3">
      <c r="A539" s="13" t="s">
        <v>981</v>
      </c>
      <c r="B539" s="14">
        <v>45303</v>
      </c>
      <c r="C539" s="13" t="s">
        <v>567</v>
      </c>
      <c r="D539" s="13" t="s">
        <v>360</v>
      </c>
      <c r="E539" s="13" t="s">
        <v>98</v>
      </c>
      <c r="F539" s="15">
        <v>8</v>
      </c>
      <c r="G539" s="15">
        <v>5410</v>
      </c>
      <c r="H539" s="15">
        <v>11.2</v>
      </c>
      <c r="I539" s="15">
        <v>38432.639999999999</v>
      </c>
      <c r="J539" s="13" t="s">
        <v>87</v>
      </c>
      <c r="K539" s="13" t="s">
        <v>117</v>
      </c>
      <c r="L539">
        <f>IF(COUNTIF(A$2:A539, A539)=1, IF(COUNTIF(A$2:A$2001, A539)&gt;1, 1, 0), 0)</f>
        <v>0</v>
      </c>
      <c r="M539" t="b">
        <f>VLOOKUP(D539, Products!A$2:F$61, 6, FALSE)</f>
        <v>1</v>
      </c>
      <c r="N539" t="str">
        <f>VLOOKUP(D539, Products!A$2:C$61, 3, FALSE)</f>
        <v>Sports</v>
      </c>
      <c r="O539" t="str">
        <f>VLOOKUP(C539, Customers!A$2:E$301, 5, FALSE)</f>
        <v>Corporate</v>
      </c>
      <c r="P539">
        <f>VLOOKUP(C539, Customers!A$2:C$301, 3, FALSE)</f>
        <v>41</v>
      </c>
      <c r="Q539" t="str">
        <f>VLOOKUP(E539, Sales_Reps!A$2:C$31, 3, FALSE)</f>
        <v>South</v>
      </c>
      <c r="R539">
        <f>VLOOKUP(D539, Products!A$2:D$61, 4, FALSE)</f>
        <v>2265</v>
      </c>
    </row>
    <row r="540" spans="1:18" x14ac:dyDescent="0.3">
      <c r="A540" s="13" t="s">
        <v>982</v>
      </c>
      <c r="B540" s="14">
        <v>45605</v>
      </c>
      <c r="C540" s="13" t="s">
        <v>983</v>
      </c>
      <c r="D540" s="13" t="s">
        <v>120</v>
      </c>
      <c r="E540" s="13" t="s">
        <v>107</v>
      </c>
      <c r="F540" s="15">
        <v>1</v>
      </c>
      <c r="G540" s="15">
        <v>1430</v>
      </c>
      <c r="H540" s="15">
        <v>19.600000000000001</v>
      </c>
      <c r="I540" s="15">
        <v>1149.72</v>
      </c>
      <c r="J540" s="13" t="s">
        <v>87</v>
      </c>
      <c r="K540" s="13" t="s">
        <v>117</v>
      </c>
      <c r="L540">
        <f>IF(COUNTIF(A$2:A540, A540)=1, IF(COUNTIF(A$2:A$2001, A540)&gt;1, 1, 0), 0)</f>
        <v>0</v>
      </c>
      <c r="M540" t="b">
        <f>VLOOKUP(D540, Products!A$2:F$61, 6, FALSE)</f>
        <v>1</v>
      </c>
      <c r="N540" t="str">
        <f>VLOOKUP(D540, Products!A$2:C$61, 3, FALSE)</f>
        <v>Electronics</v>
      </c>
      <c r="O540" t="str">
        <f>VLOOKUP(C540, Customers!A$2:E$301, 5, FALSE)</f>
        <v>SMB</v>
      </c>
      <c r="P540">
        <f>VLOOKUP(C540, Customers!A$2:C$301, 3, FALSE)</f>
        <v>36</v>
      </c>
      <c r="Q540" t="str">
        <f>VLOOKUP(E540, Sales_Reps!A$2:C$31, 3, FALSE)</f>
        <v>North</v>
      </c>
      <c r="R540">
        <f>VLOOKUP(D540, Products!A$2:D$61, 4, FALSE)</f>
        <v>861</v>
      </c>
    </row>
    <row r="541" spans="1:18" x14ac:dyDescent="0.3">
      <c r="A541" s="13" t="s">
        <v>984</v>
      </c>
      <c r="B541" s="14">
        <v>45421</v>
      </c>
      <c r="C541" s="13" t="s">
        <v>870</v>
      </c>
      <c r="D541" s="13" t="s">
        <v>151</v>
      </c>
      <c r="E541" s="13" t="s">
        <v>343</v>
      </c>
      <c r="F541" s="15">
        <v>9</v>
      </c>
      <c r="G541" s="15">
        <v>2400</v>
      </c>
      <c r="H541" s="15">
        <v>5</v>
      </c>
      <c r="I541" s="15">
        <v>20520</v>
      </c>
      <c r="J541" s="13" t="s">
        <v>87</v>
      </c>
      <c r="K541" s="13" t="s">
        <v>117</v>
      </c>
      <c r="L541">
        <f>IF(COUNTIF(A$2:A541, A541)=1, IF(COUNTIF(A$2:A$2001, A541)&gt;1, 1, 0), 0)</f>
        <v>0</v>
      </c>
      <c r="M541" t="b">
        <f>VLOOKUP(D541, Products!A$2:F$61, 6, FALSE)</f>
        <v>1</v>
      </c>
      <c r="N541" t="str">
        <f>VLOOKUP(D541, Products!A$2:C$61, 3, FALSE)</f>
        <v>Sports</v>
      </c>
      <c r="O541" t="str">
        <f>VLOOKUP(C541, Customers!A$2:E$301, 5, FALSE)</f>
        <v>Retail</v>
      </c>
      <c r="P541">
        <f>VLOOKUP(C541, Customers!A$2:C$301, 3, FALSE)</f>
        <v>47</v>
      </c>
      <c r="Q541" t="str">
        <f>VLOOKUP(E541, Sales_Reps!A$2:C$31, 3, FALSE)</f>
        <v>West</v>
      </c>
      <c r="R541">
        <f>VLOOKUP(D541, Products!A$2:D$61, 4, FALSE)</f>
        <v>974</v>
      </c>
    </row>
    <row r="542" spans="1:18" x14ac:dyDescent="0.3">
      <c r="A542" s="13" t="s">
        <v>985</v>
      </c>
      <c r="B542" s="14">
        <v>45493</v>
      </c>
      <c r="C542" s="13" t="s">
        <v>986</v>
      </c>
      <c r="D542" s="13" t="s">
        <v>234</v>
      </c>
      <c r="E542" s="13" t="s">
        <v>215</v>
      </c>
      <c r="F542" s="15">
        <v>1</v>
      </c>
      <c r="G542" s="15">
        <v>3780</v>
      </c>
      <c r="H542" s="15">
        <v>4.7</v>
      </c>
      <c r="I542" s="15">
        <v>3602.34</v>
      </c>
      <c r="J542" s="13" t="s">
        <v>87</v>
      </c>
      <c r="K542" s="13" t="s">
        <v>94</v>
      </c>
      <c r="L542">
        <f>IF(COUNTIF(A$2:A542, A542)=1, IF(COUNTIF(A$2:A$2001, A542)&gt;1, 1, 0), 0)</f>
        <v>0</v>
      </c>
      <c r="M542" t="b">
        <f>VLOOKUP(D542, Products!A$2:F$61, 6, FALSE)</f>
        <v>1</v>
      </c>
      <c r="N542" t="str">
        <f>VLOOKUP(D542, Products!A$2:C$61, 3, FALSE)</f>
        <v>Grocery</v>
      </c>
      <c r="O542" t="str">
        <f>VLOOKUP(C542, Customers!A$2:E$301, 5, FALSE)</f>
        <v>Corporate</v>
      </c>
      <c r="P542">
        <f>VLOOKUP(C542, Customers!A$2:C$301, 3, FALSE)</f>
        <v>52</v>
      </c>
      <c r="Q542" t="str">
        <f>VLOOKUP(E542, Sales_Reps!A$2:C$31, 3, FALSE)</f>
        <v>North</v>
      </c>
      <c r="R542">
        <f>VLOOKUP(D542, Products!A$2:D$61, 4, FALSE)</f>
        <v>2436</v>
      </c>
    </row>
    <row r="543" spans="1:18" x14ac:dyDescent="0.3">
      <c r="A543" s="13" t="s">
        <v>987</v>
      </c>
      <c r="B543" s="14">
        <v>45592</v>
      </c>
      <c r="C543" s="13" t="s">
        <v>878</v>
      </c>
      <c r="D543" s="13" t="s">
        <v>292</v>
      </c>
      <c r="E543" s="13" t="s">
        <v>121</v>
      </c>
      <c r="F543" s="15">
        <v>2</v>
      </c>
      <c r="G543" s="15">
        <v>620</v>
      </c>
      <c r="H543" s="15">
        <v>8</v>
      </c>
      <c r="I543" s="15">
        <v>1140.8</v>
      </c>
      <c r="J543" s="13" t="s">
        <v>87</v>
      </c>
      <c r="K543" s="13" t="s">
        <v>112</v>
      </c>
      <c r="L543">
        <f>IF(COUNTIF(A$2:A543, A543)=1, IF(COUNTIF(A$2:A$2001, A543)&gt;1, 1, 0), 0)</f>
        <v>0</v>
      </c>
      <c r="M543" t="b">
        <f>VLOOKUP(D543, Products!A$2:F$61, 6, FALSE)</f>
        <v>1</v>
      </c>
      <c r="N543" t="str">
        <f>VLOOKUP(D543, Products!A$2:C$61, 3, FALSE)</f>
        <v>Apparel</v>
      </c>
      <c r="O543" t="str">
        <f>VLOOKUP(C543, Customers!A$2:E$301, 5, FALSE)</f>
        <v>Corporate</v>
      </c>
      <c r="P543">
        <f>VLOOKUP(C543, Customers!A$2:C$301, 3, FALSE)</f>
        <v>62</v>
      </c>
      <c r="Q543" t="str">
        <f>VLOOKUP(E543, Sales_Reps!A$2:C$31, 3, FALSE)</f>
        <v>East</v>
      </c>
      <c r="R543">
        <f>VLOOKUP(D543, Products!A$2:D$61, 4, FALSE)</f>
        <v>396</v>
      </c>
    </row>
    <row r="544" spans="1:18" x14ac:dyDescent="0.3">
      <c r="A544" s="13" t="s">
        <v>988</v>
      </c>
      <c r="B544" s="14">
        <v>45379</v>
      </c>
      <c r="C544" s="13" t="s">
        <v>638</v>
      </c>
      <c r="D544" s="13" t="s">
        <v>147</v>
      </c>
      <c r="E544" s="13" t="s">
        <v>86</v>
      </c>
      <c r="F544" s="15">
        <v>3</v>
      </c>
      <c r="G544" s="15">
        <v>190</v>
      </c>
      <c r="H544" s="15">
        <v>17.899999999999999</v>
      </c>
      <c r="I544" s="15">
        <v>467.97</v>
      </c>
      <c r="J544" s="13" t="s">
        <v>93</v>
      </c>
      <c r="K544" s="13" t="s">
        <v>99</v>
      </c>
      <c r="L544">
        <f>IF(COUNTIF(A$2:A544, A544)=1, IF(COUNTIF(A$2:A$2001, A544)&gt;1, 1, 0), 0)</f>
        <v>0</v>
      </c>
      <c r="M544" t="b">
        <f>VLOOKUP(D544, Products!A$2:F$61, 6, FALSE)</f>
        <v>1</v>
      </c>
      <c r="N544" t="str">
        <f>VLOOKUP(D544, Products!A$2:C$61, 3, FALSE)</f>
        <v>Sports</v>
      </c>
      <c r="O544" t="str">
        <f>VLOOKUP(C544, Customers!A$2:E$301, 5, FALSE)</f>
        <v>Retail</v>
      </c>
      <c r="P544">
        <f>VLOOKUP(C544, Customers!A$2:C$301, 3, FALSE)</f>
        <v>43</v>
      </c>
      <c r="Q544" t="str">
        <f>VLOOKUP(E544, Sales_Reps!A$2:C$31, 3, FALSE)</f>
        <v>North</v>
      </c>
      <c r="R544">
        <f>VLOOKUP(D544, Products!A$2:D$61, 4, FALSE)</f>
        <v>147</v>
      </c>
    </row>
    <row r="545" spans="1:18" x14ac:dyDescent="0.3">
      <c r="A545" s="13" t="s">
        <v>989</v>
      </c>
      <c r="B545" s="14">
        <v>45332</v>
      </c>
      <c r="C545" s="13" t="s">
        <v>990</v>
      </c>
      <c r="D545" s="13" t="s">
        <v>85</v>
      </c>
      <c r="E545" s="13" t="s">
        <v>121</v>
      </c>
      <c r="F545" s="15">
        <v>2</v>
      </c>
      <c r="G545" s="15">
        <v>3620</v>
      </c>
      <c r="H545" s="15">
        <v>15.5</v>
      </c>
      <c r="I545" s="15">
        <v>6117.8</v>
      </c>
      <c r="J545" s="13" t="s">
        <v>87</v>
      </c>
      <c r="K545" s="13" t="s">
        <v>117</v>
      </c>
      <c r="L545">
        <f>IF(COUNTIF(A$2:A545, A545)=1, IF(COUNTIF(A$2:A$2001, A545)&gt;1, 1, 0), 0)</f>
        <v>0</v>
      </c>
      <c r="M545" t="b">
        <f>VLOOKUP(D545, Products!A$2:F$61, 6, FALSE)</f>
        <v>1</v>
      </c>
      <c r="N545" t="str">
        <f>VLOOKUP(D545, Products!A$2:C$61, 3, FALSE)</f>
        <v>Apparel</v>
      </c>
      <c r="O545" t="str">
        <f>VLOOKUP(C545, Customers!A$2:E$301, 5, FALSE)</f>
        <v>Retail</v>
      </c>
      <c r="P545">
        <f>VLOOKUP(C545, Customers!A$2:C$301, 3, FALSE)</f>
        <v>61</v>
      </c>
      <c r="Q545" t="str">
        <f>VLOOKUP(E545, Sales_Reps!A$2:C$31, 3, FALSE)</f>
        <v>East</v>
      </c>
      <c r="R545">
        <f>VLOOKUP(D545, Products!A$2:D$61, 4, FALSE)</f>
        <v>2509</v>
      </c>
    </row>
    <row r="546" spans="1:18" x14ac:dyDescent="0.3">
      <c r="A546" s="13" t="s">
        <v>991</v>
      </c>
      <c r="B546" s="14">
        <v>45610</v>
      </c>
      <c r="C546" s="13" t="s">
        <v>190</v>
      </c>
      <c r="D546" s="13" t="s">
        <v>195</v>
      </c>
      <c r="E546" s="13" t="s">
        <v>303</v>
      </c>
      <c r="F546" s="15">
        <v>5</v>
      </c>
      <c r="G546" s="15">
        <v>2860</v>
      </c>
      <c r="H546" s="15">
        <v>26.8</v>
      </c>
      <c r="I546" s="15">
        <v>10467.6</v>
      </c>
      <c r="J546" s="13" t="s">
        <v>87</v>
      </c>
      <c r="K546" s="13" t="s">
        <v>133</v>
      </c>
      <c r="L546">
        <f>IF(COUNTIF(A$2:A546, A546)=1, IF(COUNTIF(A$2:A$2001, A546)&gt;1, 1, 0), 0)</f>
        <v>0</v>
      </c>
      <c r="M546" t="b">
        <f>VLOOKUP(D546, Products!A$2:F$61, 6, FALSE)</f>
        <v>1</v>
      </c>
      <c r="N546" t="str">
        <f>VLOOKUP(D546, Products!A$2:C$61, 3, FALSE)</f>
        <v>Sports</v>
      </c>
      <c r="O546" t="str">
        <f>VLOOKUP(C546, Customers!A$2:E$301, 5, FALSE)</f>
        <v>Corporate</v>
      </c>
      <c r="P546">
        <f>VLOOKUP(C546, Customers!A$2:C$301, 3, FALSE)</f>
        <v>56</v>
      </c>
      <c r="Q546" t="str">
        <f>VLOOKUP(E546, Sales_Reps!A$2:C$31, 3, FALSE)</f>
        <v>East</v>
      </c>
      <c r="R546">
        <f>VLOOKUP(D546, Products!A$2:D$61, 4, FALSE)</f>
        <v>2028</v>
      </c>
    </row>
    <row r="547" spans="1:18" x14ac:dyDescent="0.3">
      <c r="A547" s="13" t="s">
        <v>992</v>
      </c>
      <c r="B547" s="14">
        <v>45638</v>
      </c>
      <c r="C547" s="13" t="s">
        <v>910</v>
      </c>
      <c r="D547" s="13" t="s">
        <v>151</v>
      </c>
      <c r="E547" s="13" t="s">
        <v>154</v>
      </c>
      <c r="F547" s="15">
        <v>6</v>
      </c>
      <c r="G547" s="15">
        <v>2400</v>
      </c>
      <c r="H547" s="15">
        <v>19.2</v>
      </c>
      <c r="I547" s="15">
        <v>11635.2</v>
      </c>
      <c r="J547" s="13" t="s">
        <v>140</v>
      </c>
      <c r="K547" s="13" t="s">
        <v>99</v>
      </c>
      <c r="L547">
        <f>IF(COUNTIF(A$2:A547, A547)=1, IF(COUNTIF(A$2:A$2001, A547)&gt;1, 1, 0), 0)</f>
        <v>0</v>
      </c>
      <c r="M547" t="b">
        <f>VLOOKUP(D547, Products!A$2:F$61, 6, FALSE)</f>
        <v>1</v>
      </c>
      <c r="N547" t="str">
        <f>VLOOKUP(D547, Products!A$2:C$61, 3, FALSE)</f>
        <v>Sports</v>
      </c>
      <c r="O547" t="str">
        <f>VLOOKUP(C547, Customers!A$2:E$301, 5, FALSE)</f>
        <v>Retail</v>
      </c>
      <c r="P547">
        <f>VLOOKUP(C547, Customers!A$2:C$301, 3, FALSE)</f>
        <v>55</v>
      </c>
      <c r="Q547" t="str">
        <f>VLOOKUP(E547, Sales_Reps!A$2:C$31, 3, FALSE)</f>
        <v>East</v>
      </c>
      <c r="R547">
        <f>VLOOKUP(D547, Products!A$2:D$61, 4, FALSE)</f>
        <v>974</v>
      </c>
    </row>
    <row r="548" spans="1:18" x14ac:dyDescent="0.3">
      <c r="A548" s="13" t="s">
        <v>993</v>
      </c>
      <c r="B548" s="14">
        <v>45546</v>
      </c>
      <c r="C548" s="13" t="s">
        <v>610</v>
      </c>
      <c r="D548" s="13" t="s">
        <v>443</v>
      </c>
      <c r="E548" s="13" t="s">
        <v>204</v>
      </c>
      <c r="F548" s="15">
        <v>7</v>
      </c>
      <c r="G548" s="15">
        <v>5080</v>
      </c>
      <c r="H548" s="15">
        <v>16.600000000000001</v>
      </c>
      <c r="I548" s="15">
        <v>29657.040000000001</v>
      </c>
      <c r="J548" s="13" t="s">
        <v>93</v>
      </c>
      <c r="K548" s="13" t="s">
        <v>117</v>
      </c>
      <c r="L548">
        <f>IF(COUNTIF(A$2:A548, A548)=1, IF(COUNTIF(A$2:A$2001, A548)&gt;1, 1, 0), 0)</f>
        <v>0</v>
      </c>
      <c r="M548" t="b">
        <f>VLOOKUP(D548, Products!A$2:F$61, 6, FALSE)</f>
        <v>1</v>
      </c>
      <c r="N548" t="str">
        <f>VLOOKUP(D548, Products!A$2:C$61, 3, FALSE)</f>
        <v>Home</v>
      </c>
      <c r="O548" t="str">
        <f>VLOOKUP(C548, Customers!A$2:E$301, 5, FALSE)</f>
        <v>SMB</v>
      </c>
      <c r="P548">
        <f>VLOOKUP(C548, Customers!A$2:C$301, 3, FALSE)</f>
        <v>42</v>
      </c>
      <c r="Q548" t="str">
        <f>VLOOKUP(E548, Sales_Reps!A$2:C$31, 3, FALSE)</f>
        <v>South</v>
      </c>
      <c r="R548">
        <f>VLOOKUP(D548, Products!A$2:D$61, 4, FALSE)</f>
        <v>2459</v>
      </c>
    </row>
    <row r="549" spans="1:18" x14ac:dyDescent="0.3">
      <c r="A549" s="13" t="s">
        <v>994</v>
      </c>
      <c r="B549" s="14">
        <v>45436</v>
      </c>
      <c r="C549" s="13" t="s">
        <v>156</v>
      </c>
      <c r="D549" s="13" t="s">
        <v>443</v>
      </c>
      <c r="E549" s="13" t="s">
        <v>188</v>
      </c>
      <c r="F549" s="15">
        <v>10</v>
      </c>
      <c r="G549" s="15">
        <v>5080</v>
      </c>
      <c r="H549" s="15">
        <v>24.6</v>
      </c>
      <c r="I549" s="15">
        <v>38303.199999999997</v>
      </c>
      <c r="J549" s="13" t="s">
        <v>87</v>
      </c>
      <c r="K549" s="13" t="s">
        <v>133</v>
      </c>
      <c r="L549">
        <f>IF(COUNTIF(A$2:A549, A549)=1, IF(COUNTIF(A$2:A$2001, A549)&gt;1, 1, 0), 0)</f>
        <v>0</v>
      </c>
      <c r="M549" t="b">
        <f>VLOOKUP(D549, Products!A$2:F$61, 6, FALSE)</f>
        <v>1</v>
      </c>
      <c r="N549" t="str">
        <f>VLOOKUP(D549, Products!A$2:C$61, 3, FALSE)</f>
        <v>Home</v>
      </c>
      <c r="O549" t="str">
        <f>VLOOKUP(C549, Customers!A$2:E$301, 5, FALSE)</f>
        <v>Corporate</v>
      </c>
      <c r="P549">
        <f>VLOOKUP(C549, Customers!A$2:C$301, 3, FALSE)</f>
        <v>32</v>
      </c>
      <c r="Q549" t="str">
        <f>VLOOKUP(E549, Sales_Reps!A$2:C$31, 3, FALSE)</f>
        <v>South</v>
      </c>
      <c r="R549">
        <f>VLOOKUP(D549, Products!A$2:D$61, 4, FALSE)</f>
        <v>2459</v>
      </c>
    </row>
    <row r="550" spans="1:18" x14ac:dyDescent="0.3">
      <c r="A550" s="13" t="s">
        <v>995</v>
      </c>
      <c r="B550" s="14">
        <v>45532</v>
      </c>
      <c r="C550" s="13" t="s">
        <v>959</v>
      </c>
      <c r="D550" s="13" t="s">
        <v>115</v>
      </c>
      <c r="E550" s="13" t="s">
        <v>107</v>
      </c>
      <c r="F550" s="15">
        <v>7</v>
      </c>
      <c r="G550" s="15">
        <v>960</v>
      </c>
      <c r="H550" s="15">
        <v>16.600000000000001</v>
      </c>
      <c r="I550" s="15">
        <v>5604.48</v>
      </c>
      <c r="J550" s="13" t="s">
        <v>87</v>
      </c>
      <c r="K550" s="13" t="s">
        <v>112</v>
      </c>
      <c r="L550">
        <f>IF(COUNTIF(A$2:A550, A550)=1, IF(COUNTIF(A$2:A$2001, A550)&gt;1, 1, 0), 0)</f>
        <v>0</v>
      </c>
      <c r="M550" t="b">
        <f>VLOOKUP(D550, Products!A$2:F$61, 6, FALSE)</f>
        <v>1</v>
      </c>
      <c r="N550" t="str">
        <f>VLOOKUP(D550, Products!A$2:C$61, 3, FALSE)</f>
        <v>Sports</v>
      </c>
      <c r="O550" t="str">
        <f>VLOOKUP(C550, Customers!A$2:E$301, 5, FALSE)</f>
        <v>SMB</v>
      </c>
      <c r="P550">
        <f>VLOOKUP(C550, Customers!A$2:C$301, 3, FALSE)</f>
        <v>65</v>
      </c>
      <c r="Q550" t="str">
        <f>VLOOKUP(E550, Sales_Reps!A$2:C$31, 3, FALSE)</f>
        <v>North</v>
      </c>
      <c r="R550">
        <f>VLOOKUP(D550, Products!A$2:D$61, 4, FALSE)</f>
        <v>705</v>
      </c>
    </row>
    <row r="551" spans="1:18" x14ac:dyDescent="0.3">
      <c r="A551" s="13" t="s">
        <v>996</v>
      </c>
      <c r="B551" s="14">
        <v>45568</v>
      </c>
      <c r="C551" s="13" t="s">
        <v>266</v>
      </c>
      <c r="D551" s="13" t="s">
        <v>102</v>
      </c>
      <c r="E551" s="13" t="s">
        <v>128</v>
      </c>
      <c r="F551" s="15">
        <v>3</v>
      </c>
      <c r="G551" s="15">
        <v>3660</v>
      </c>
      <c r="H551" s="15">
        <v>3.2</v>
      </c>
      <c r="I551" s="15">
        <v>10628.64</v>
      </c>
      <c r="J551" s="13" t="s">
        <v>93</v>
      </c>
      <c r="K551" s="13" t="s">
        <v>99</v>
      </c>
      <c r="L551">
        <f>IF(COUNTIF(A$2:A551, A551)=1, IF(COUNTIF(A$2:A$2001, A551)&gt;1, 1, 0), 0)</f>
        <v>0</v>
      </c>
      <c r="M551" t="b">
        <f>VLOOKUP(D551, Products!A$2:F$61, 6, FALSE)</f>
        <v>0</v>
      </c>
      <c r="N551" t="str">
        <f>VLOOKUP(D551, Products!A$2:C$61, 3, FALSE)</f>
        <v>Grocery</v>
      </c>
      <c r="O551" t="str">
        <f>VLOOKUP(C551, Customers!A$2:E$301, 5, FALSE)</f>
        <v>Corporate</v>
      </c>
      <c r="P551">
        <f>VLOOKUP(C551, Customers!A$2:C$301, 3, FALSE)</f>
        <v>55</v>
      </c>
      <c r="Q551" t="str">
        <f>VLOOKUP(E551, Sales_Reps!A$2:C$31, 3, FALSE)</f>
        <v>West</v>
      </c>
      <c r="R551">
        <f>VLOOKUP(D551, Products!A$2:D$61, 4, FALSE)</f>
        <v>2214</v>
      </c>
    </row>
    <row r="552" spans="1:18" x14ac:dyDescent="0.3">
      <c r="A552" s="13" t="s">
        <v>997</v>
      </c>
      <c r="B552" s="14">
        <v>45572</v>
      </c>
      <c r="C552" s="13" t="s">
        <v>197</v>
      </c>
      <c r="D552" s="13" t="s">
        <v>135</v>
      </c>
      <c r="E552" s="13" t="s">
        <v>204</v>
      </c>
      <c r="F552" s="15">
        <v>6</v>
      </c>
      <c r="G552" s="15">
        <v>2640</v>
      </c>
      <c r="H552" s="15">
        <v>26.3</v>
      </c>
      <c r="I552" s="15">
        <v>11674.08</v>
      </c>
      <c r="J552" s="13" t="s">
        <v>87</v>
      </c>
      <c r="K552" s="13" t="s">
        <v>88</v>
      </c>
      <c r="L552">
        <f>IF(COUNTIF(A$2:A552, A552)=1, IF(COUNTIF(A$2:A$2001, A552)&gt;1, 1, 0), 0)</f>
        <v>0</v>
      </c>
      <c r="M552" t="b">
        <f>VLOOKUP(D552, Products!A$2:F$61, 6, FALSE)</f>
        <v>1</v>
      </c>
      <c r="N552" t="str">
        <f>VLOOKUP(D552, Products!A$2:C$61, 3, FALSE)</f>
        <v>Electronics</v>
      </c>
      <c r="O552" t="str">
        <f>VLOOKUP(C552, Customers!A$2:E$301, 5, FALSE)</f>
        <v>Corporate</v>
      </c>
      <c r="P552">
        <f>VLOOKUP(C552, Customers!A$2:C$301, 3, FALSE)</f>
        <v>47</v>
      </c>
      <c r="Q552" t="str">
        <f>VLOOKUP(E552, Sales_Reps!A$2:C$31, 3, FALSE)</f>
        <v>South</v>
      </c>
      <c r="R552">
        <f>VLOOKUP(D552, Products!A$2:D$61, 4, FALSE)</f>
        <v>1149</v>
      </c>
    </row>
    <row r="553" spans="1:18" x14ac:dyDescent="0.3">
      <c r="A553" s="13" t="s">
        <v>998</v>
      </c>
      <c r="B553" s="14">
        <v>45562</v>
      </c>
      <c r="C553" s="13" t="s">
        <v>425</v>
      </c>
      <c r="D553" s="13" t="s">
        <v>267</v>
      </c>
      <c r="E553" s="13" t="s">
        <v>204</v>
      </c>
      <c r="F553" s="15">
        <v>6</v>
      </c>
      <c r="G553" s="15">
        <v>1220</v>
      </c>
      <c r="H553" s="15">
        <v>22.3</v>
      </c>
      <c r="I553" s="15">
        <v>5687.64</v>
      </c>
      <c r="J553" s="13" t="s">
        <v>140</v>
      </c>
      <c r="K553" s="13" t="s">
        <v>94</v>
      </c>
      <c r="L553">
        <f>IF(COUNTIF(A$2:A553, A553)=1, IF(COUNTIF(A$2:A$2001, A553)&gt;1, 1, 0), 0)</f>
        <v>0</v>
      </c>
      <c r="M553" t="b">
        <f>VLOOKUP(D553, Products!A$2:F$61, 6, FALSE)</f>
        <v>1</v>
      </c>
      <c r="N553" t="str">
        <f>VLOOKUP(D553, Products!A$2:C$61, 3, FALSE)</f>
        <v>Electronics</v>
      </c>
      <c r="O553" t="str">
        <f>VLOOKUP(C553, Customers!A$2:E$301, 5, FALSE)</f>
        <v>SMB</v>
      </c>
      <c r="P553">
        <f>VLOOKUP(C553, Customers!A$2:C$301, 3, FALSE)</f>
        <v>64</v>
      </c>
      <c r="Q553" t="str">
        <f>VLOOKUP(E553, Sales_Reps!A$2:C$31, 3, FALSE)</f>
        <v>South</v>
      </c>
      <c r="R553">
        <f>VLOOKUP(D553, Products!A$2:D$61, 4, FALSE)</f>
        <v>517</v>
      </c>
    </row>
    <row r="554" spans="1:18" x14ac:dyDescent="0.3">
      <c r="A554" s="13" t="s">
        <v>999</v>
      </c>
      <c r="B554" s="14">
        <v>45345</v>
      </c>
      <c r="C554" s="13" t="s">
        <v>1000</v>
      </c>
      <c r="D554" s="13" t="s">
        <v>282</v>
      </c>
      <c r="E554" s="13" t="s">
        <v>252</v>
      </c>
      <c r="F554" s="15">
        <v>1</v>
      </c>
      <c r="G554" s="15">
        <v>300</v>
      </c>
      <c r="H554" s="15">
        <v>0.7</v>
      </c>
      <c r="I554" s="15">
        <v>297.89999999999998</v>
      </c>
      <c r="J554" s="13" t="s">
        <v>87</v>
      </c>
      <c r="K554" s="13" t="s">
        <v>117</v>
      </c>
      <c r="L554">
        <f>IF(COUNTIF(A$2:A554, A554)=1, IF(COUNTIF(A$2:A$2001, A554)&gt;1, 1, 0), 0)</f>
        <v>0</v>
      </c>
      <c r="M554" t="b">
        <f>VLOOKUP(D554, Products!A$2:F$61, 6, FALSE)</f>
        <v>1</v>
      </c>
      <c r="N554" t="str">
        <f>VLOOKUP(D554, Products!A$2:C$61, 3, FALSE)</f>
        <v>Electronics</v>
      </c>
      <c r="O554" t="str">
        <f>VLOOKUP(C554, Customers!A$2:E$301, 5, FALSE)</f>
        <v>Retail</v>
      </c>
      <c r="P554">
        <f>VLOOKUP(C554, Customers!A$2:C$301, 3, FALSE)</f>
        <v>27</v>
      </c>
      <c r="Q554" t="str">
        <f>VLOOKUP(E554, Sales_Reps!A$2:C$31, 3, FALSE)</f>
        <v>South</v>
      </c>
      <c r="R554">
        <f>VLOOKUP(D554, Products!A$2:D$61, 4, FALSE)</f>
        <v>128</v>
      </c>
    </row>
    <row r="555" spans="1:18" x14ac:dyDescent="0.3">
      <c r="A555" s="13" t="s">
        <v>1001</v>
      </c>
      <c r="B555" s="14">
        <v>45370</v>
      </c>
      <c r="C555" s="13" t="s">
        <v>697</v>
      </c>
      <c r="D555" s="13" t="s">
        <v>182</v>
      </c>
      <c r="E555" s="13" t="s">
        <v>192</v>
      </c>
      <c r="F555" s="15">
        <v>2</v>
      </c>
      <c r="G555" s="15">
        <v>1010</v>
      </c>
      <c r="H555" s="15">
        <v>28</v>
      </c>
      <c r="I555" s="15">
        <v>1454.4</v>
      </c>
      <c r="J555" s="13" t="s">
        <v>87</v>
      </c>
      <c r="K555" s="13" t="s">
        <v>133</v>
      </c>
      <c r="L555">
        <f>IF(COUNTIF(A$2:A555, A555)=1, IF(COUNTIF(A$2:A$2001, A555)&gt;1, 1, 0), 0)</f>
        <v>0</v>
      </c>
      <c r="M555" t="b">
        <f>VLOOKUP(D555, Products!A$2:F$61, 6, FALSE)</f>
        <v>1</v>
      </c>
      <c r="N555" t="str">
        <f>VLOOKUP(D555, Products!A$2:C$61, 3, FALSE)</f>
        <v>Sports</v>
      </c>
      <c r="O555" t="str">
        <f>VLOOKUP(C555, Customers!A$2:E$301, 5, FALSE)</f>
        <v>Retail</v>
      </c>
      <c r="P555">
        <f>VLOOKUP(C555, Customers!A$2:C$301, 3, FALSE)</f>
        <v>65</v>
      </c>
      <c r="Q555" t="str">
        <f>VLOOKUP(E555, Sales_Reps!A$2:C$31, 3, FALSE)</f>
        <v>East</v>
      </c>
      <c r="R555">
        <f>VLOOKUP(D555, Products!A$2:D$61, 4, FALSE)</f>
        <v>516</v>
      </c>
    </row>
    <row r="556" spans="1:18" x14ac:dyDescent="0.3">
      <c r="A556" s="13" t="s">
        <v>1002</v>
      </c>
      <c r="B556" s="14">
        <v>45407</v>
      </c>
      <c r="C556" s="13" t="s">
        <v>1003</v>
      </c>
      <c r="D556" s="13" t="s">
        <v>138</v>
      </c>
      <c r="E556" s="13" t="s">
        <v>273</v>
      </c>
      <c r="F556" s="15">
        <v>5</v>
      </c>
      <c r="G556" s="15">
        <v>2600</v>
      </c>
      <c r="H556" s="15">
        <v>0.8</v>
      </c>
      <c r="I556" s="15">
        <v>12896</v>
      </c>
      <c r="J556" s="13" t="s">
        <v>140</v>
      </c>
      <c r="K556" s="13" t="s">
        <v>99</v>
      </c>
      <c r="L556">
        <f>IF(COUNTIF(A$2:A556, A556)=1, IF(COUNTIF(A$2:A$2001, A556)&gt;1, 1, 0), 0)</f>
        <v>0</v>
      </c>
      <c r="M556" t="b">
        <f>VLOOKUP(D556, Products!A$2:F$61, 6, FALSE)</f>
        <v>1</v>
      </c>
      <c r="N556" t="str">
        <f>VLOOKUP(D556, Products!A$2:C$61, 3, FALSE)</f>
        <v>Electronics</v>
      </c>
      <c r="O556" t="str">
        <f>VLOOKUP(C556, Customers!A$2:E$301, 5, FALSE)</f>
        <v>SMB</v>
      </c>
      <c r="P556">
        <f>VLOOKUP(C556, Customers!A$2:C$301, 3, FALSE)</f>
        <v>45</v>
      </c>
      <c r="Q556" t="str">
        <f>VLOOKUP(E556, Sales_Reps!A$2:C$31, 3, FALSE)</f>
        <v>South</v>
      </c>
      <c r="R556">
        <f>VLOOKUP(D556, Products!A$2:D$61, 4, FALSE)</f>
        <v>1052</v>
      </c>
    </row>
    <row r="557" spans="1:18" x14ac:dyDescent="0.3">
      <c r="A557" s="13" t="s">
        <v>1004</v>
      </c>
      <c r="B557" s="14">
        <v>45337</v>
      </c>
      <c r="C557" s="13" t="s">
        <v>555</v>
      </c>
      <c r="D557" s="13" t="s">
        <v>515</v>
      </c>
      <c r="E557" s="13" t="s">
        <v>201</v>
      </c>
      <c r="F557" s="15">
        <v>3</v>
      </c>
      <c r="G557" s="15">
        <v>6940</v>
      </c>
      <c r="H557" s="15">
        <v>10.7</v>
      </c>
      <c r="I557" s="15">
        <v>18592.259999999998</v>
      </c>
      <c r="J557" s="13" t="s">
        <v>140</v>
      </c>
      <c r="K557" s="13" t="s">
        <v>112</v>
      </c>
      <c r="L557">
        <f>IF(COUNTIF(A$2:A557, A557)=1, IF(COUNTIF(A$2:A$2001, A557)&gt;1, 1, 0), 0)</f>
        <v>0</v>
      </c>
      <c r="M557" t="b">
        <f>VLOOKUP(D557, Products!A$2:F$61, 6, FALSE)</f>
        <v>1</v>
      </c>
      <c r="N557" t="str">
        <f>VLOOKUP(D557, Products!A$2:C$61, 3, FALSE)</f>
        <v>Sports</v>
      </c>
      <c r="O557" t="str">
        <f>VLOOKUP(C557, Customers!A$2:E$301, 5, FALSE)</f>
        <v>Retail</v>
      </c>
      <c r="P557">
        <f>VLOOKUP(C557, Customers!A$2:C$301, 3, FALSE)</f>
        <v>37</v>
      </c>
      <c r="Q557" t="str">
        <f>VLOOKUP(E557, Sales_Reps!A$2:C$31, 3, FALSE)</f>
        <v>West</v>
      </c>
      <c r="R557">
        <f>VLOOKUP(D557, Products!A$2:D$61, 4, FALSE)</f>
        <v>2827</v>
      </c>
    </row>
    <row r="558" spans="1:18" x14ac:dyDescent="0.3">
      <c r="A558" s="13" t="s">
        <v>1005</v>
      </c>
      <c r="B558" s="14">
        <v>45571</v>
      </c>
      <c r="C558" s="13" t="s">
        <v>1006</v>
      </c>
      <c r="D558" s="13" t="s">
        <v>110</v>
      </c>
      <c r="E558" s="13" t="s">
        <v>273</v>
      </c>
      <c r="F558" s="15">
        <v>1</v>
      </c>
      <c r="G558" s="15">
        <v>370</v>
      </c>
      <c r="H558" s="15">
        <v>10.3</v>
      </c>
      <c r="I558" s="15">
        <v>331.89</v>
      </c>
      <c r="J558" s="13" t="s">
        <v>144</v>
      </c>
      <c r="K558" s="13" t="s">
        <v>117</v>
      </c>
      <c r="L558">
        <f>IF(COUNTIF(A$2:A558, A558)=1, IF(COUNTIF(A$2:A$2001, A558)&gt;1, 1, 0), 0)</f>
        <v>0</v>
      </c>
      <c r="M558" t="b">
        <f>VLOOKUP(D558, Products!A$2:F$61, 6, FALSE)</f>
        <v>1</v>
      </c>
      <c r="N558" t="str">
        <f>VLOOKUP(D558, Products!A$2:C$61, 3, FALSE)</f>
        <v>Home</v>
      </c>
      <c r="O558" t="str">
        <f>VLOOKUP(C558, Customers!A$2:E$301, 5, FALSE)</f>
        <v>SMB</v>
      </c>
      <c r="P558">
        <f>VLOOKUP(C558, Customers!A$2:C$301, 3, FALSE)</f>
        <v>44</v>
      </c>
      <c r="Q558" t="str">
        <f>VLOOKUP(E558, Sales_Reps!A$2:C$31, 3, FALSE)</f>
        <v>South</v>
      </c>
      <c r="R558">
        <f>VLOOKUP(D558, Products!A$2:D$61, 4, FALSE)</f>
        <v>288</v>
      </c>
    </row>
    <row r="559" spans="1:18" x14ac:dyDescent="0.3">
      <c r="A559" s="13" t="s">
        <v>1007</v>
      </c>
      <c r="B559" s="14">
        <v>45357</v>
      </c>
      <c r="C559" s="13" t="s">
        <v>597</v>
      </c>
      <c r="D559" s="13" t="s">
        <v>234</v>
      </c>
      <c r="E559" s="13" t="s">
        <v>229</v>
      </c>
      <c r="F559" s="15">
        <v>2</v>
      </c>
      <c r="G559" s="15">
        <v>3780</v>
      </c>
      <c r="H559" s="15">
        <v>29.4</v>
      </c>
      <c r="I559" s="15">
        <v>5337.36</v>
      </c>
      <c r="J559" s="13" t="s">
        <v>87</v>
      </c>
      <c r="K559" s="13" t="s">
        <v>112</v>
      </c>
      <c r="L559">
        <f>IF(COUNTIF(A$2:A559, A559)=1, IF(COUNTIF(A$2:A$2001, A559)&gt;1, 1, 0), 0)</f>
        <v>0</v>
      </c>
      <c r="M559" t="b">
        <f>VLOOKUP(D559, Products!A$2:F$61, 6, FALSE)</f>
        <v>1</v>
      </c>
      <c r="N559" t="str">
        <f>VLOOKUP(D559, Products!A$2:C$61, 3, FALSE)</f>
        <v>Grocery</v>
      </c>
      <c r="O559" t="str">
        <f>VLOOKUP(C559, Customers!A$2:E$301, 5, FALSE)</f>
        <v>Retail</v>
      </c>
      <c r="P559">
        <f>VLOOKUP(C559, Customers!A$2:C$301, 3, FALSE)</f>
        <v>39</v>
      </c>
      <c r="Q559" t="str">
        <f>VLOOKUP(E559, Sales_Reps!A$2:C$31, 3, FALSE)</f>
        <v>West</v>
      </c>
      <c r="R559">
        <f>VLOOKUP(D559, Products!A$2:D$61, 4, FALSE)</f>
        <v>2436</v>
      </c>
    </row>
    <row r="560" spans="1:18" x14ac:dyDescent="0.3">
      <c r="A560" s="13" t="s">
        <v>1008</v>
      </c>
      <c r="B560" s="14">
        <v>45432</v>
      </c>
      <c r="C560" s="13" t="s">
        <v>479</v>
      </c>
      <c r="D560" s="13" t="s">
        <v>127</v>
      </c>
      <c r="E560" s="13" t="s">
        <v>285</v>
      </c>
      <c r="F560" s="15">
        <v>5</v>
      </c>
      <c r="G560" s="15">
        <v>970</v>
      </c>
      <c r="H560" s="15">
        <v>14.6</v>
      </c>
      <c r="I560" s="15">
        <v>4141.8999999999996</v>
      </c>
      <c r="J560" s="13" t="s">
        <v>87</v>
      </c>
      <c r="K560" s="13" t="s">
        <v>88</v>
      </c>
      <c r="L560">
        <f>IF(COUNTIF(A$2:A560, A560)=1, IF(COUNTIF(A$2:A$2001, A560)&gt;1, 1, 0), 0)</f>
        <v>0</v>
      </c>
      <c r="M560" t="b">
        <f>VLOOKUP(D560, Products!A$2:F$61, 6, FALSE)</f>
        <v>1</v>
      </c>
      <c r="N560" t="str">
        <f>VLOOKUP(D560, Products!A$2:C$61, 3, FALSE)</f>
        <v>Grocery</v>
      </c>
      <c r="O560" t="str">
        <f>VLOOKUP(C560, Customers!A$2:E$301, 5, FALSE)</f>
        <v>SMB</v>
      </c>
      <c r="P560">
        <f>VLOOKUP(C560, Customers!A$2:C$301, 3, FALSE)</f>
        <v>49</v>
      </c>
      <c r="Q560" t="str">
        <f>VLOOKUP(E560, Sales_Reps!A$2:C$31, 3, FALSE)</f>
        <v>East</v>
      </c>
      <c r="R560">
        <f>VLOOKUP(D560, Products!A$2:D$61, 4, FALSE)</f>
        <v>434</v>
      </c>
    </row>
    <row r="561" spans="1:18" x14ac:dyDescent="0.3">
      <c r="A561" s="13" t="s">
        <v>1009</v>
      </c>
      <c r="B561" s="14">
        <v>45604</v>
      </c>
      <c r="C561" s="13" t="s">
        <v>785</v>
      </c>
      <c r="D561" s="13" t="s">
        <v>245</v>
      </c>
      <c r="E561" s="13" t="s">
        <v>297</v>
      </c>
      <c r="F561" s="15">
        <v>3</v>
      </c>
      <c r="G561" s="15">
        <v>2270</v>
      </c>
      <c r="H561" s="15">
        <v>6.5</v>
      </c>
      <c r="I561" s="15">
        <v>6367.35</v>
      </c>
      <c r="J561" s="13" t="s">
        <v>87</v>
      </c>
      <c r="K561" s="13" t="s">
        <v>88</v>
      </c>
      <c r="L561">
        <f>IF(COUNTIF(A$2:A561, A561)=1, IF(COUNTIF(A$2:A$2001, A561)&gt;1, 1, 0), 0)</f>
        <v>0</v>
      </c>
      <c r="M561" t="b">
        <f>VLOOKUP(D561, Products!A$2:F$61, 6, FALSE)</f>
        <v>1</v>
      </c>
      <c r="N561" t="str">
        <f>VLOOKUP(D561, Products!A$2:C$61, 3, FALSE)</f>
        <v>Grocery</v>
      </c>
      <c r="O561" t="str">
        <f>VLOOKUP(C561, Customers!A$2:E$301, 5, FALSE)</f>
        <v>Retail</v>
      </c>
      <c r="P561">
        <f>VLOOKUP(C561, Customers!A$2:C$301, 3, FALSE)</f>
        <v>31</v>
      </c>
      <c r="Q561" t="str">
        <f>VLOOKUP(E561, Sales_Reps!A$2:C$31, 3, FALSE)</f>
        <v>North</v>
      </c>
      <c r="R561">
        <f>VLOOKUP(D561, Products!A$2:D$61, 4, FALSE)</f>
        <v>1412</v>
      </c>
    </row>
    <row r="562" spans="1:18" x14ac:dyDescent="0.3">
      <c r="A562" s="13" t="s">
        <v>1010</v>
      </c>
      <c r="B562" s="14">
        <v>45467</v>
      </c>
      <c r="C562" s="13" t="s">
        <v>700</v>
      </c>
      <c r="D562" s="13" t="s">
        <v>259</v>
      </c>
      <c r="E562" s="13" t="s">
        <v>229</v>
      </c>
      <c r="F562" s="15">
        <v>10</v>
      </c>
      <c r="G562" s="15">
        <v>1540</v>
      </c>
      <c r="H562" s="15">
        <v>16.5</v>
      </c>
      <c r="I562" s="15">
        <v>12859</v>
      </c>
      <c r="J562" s="13" t="s">
        <v>87</v>
      </c>
      <c r="K562" s="13" t="s">
        <v>94</v>
      </c>
      <c r="L562">
        <f>IF(COUNTIF(A$2:A562, A562)=1, IF(COUNTIF(A$2:A$2001, A562)&gt;1, 1, 0), 0)</f>
        <v>0</v>
      </c>
      <c r="M562" t="b">
        <f>VLOOKUP(D562, Products!A$2:F$61, 6, FALSE)</f>
        <v>0</v>
      </c>
      <c r="N562" t="str">
        <f>VLOOKUP(D562, Products!A$2:C$61, 3, FALSE)</f>
        <v>Beauty</v>
      </c>
      <c r="O562" t="str">
        <f>VLOOKUP(C562, Customers!A$2:E$301, 5, FALSE)</f>
        <v>SMB</v>
      </c>
      <c r="P562">
        <f>VLOOKUP(C562, Customers!A$2:C$301, 3, FALSE)</f>
        <v>46</v>
      </c>
      <c r="Q562" t="str">
        <f>VLOOKUP(E562, Sales_Reps!A$2:C$31, 3, FALSE)</f>
        <v>West</v>
      </c>
      <c r="R562">
        <f>VLOOKUP(D562, Products!A$2:D$61, 4, FALSE)</f>
        <v>647</v>
      </c>
    </row>
    <row r="563" spans="1:18" x14ac:dyDescent="0.3">
      <c r="A563" s="13" t="s">
        <v>1011</v>
      </c>
      <c r="B563" s="14">
        <v>45649</v>
      </c>
      <c r="C563" s="13" t="s">
        <v>105</v>
      </c>
      <c r="D563" s="13" t="s">
        <v>200</v>
      </c>
      <c r="E563" s="13" t="s">
        <v>238</v>
      </c>
      <c r="F563" s="15">
        <v>4</v>
      </c>
      <c r="G563" s="15">
        <v>2760</v>
      </c>
      <c r="H563" s="15">
        <v>19.8</v>
      </c>
      <c r="I563" s="15">
        <v>8854.08</v>
      </c>
      <c r="J563" s="13" t="s">
        <v>87</v>
      </c>
      <c r="K563" s="13" t="s">
        <v>94</v>
      </c>
      <c r="L563">
        <f>IF(COUNTIF(A$2:A563, A563)=1, IF(COUNTIF(A$2:A$2001, A563)&gt;1, 1, 0), 0)</f>
        <v>0</v>
      </c>
      <c r="M563" t="b">
        <f>VLOOKUP(D563, Products!A$2:F$61, 6, FALSE)</f>
        <v>1</v>
      </c>
      <c r="N563" t="str">
        <f>VLOOKUP(D563, Products!A$2:C$61, 3, FALSE)</f>
        <v>Grocery</v>
      </c>
      <c r="O563" t="str">
        <f>VLOOKUP(C563, Customers!A$2:E$301, 5, FALSE)</f>
        <v>Retail</v>
      </c>
      <c r="P563">
        <f>VLOOKUP(C563, Customers!A$2:C$301, 3, FALSE)</f>
        <v>36</v>
      </c>
      <c r="Q563" t="str">
        <f>VLOOKUP(E563, Sales_Reps!A$2:C$31, 3, FALSE)</f>
        <v>East</v>
      </c>
      <c r="R563">
        <f>VLOOKUP(D563, Products!A$2:D$61, 4, FALSE)</f>
        <v>1435</v>
      </c>
    </row>
    <row r="564" spans="1:18" x14ac:dyDescent="0.3">
      <c r="A564" s="13" t="s">
        <v>1012</v>
      </c>
      <c r="B564" s="14">
        <v>45332</v>
      </c>
      <c r="C564" s="13" t="s">
        <v>385</v>
      </c>
      <c r="D564" s="13" t="s">
        <v>131</v>
      </c>
      <c r="E564" s="13" t="s">
        <v>170</v>
      </c>
      <c r="F564" s="15">
        <v>3</v>
      </c>
      <c r="G564" s="15">
        <v>2270</v>
      </c>
      <c r="H564" s="15">
        <v>29.5</v>
      </c>
      <c r="I564" s="15">
        <v>4801.05</v>
      </c>
      <c r="J564" s="13" t="s">
        <v>144</v>
      </c>
      <c r="K564" s="13" t="s">
        <v>117</v>
      </c>
      <c r="L564">
        <f>IF(COUNTIF(A$2:A564, A564)=1, IF(COUNTIF(A$2:A$2001, A564)&gt;1, 1, 0), 0)</f>
        <v>0</v>
      </c>
      <c r="M564" t="b">
        <f>VLOOKUP(D564, Products!A$2:F$61, 6, FALSE)</f>
        <v>1</v>
      </c>
      <c r="N564" t="str">
        <f>VLOOKUP(D564, Products!A$2:C$61, 3, FALSE)</f>
        <v>Grocery</v>
      </c>
      <c r="O564" t="str">
        <f>VLOOKUP(C564, Customers!A$2:E$301, 5, FALSE)</f>
        <v>Retail</v>
      </c>
      <c r="P564">
        <f>VLOOKUP(C564, Customers!A$2:C$301, 3, FALSE)</f>
        <v>23</v>
      </c>
      <c r="Q564" t="str">
        <f>VLOOKUP(E564, Sales_Reps!A$2:C$31, 3, FALSE)</f>
        <v>West</v>
      </c>
      <c r="R564">
        <f>VLOOKUP(D564, Products!A$2:D$61, 4, FALSE)</f>
        <v>1203</v>
      </c>
    </row>
    <row r="565" spans="1:18" x14ac:dyDescent="0.3">
      <c r="A565" s="13" t="s">
        <v>1013</v>
      </c>
      <c r="B565" s="14">
        <v>45418</v>
      </c>
      <c r="C565" s="13" t="s">
        <v>567</v>
      </c>
      <c r="D565" s="13" t="s">
        <v>276</v>
      </c>
      <c r="E565" s="13" t="s">
        <v>188</v>
      </c>
      <c r="F565" s="15">
        <v>8</v>
      </c>
      <c r="G565" s="15">
        <v>3020</v>
      </c>
      <c r="H565" s="15">
        <v>1.2</v>
      </c>
      <c r="I565" s="15">
        <v>23870.080000000002</v>
      </c>
      <c r="J565" s="13" t="s">
        <v>87</v>
      </c>
      <c r="K565" s="13" t="s">
        <v>117</v>
      </c>
      <c r="L565">
        <f>IF(COUNTIF(A$2:A565, A565)=1, IF(COUNTIF(A$2:A$2001, A565)&gt;1, 1, 0), 0)</f>
        <v>0</v>
      </c>
      <c r="M565" t="b">
        <f>VLOOKUP(D565, Products!A$2:F$61, 6, FALSE)</f>
        <v>1</v>
      </c>
      <c r="N565" t="str">
        <f>VLOOKUP(D565, Products!A$2:C$61, 3, FALSE)</f>
        <v>Beauty</v>
      </c>
      <c r="O565" t="str">
        <f>VLOOKUP(C565, Customers!A$2:E$301, 5, FALSE)</f>
        <v>Corporate</v>
      </c>
      <c r="P565">
        <f>VLOOKUP(C565, Customers!A$2:C$301, 3, FALSE)</f>
        <v>41</v>
      </c>
      <c r="Q565" t="str">
        <f>VLOOKUP(E565, Sales_Reps!A$2:C$31, 3, FALSE)</f>
        <v>South</v>
      </c>
      <c r="R565">
        <f>VLOOKUP(D565, Products!A$2:D$61, 4, FALSE)</f>
        <v>1626</v>
      </c>
    </row>
    <row r="566" spans="1:18" x14ac:dyDescent="0.3">
      <c r="A566" s="13" t="s">
        <v>1014</v>
      </c>
      <c r="B566" s="14">
        <v>45490</v>
      </c>
      <c r="C566" s="13" t="s">
        <v>559</v>
      </c>
      <c r="D566" s="13" t="s">
        <v>367</v>
      </c>
      <c r="E566" s="13" t="s">
        <v>303</v>
      </c>
      <c r="F566" s="15">
        <v>6</v>
      </c>
      <c r="G566" s="15">
        <v>2380</v>
      </c>
      <c r="H566" s="15">
        <v>20.399999999999999</v>
      </c>
      <c r="I566" s="15">
        <v>11366.88</v>
      </c>
      <c r="J566" s="13" t="s">
        <v>87</v>
      </c>
      <c r="K566" s="13" t="s">
        <v>88</v>
      </c>
      <c r="L566">
        <f>IF(COUNTIF(A$2:A566, A566)=1, IF(COUNTIF(A$2:A$2001, A566)&gt;1, 1, 0), 0)</f>
        <v>0</v>
      </c>
      <c r="M566" t="b">
        <f>VLOOKUP(D566, Products!A$2:F$61, 6, FALSE)</f>
        <v>1</v>
      </c>
      <c r="N566" t="str">
        <f>VLOOKUP(D566, Products!A$2:C$61, 3, FALSE)</f>
        <v>Grocery</v>
      </c>
      <c r="O566" t="str">
        <f>VLOOKUP(C566, Customers!A$2:E$301, 5, FALSE)</f>
        <v>Retail</v>
      </c>
      <c r="P566">
        <f>VLOOKUP(C566, Customers!A$2:C$301, 3, FALSE)</f>
        <v>62</v>
      </c>
      <c r="Q566" t="str">
        <f>VLOOKUP(E566, Sales_Reps!A$2:C$31, 3, FALSE)</f>
        <v>East</v>
      </c>
      <c r="R566">
        <f>VLOOKUP(D566, Products!A$2:D$61, 4, FALSE)</f>
        <v>1182</v>
      </c>
    </row>
    <row r="567" spans="1:18" x14ac:dyDescent="0.3">
      <c r="A567" s="13" t="s">
        <v>1015</v>
      </c>
      <c r="B567" s="14">
        <v>45470</v>
      </c>
      <c r="C567" s="13" t="s">
        <v>1016</v>
      </c>
      <c r="D567" s="13" t="s">
        <v>515</v>
      </c>
      <c r="E567" s="13" t="s">
        <v>128</v>
      </c>
      <c r="F567" s="15">
        <v>1</v>
      </c>
      <c r="G567" s="15">
        <v>6940</v>
      </c>
      <c r="H567" s="15">
        <v>15</v>
      </c>
      <c r="I567" s="15">
        <v>5899</v>
      </c>
      <c r="J567" s="13" t="s">
        <v>140</v>
      </c>
      <c r="K567" s="13" t="s">
        <v>117</v>
      </c>
      <c r="L567">
        <f>IF(COUNTIF(A$2:A567, A567)=1, IF(COUNTIF(A$2:A$2001, A567)&gt;1, 1, 0), 0)</f>
        <v>0</v>
      </c>
      <c r="M567" t="b">
        <f>VLOOKUP(D567, Products!A$2:F$61, 6, FALSE)</f>
        <v>1</v>
      </c>
      <c r="N567" t="str">
        <f>VLOOKUP(D567, Products!A$2:C$61, 3, FALSE)</f>
        <v>Sports</v>
      </c>
      <c r="O567" t="str">
        <f>VLOOKUP(C567, Customers!A$2:E$301, 5, FALSE)</f>
        <v>SMB</v>
      </c>
      <c r="P567">
        <f>VLOOKUP(C567, Customers!A$2:C$301, 3, FALSE)</f>
        <v>49</v>
      </c>
      <c r="Q567" t="str">
        <f>VLOOKUP(E567, Sales_Reps!A$2:C$31, 3, FALSE)</f>
        <v>West</v>
      </c>
      <c r="R567">
        <f>VLOOKUP(D567, Products!A$2:D$61, 4, FALSE)</f>
        <v>2827</v>
      </c>
    </row>
    <row r="568" spans="1:18" x14ac:dyDescent="0.3">
      <c r="A568" s="13" t="s">
        <v>1017</v>
      </c>
      <c r="B568" s="14">
        <v>45654</v>
      </c>
      <c r="C568" s="13" t="s">
        <v>291</v>
      </c>
      <c r="D568" s="13" t="s">
        <v>279</v>
      </c>
      <c r="E568" s="13" t="s">
        <v>132</v>
      </c>
      <c r="F568" s="15">
        <v>1</v>
      </c>
      <c r="G568" s="15">
        <v>2660</v>
      </c>
      <c r="H568" s="15">
        <v>11.6</v>
      </c>
      <c r="I568" s="15">
        <v>2351.44</v>
      </c>
      <c r="J568" s="13" t="s">
        <v>87</v>
      </c>
      <c r="K568" s="13" t="s">
        <v>99</v>
      </c>
      <c r="L568">
        <f>IF(COUNTIF(A$2:A568, A568)=1, IF(COUNTIF(A$2:A$2001, A568)&gt;1, 1, 0), 0)</f>
        <v>0</v>
      </c>
      <c r="M568" t="b">
        <f>VLOOKUP(D568, Products!A$2:F$61, 6, FALSE)</f>
        <v>0</v>
      </c>
      <c r="N568" t="str">
        <f>VLOOKUP(D568, Products!A$2:C$61, 3, FALSE)</f>
        <v>Electronics</v>
      </c>
      <c r="O568" t="str">
        <f>VLOOKUP(C568, Customers!A$2:E$301, 5, FALSE)</f>
        <v>Retail</v>
      </c>
      <c r="P568">
        <f>VLOOKUP(C568, Customers!A$2:C$301, 3, FALSE)</f>
        <v>35</v>
      </c>
      <c r="Q568" t="str">
        <f>VLOOKUP(E568, Sales_Reps!A$2:C$31, 3, FALSE)</f>
        <v>South</v>
      </c>
      <c r="R568">
        <f>VLOOKUP(D568, Products!A$2:D$61, 4, FALSE)</f>
        <v>1259</v>
      </c>
    </row>
    <row r="569" spans="1:18" x14ac:dyDescent="0.3">
      <c r="A569" s="13" t="s">
        <v>1018</v>
      </c>
      <c r="B569" s="14">
        <v>45548</v>
      </c>
      <c r="C569" s="13" t="s">
        <v>770</v>
      </c>
      <c r="D569" s="13" t="s">
        <v>127</v>
      </c>
      <c r="E569" s="13" t="s">
        <v>252</v>
      </c>
      <c r="F569" s="15">
        <v>4</v>
      </c>
      <c r="G569" s="15">
        <v>970</v>
      </c>
      <c r="H569" s="15">
        <v>11.6</v>
      </c>
      <c r="I569" s="15">
        <v>3429.92</v>
      </c>
      <c r="J569" s="13" t="s">
        <v>87</v>
      </c>
      <c r="K569" s="13" t="s">
        <v>88</v>
      </c>
      <c r="L569">
        <f>IF(COUNTIF(A$2:A569, A569)=1, IF(COUNTIF(A$2:A$2001, A569)&gt;1, 1, 0), 0)</f>
        <v>0</v>
      </c>
      <c r="M569" t="b">
        <f>VLOOKUP(D569, Products!A$2:F$61, 6, FALSE)</f>
        <v>1</v>
      </c>
      <c r="N569" t="str">
        <f>VLOOKUP(D569, Products!A$2:C$61, 3, FALSE)</f>
        <v>Grocery</v>
      </c>
      <c r="O569" t="str">
        <f>VLOOKUP(C569, Customers!A$2:E$301, 5, FALSE)</f>
        <v>Retail</v>
      </c>
      <c r="P569">
        <f>VLOOKUP(C569, Customers!A$2:C$301, 3, FALSE)</f>
        <v>35</v>
      </c>
      <c r="Q569" t="str">
        <f>VLOOKUP(E569, Sales_Reps!A$2:C$31, 3, FALSE)</f>
        <v>South</v>
      </c>
      <c r="R569">
        <f>VLOOKUP(D569, Products!A$2:D$61, 4, FALSE)</f>
        <v>434</v>
      </c>
    </row>
    <row r="570" spans="1:18" x14ac:dyDescent="0.3">
      <c r="A570" s="13" t="s">
        <v>1019</v>
      </c>
      <c r="B570" s="14">
        <v>45632</v>
      </c>
      <c r="C570" s="13" t="s">
        <v>602</v>
      </c>
      <c r="D570" s="13" t="s">
        <v>245</v>
      </c>
      <c r="E570" s="13" t="s">
        <v>297</v>
      </c>
      <c r="F570" s="15">
        <v>7</v>
      </c>
      <c r="G570" s="15">
        <v>2270</v>
      </c>
      <c r="H570" s="15">
        <v>27.9</v>
      </c>
      <c r="I570" s="15">
        <v>11456.69</v>
      </c>
      <c r="J570" s="13" t="s">
        <v>87</v>
      </c>
      <c r="K570" s="13" t="s">
        <v>94</v>
      </c>
      <c r="L570">
        <f>IF(COUNTIF(A$2:A570, A570)=1, IF(COUNTIF(A$2:A$2001, A570)&gt;1, 1, 0), 0)</f>
        <v>0</v>
      </c>
      <c r="M570" t="b">
        <f>VLOOKUP(D570, Products!A$2:F$61, 6, FALSE)</f>
        <v>1</v>
      </c>
      <c r="N570" t="str">
        <f>VLOOKUP(D570, Products!A$2:C$61, 3, FALSE)</f>
        <v>Grocery</v>
      </c>
      <c r="O570" t="str">
        <f>VLOOKUP(C570, Customers!A$2:E$301, 5, FALSE)</f>
        <v>Retail</v>
      </c>
      <c r="P570">
        <f>VLOOKUP(C570, Customers!A$2:C$301, 3, FALSE)</f>
        <v>61</v>
      </c>
      <c r="Q570" t="str">
        <f>VLOOKUP(E570, Sales_Reps!A$2:C$31, 3, FALSE)</f>
        <v>North</v>
      </c>
      <c r="R570">
        <f>VLOOKUP(D570, Products!A$2:D$61, 4, FALSE)</f>
        <v>1412</v>
      </c>
    </row>
    <row r="571" spans="1:18" x14ac:dyDescent="0.3">
      <c r="A571" s="13" t="s">
        <v>1020</v>
      </c>
      <c r="B571" s="14">
        <v>45304</v>
      </c>
      <c r="C571" s="13" t="s">
        <v>263</v>
      </c>
      <c r="D571" s="13" t="s">
        <v>182</v>
      </c>
      <c r="E571" s="13" t="s">
        <v>346</v>
      </c>
      <c r="F571" s="15">
        <v>8</v>
      </c>
      <c r="G571" s="15">
        <v>1010</v>
      </c>
      <c r="H571" s="15">
        <v>13.7</v>
      </c>
      <c r="I571" s="15">
        <v>6973.04</v>
      </c>
      <c r="J571" s="13" t="s">
        <v>140</v>
      </c>
      <c r="K571" s="13" t="s">
        <v>133</v>
      </c>
      <c r="L571">
        <f>IF(COUNTIF(A$2:A571, A571)=1, IF(COUNTIF(A$2:A$2001, A571)&gt;1, 1, 0), 0)</f>
        <v>0</v>
      </c>
      <c r="M571" t="b">
        <f>VLOOKUP(D571, Products!A$2:F$61, 6, FALSE)</f>
        <v>1</v>
      </c>
      <c r="N571" t="str">
        <f>VLOOKUP(D571, Products!A$2:C$61, 3, FALSE)</f>
        <v>Sports</v>
      </c>
      <c r="O571" t="str">
        <f>VLOOKUP(C571, Customers!A$2:E$301, 5, FALSE)</f>
        <v>Retail</v>
      </c>
      <c r="P571">
        <f>VLOOKUP(C571, Customers!A$2:C$301, 3, FALSE)</f>
        <v>53</v>
      </c>
      <c r="Q571" t="str">
        <f>VLOOKUP(E571, Sales_Reps!A$2:C$31, 3, FALSE)</f>
        <v>South</v>
      </c>
      <c r="R571">
        <f>VLOOKUP(D571, Products!A$2:D$61, 4, FALSE)</f>
        <v>516</v>
      </c>
    </row>
    <row r="572" spans="1:18" x14ac:dyDescent="0.3">
      <c r="A572" s="13" t="s">
        <v>1021</v>
      </c>
      <c r="B572" s="14">
        <v>45330</v>
      </c>
      <c r="C572" s="13" t="s">
        <v>460</v>
      </c>
      <c r="D572" s="13" t="s">
        <v>367</v>
      </c>
      <c r="E572" s="13" t="s">
        <v>215</v>
      </c>
      <c r="F572" s="15">
        <v>8</v>
      </c>
      <c r="G572" s="15">
        <v>2380</v>
      </c>
      <c r="H572" s="15">
        <v>15.3</v>
      </c>
      <c r="I572" s="15">
        <v>16126.88</v>
      </c>
      <c r="J572" s="13" t="s">
        <v>140</v>
      </c>
      <c r="K572" s="13" t="s">
        <v>88</v>
      </c>
      <c r="L572">
        <f>IF(COUNTIF(A$2:A572, A572)=1, IF(COUNTIF(A$2:A$2001, A572)&gt;1, 1, 0), 0)</f>
        <v>0</v>
      </c>
      <c r="M572" t="b">
        <f>VLOOKUP(D572, Products!A$2:F$61, 6, FALSE)</f>
        <v>1</v>
      </c>
      <c r="N572" t="str">
        <f>VLOOKUP(D572, Products!A$2:C$61, 3, FALSE)</f>
        <v>Grocery</v>
      </c>
      <c r="O572" t="str">
        <f>VLOOKUP(C572, Customers!A$2:E$301, 5, FALSE)</f>
        <v>Corporate</v>
      </c>
      <c r="P572">
        <f>VLOOKUP(C572, Customers!A$2:C$301, 3, FALSE)</f>
        <v>37</v>
      </c>
      <c r="Q572" t="str">
        <f>VLOOKUP(E572, Sales_Reps!A$2:C$31, 3, FALSE)</f>
        <v>North</v>
      </c>
      <c r="R572">
        <f>VLOOKUP(D572, Products!A$2:D$61, 4, FALSE)</f>
        <v>1182</v>
      </c>
    </row>
    <row r="573" spans="1:18" x14ac:dyDescent="0.3">
      <c r="A573" s="13" t="s">
        <v>1022</v>
      </c>
      <c r="B573" s="14">
        <v>45633</v>
      </c>
      <c r="C573" s="13" t="s">
        <v>983</v>
      </c>
      <c r="D573" s="13" t="s">
        <v>97</v>
      </c>
      <c r="E573" s="13" t="s">
        <v>303</v>
      </c>
      <c r="F573" s="15">
        <v>10</v>
      </c>
      <c r="G573" s="15">
        <v>470</v>
      </c>
      <c r="H573" s="15">
        <v>2.1</v>
      </c>
      <c r="I573" s="15">
        <v>4601.3</v>
      </c>
      <c r="J573" s="13" t="s">
        <v>87</v>
      </c>
      <c r="K573" s="13" t="s">
        <v>117</v>
      </c>
      <c r="L573">
        <f>IF(COUNTIF(A$2:A573, A573)=1, IF(COUNTIF(A$2:A$2001, A573)&gt;1, 1, 0), 0)</f>
        <v>0</v>
      </c>
      <c r="M573" t="b">
        <f>VLOOKUP(D573, Products!A$2:F$61, 6, FALSE)</f>
        <v>0</v>
      </c>
      <c r="N573" t="str">
        <f>VLOOKUP(D573, Products!A$2:C$61, 3, FALSE)</f>
        <v>Sports</v>
      </c>
      <c r="O573" t="str">
        <f>VLOOKUP(C573, Customers!A$2:E$301, 5, FALSE)</f>
        <v>SMB</v>
      </c>
      <c r="P573">
        <f>VLOOKUP(C573, Customers!A$2:C$301, 3, FALSE)</f>
        <v>36</v>
      </c>
      <c r="Q573" t="str">
        <f>VLOOKUP(E573, Sales_Reps!A$2:C$31, 3, FALSE)</f>
        <v>East</v>
      </c>
      <c r="R573">
        <f>VLOOKUP(D573, Products!A$2:D$61, 4, FALSE)</f>
        <v>302</v>
      </c>
    </row>
    <row r="574" spans="1:18" x14ac:dyDescent="0.3">
      <c r="A574" s="13" t="s">
        <v>1023</v>
      </c>
      <c r="B574" s="14">
        <v>45480</v>
      </c>
      <c r="C574" s="13" t="s">
        <v>451</v>
      </c>
      <c r="D574" s="13" t="s">
        <v>191</v>
      </c>
      <c r="E574" s="13" t="s">
        <v>111</v>
      </c>
      <c r="F574" s="15">
        <v>5</v>
      </c>
      <c r="G574" s="15">
        <v>5100</v>
      </c>
      <c r="H574" s="15">
        <v>9.6999999999999993</v>
      </c>
      <c r="I574" s="15">
        <v>23026.5</v>
      </c>
      <c r="J574" s="13" t="s">
        <v>87</v>
      </c>
      <c r="K574" s="13" t="s">
        <v>99</v>
      </c>
      <c r="L574">
        <f>IF(COUNTIF(A$2:A574, A574)=1, IF(COUNTIF(A$2:A$2001, A574)&gt;1, 1, 0), 0)</f>
        <v>0</v>
      </c>
      <c r="M574" t="b">
        <f>VLOOKUP(D574, Products!A$2:F$61, 6, FALSE)</f>
        <v>1</v>
      </c>
      <c r="N574" t="str">
        <f>VLOOKUP(D574, Products!A$2:C$61, 3, FALSE)</f>
        <v>Beauty</v>
      </c>
      <c r="O574" t="str">
        <f>VLOOKUP(C574, Customers!A$2:E$301, 5, FALSE)</f>
        <v>SMB</v>
      </c>
      <c r="P574">
        <f>VLOOKUP(C574, Customers!A$2:C$301, 3, FALSE)</f>
        <v>34</v>
      </c>
      <c r="Q574" t="str">
        <f>VLOOKUP(E574, Sales_Reps!A$2:C$31, 3, FALSE)</f>
        <v>West</v>
      </c>
      <c r="R574">
        <f>VLOOKUP(D574, Products!A$2:D$61, 4, FALSE)</f>
        <v>2237</v>
      </c>
    </row>
    <row r="575" spans="1:18" x14ac:dyDescent="0.3">
      <c r="A575" s="13" t="s">
        <v>1024</v>
      </c>
      <c r="B575" s="14">
        <v>45402</v>
      </c>
      <c r="C575" s="13" t="s">
        <v>166</v>
      </c>
      <c r="D575" s="13" t="s">
        <v>380</v>
      </c>
      <c r="E575" s="13" t="s">
        <v>201</v>
      </c>
      <c r="F575" s="15">
        <v>9</v>
      </c>
      <c r="G575" s="15">
        <v>960</v>
      </c>
      <c r="H575" s="15">
        <v>17.7</v>
      </c>
      <c r="I575" s="15">
        <v>7110.72</v>
      </c>
      <c r="J575" s="13" t="s">
        <v>87</v>
      </c>
      <c r="K575" s="13" t="s">
        <v>133</v>
      </c>
      <c r="L575">
        <f>IF(COUNTIF(A$2:A575, A575)=1, IF(COUNTIF(A$2:A$2001, A575)&gt;1, 1, 0), 0)</f>
        <v>0</v>
      </c>
      <c r="M575" t="b">
        <f>VLOOKUP(D575, Products!A$2:F$61, 6, FALSE)</f>
        <v>1</v>
      </c>
      <c r="N575" t="str">
        <f>VLOOKUP(D575, Products!A$2:C$61, 3, FALSE)</f>
        <v>Beauty</v>
      </c>
      <c r="O575" t="str">
        <f>VLOOKUP(C575, Customers!A$2:E$301, 5, FALSE)</f>
        <v>Retail</v>
      </c>
      <c r="P575">
        <f>VLOOKUP(C575, Customers!A$2:C$301, 3, FALSE)</f>
        <v>32</v>
      </c>
      <c r="Q575" t="str">
        <f>VLOOKUP(E575, Sales_Reps!A$2:C$31, 3, FALSE)</f>
        <v>West</v>
      </c>
      <c r="R575">
        <f>VLOOKUP(D575, Products!A$2:D$61, 4, FALSE)</f>
        <v>675</v>
      </c>
    </row>
    <row r="576" spans="1:18" x14ac:dyDescent="0.3">
      <c r="A576" s="13" t="s">
        <v>1025</v>
      </c>
      <c r="B576" s="14">
        <v>45478</v>
      </c>
      <c r="C576" s="13" t="s">
        <v>206</v>
      </c>
      <c r="D576" s="13" t="s">
        <v>264</v>
      </c>
      <c r="E576" s="13" t="s">
        <v>86</v>
      </c>
      <c r="F576" s="15">
        <v>2</v>
      </c>
      <c r="G576" s="15">
        <v>4070</v>
      </c>
      <c r="H576" s="15">
        <v>2.1</v>
      </c>
      <c r="I576" s="15">
        <v>7969.06</v>
      </c>
      <c r="J576" s="13" t="s">
        <v>87</v>
      </c>
      <c r="K576" s="13" t="s">
        <v>133</v>
      </c>
      <c r="L576">
        <f>IF(COUNTIF(A$2:A576, A576)=1, IF(COUNTIF(A$2:A$2001, A576)&gt;1, 1, 0), 0)</f>
        <v>0</v>
      </c>
      <c r="M576" t="b">
        <f>VLOOKUP(D576, Products!A$2:F$61, 6, FALSE)</f>
        <v>1</v>
      </c>
      <c r="N576" t="str">
        <f>VLOOKUP(D576, Products!A$2:C$61, 3, FALSE)</f>
        <v>Grocery</v>
      </c>
      <c r="O576" t="str">
        <f>VLOOKUP(C576, Customers!A$2:E$301, 5, FALSE)</f>
        <v>SMB</v>
      </c>
      <c r="P576">
        <f>VLOOKUP(C576, Customers!A$2:C$301, 3, FALSE)</f>
        <v>40</v>
      </c>
      <c r="Q576" t="str">
        <f>VLOOKUP(E576, Sales_Reps!A$2:C$31, 3, FALSE)</f>
        <v>North</v>
      </c>
      <c r="R576">
        <f>VLOOKUP(D576, Products!A$2:D$61, 4, FALSE)</f>
        <v>2027</v>
      </c>
    </row>
    <row r="577" spans="1:18" x14ac:dyDescent="0.3">
      <c r="A577" s="13" t="s">
        <v>1026</v>
      </c>
      <c r="B577" s="14">
        <v>45358</v>
      </c>
      <c r="C577" s="13" t="s">
        <v>1027</v>
      </c>
      <c r="D577" s="13" t="s">
        <v>226</v>
      </c>
      <c r="E577" s="13" t="s">
        <v>158</v>
      </c>
      <c r="F577" s="15">
        <v>5</v>
      </c>
      <c r="G577" s="15">
        <v>3730</v>
      </c>
      <c r="H577" s="15">
        <v>16.5</v>
      </c>
      <c r="I577" s="15">
        <v>15572.75</v>
      </c>
      <c r="J577" s="13" t="s">
        <v>87</v>
      </c>
      <c r="K577" s="13" t="s">
        <v>112</v>
      </c>
      <c r="L577">
        <f>IF(COUNTIF(A$2:A577, A577)=1, IF(COUNTIF(A$2:A$2001, A577)&gt;1, 1, 0), 0)</f>
        <v>0</v>
      </c>
      <c r="M577" t="b">
        <f>VLOOKUP(D577, Products!A$2:F$61, 6, FALSE)</f>
        <v>1</v>
      </c>
      <c r="N577" t="str">
        <f>VLOOKUP(D577, Products!A$2:C$61, 3, FALSE)</f>
        <v>Home</v>
      </c>
      <c r="O577" t="str">
        <f>VLOOKUP(C577, Customers!A$2:E$301, 5, FALSE)</f>
        <v>SMB</v>
      </c>
      <c r="P577">
        <f>VLOOKUP(C577, Customers!A$2:C$301, 3, FALSE)</f>
        <v>47</v>
      </c>
      <c r="Q577" t="str">
        <f>VLOOKUP(E577, Sales_Reps!A$2:C$31, 3, FALSE)</f>
        <v>East</v>
      </c>
      <c r="R577">
        <f>VLOOKUP(D577, Products!A$2:D$61, 4, FALSE)</f>
        <v>2135</v>
      </c>
    </row>
    <row r="578" spans="1:18" x14ac:dyDescent="0.3">
      <c r="A578" s="13" t="s">
        <v>1028</v>
      </c>
      <c r="B578" s="14">
        <v>45589</v>
      </c>
      <c r="C578" s="13" t="s">
        <v>101</v>
      </c>
      <c r="D578" s="13" t="s">
        <v>195</v>
      </c>
      <c r="E578" s="13" t="s">
        <v>285</v>
      </c>
      <c r="F578" s="15">
        <v>1</v>
      </c>
      <c r="G578" s="15">
        <v>2860</v>
      </c>
      <c r="H578" s="15">
        <v>10.4</v>
      </c>
      <c r="I578" s="15">
        <v>2562.56</v>
      </c>
      <c r="J578" s="13" t="s">
        <v>140</v>
      </c>
      <c r="K578" s="13" t="s">
        <v>99</v>
      </c>
      <c r="L578">
        <f>IF(COUNTIF(A$2:A578, A578)=1, IF(COUNTIF(A$2:A$2001, A578)&gt;1, 1, 0), 0)</f>
        <v>0</v>
      </c>
      <c r="M578" t="b">
        <f>VLOOKUP(D578, Products!A$2:F$61, 6, FALSE)</f>
        <v>1</v>
      </c>
      <c r="N578" t="str">
        <f>VLOOKUP(D578, Products!A$2:C$61, 3, FALSE)</f>
        <v>Sports</v>
      </c>
      <c r="O578" t="str">
        <f>VLOOKUP(C578, Customers!A$2:E$301, 5, FALSE)</f>
        <v>Corporate</v>
      </c>
      <c r="P578">
        <f>VLOOKUP(C578, Customers!A$2:C$301, 3, FALSE)</f>
        <v>46</v>
      </c>
      <c r="Q578" t="str">
        <f>VLOOKUP(E578, Sales_Reps!A$2:C$31, 3, FALSE)</f>
        <v>East</v>
      </c>
      <c r="R578">
        <f>VLOOKUP(D578, Products!A$2:D$61, 4, FALSE)</f>
        <v>2028</v>
      </c>
    </row>
    <row r="579" spans="1:18" x14ac:dyDescent="0.3">
      <c r="A579" s="13" t="s">
        <v>1029</v>
      </c>
      <c r="B579" s="14">
        <v>45507</v>
      </c>
      <c r="C579" s="13" t="s">
        <v>802</v>
      </c>
      <c r="D579" s="13" t="s">
        <v>184</v>
      </c>
      <c r="E579" s="13" t="s">
        <v>303</v>
      </c>
      <c r="F579" s="15">
        <v>4</v>
      </c>
      <c r="G579" s="15">
        <v>4880</v>
      </c>
      <c r="H579" s="15">
        <v>27.5</v>
      </c>
      <c r="I579" s="15">
        <v>14152</v>
      </c>
      <c r="J579" s="13" t="s">
        <v>93</v>
      </c>
      <c r="K579" s="13" t="s">
        <v>94</v>
      </c>
      <c r="L579">
        <f>IF(COUNTIF(A$2:A579, A579)=1, IF(COUNTIF(A$2:A$2001, A579)&gt;1, 1, 0), 0)</f>
        <v>0</v>
      </c>
      <c r="M579" t="b">
        <f>VLOOKUP(D579, Products!A$2:F$61, 6, FALSE)</f>
        <v>1</v>
      </c>
      <c r="N579" t="str">
        <f>VLOOKUP(D579, Products!A$2:C$61, 3, FALSE)</f>
        <v>Beauty</v>
      </c>
      <c r="O579" t="str">
        <f>VLOOKUP(C579, Customers!A$2:E$301, 5, FALSE)</f>
        <v>SMB</v>
      </c>
      <c r="P579">
        <f>VLOOKUP(C579, Customers!A$2:C$301, 3, FALSE)</f>
        <v>39</v>
      </c>
      <c r="Q579" t="str">
        <f>VLOOKUP(E579, Sales_Reps!A$2:C$31, 3, FALSE)</f>
        <v>East</v>
      </c>
      <c r="R579">
        <f>VLOOKUP(D579, Products!A$2:D$61, 4, FALSE)</f>
        <v>2768</v>
      </c>
    </row>
    <row r="580" spans="1:18" x14ac:dyDescent="0.3">
      <c r="A580" s="13" t="s">
        <v>1030</v>
      </c>
      <c r="B580" s="14">
        <v>45470</v>
      </c>
      <c r="C580" s="13" t="s">
        <v>823</v>
      </c>
      <c r="D580" s="13" t="s">
        <v>245</v>
      </c>
      <c r="E580" s="13" t="s">
        <v>285</v>
      </c>
      <c r="F580" s="15">
        <v>3</v>
      </c>
      <c r="G580" s="15">
        <v>2270</v>
      </c>
      <c r="H580" s="15">
        <v>6.7</v>
      </c>
      <c r="I580" s="15">
        <v>6353.73</v>
      </c>
      <c r="J580" s="13" t="s">
        <v>87</v>
      </c>
      <c r="K580" s="13" t="s">
        <v>94</v>
      </c>
      <c r="L580">
        <f>IF(COUNTIF(A$2:A580, A580)=1, IF(COUNTIF(A$2:A$2001, A580)&gt;1, 1, 0), 0)</f>
        <v>0</v>
      </c>
      <c r="M580" t="b">
        <f>VLOOKUP(D580, Products!A$2:F$61, 6, FALSE)</f>
        <v>1</v>
      </c>
      <c r="N580" t="str">
        <f>VLOOKUP(D580, Products!A$2:C$61, 3, FALSE)</f>
        <v>Grocery</v>
      </c>
      <c r="O580" t="str">
        <f>VLOOKUP(C580, Customers!A$2:E$301, 5, FALSE)</f>
        <v>Retail</v>
      </c>
      <c r="P580">
        <f>VLOOKUP(C580, Customers!A$2:C$301, 3, FALSE)</f>
        <v>32</v>
      </c>
      <c r="Q580" t="str">
        <f>VLOOKUP(E580, Sales_Reps!A$2:C$31, 3, FALSE)</f>
        <v>East</v>
      </c>
      <c r="R580">
        <f>VLOOKUP(D580, Products!A$2:D$61, 4, FALSE)</f>
        <v>1412</v>
      </c>
    </row>
    <row r="581" spans="1:18" x14ac:dyDescent="0.3">
      <c r="A581" s="13" t="s">
        <v>1031</v>
      </c>
      <c r="B581" s="14">
        <v>45589</v>
      </c>
      <c r="C581" s="13" t="s">
        <v>557</v>
      </c>
      <c r="D581" s="13" t="s">
        <v>351</v>
      </c>
      <c r="E581" s="13" t="s">
        <v>86</v>
      </c>
      <c r="F581" s="15">
        <v>10</v>
      </c>
      <c r="G581" s="15">
        <v>4060</v>
      </c>
      <c r="H581" s="15">
        <v>3.6</v>
      </c>
      <c r="I581" s="15">
        <v>39138.400000000001</v>
      </c>
      <c r="J581" s="13" t="s">
        <v>93</v>
      </c>
      <c r="K581" s="13" t="s">
        <v>112</v>
      </c>
      <c r="L581">
        <f>IF(COUNTIF(A$2:A581, A581)=1, IF(COUNTIF(A$2:A$2001, A581)&gt;1, 1, 0), 0)</f>
        <v>0</v>
      </c>
      <c r="M581" t="b">
        <f>VLOOKUP(D581, Products!A$2:F$61, 6, FALSE)</f>
        <v>1</v>
      </c>
      <c r="N581" t="str">
        <f>VLOOKUP(D581, Products!A$2:C$61, 3, FALSE)</f>
        <v>Grocery</v>
      </c>
      <c r="O581" t="str">
        <f>VLOOKUP(C581, Customers!A$2:E$301, 5, FALSE)</f>
        <v>Retail</v>
      </c>
      <c r="P581">
        <f>VLOOKUP(C581, Customers!A$2:C$301, 3, FALSE)</f>
        <v>65</v>
      </c>
      <c r="Q581" t="str">
        <f>VLOOKUP(E581, Sales_Reps!A$2:C$31, 3, FALSE)</f>
        <v>North</v>
      </c>
      <c r="R581">
        <f>VLOOKUP(D581, Products!A$2:D$61, 4, FALSE)</f>
        <v>2911</v>
      </c>
    </row>
    <row r="582" spans="1:18" x14ac:dyDescent="0.3">
      <c r="A582" s="13" t="s">
        <v>1032</v>
      </c>
      <c r="B582" s="14">
        <v>45433</v>
      </c>
      <c r="C582" s="13" t="s">
        <v>615</v>
      </c>
      <c r="D582" s="13" t="s">
        <v>135</v>
      </c>
      <c r="E582" s="13" t="s">
        <v>139</v>
      </c>
      <c r="F582" s="15">
        <v>8</v>
      </c>
      <c r="G582" s="15">
        <v>2640</v>
      </c>
      <c r="H582" s="15">
        <v>28.8</v>
      </c>
      <c r="I582" s="15">
        <v>15037.44</v>
      </c>
      <c r="J582" s="13" t="s">
        <v>87</v>
      </c>
      <c r="K582" s="13" t="s">
        <v>112</v>
      </c>
      <c r="L582">
        <f>IF(COUNTIF(A$2:A582, A582)=1, IF(COUNTIF(A$2:A$2001, A582)&gt;1, 1, 0), 0)</f>
        <v>0</v>
      </c>
      <c r="M582" t="b">
        <f>VLOOKUP(D582, Products!A$2:F$61, 6, FALSE)</f>
        <v>1</v>
      </c>
      <c r="N582" t="str">
        <f>VLOOKUP(D582, Products!A$2:C$61, 3, FALSE)</f>
        <v>Electronics</v>
      </c>
      <c r="O582" t="str">
        <f>VLOOKUP(C582, Customers!A$2:E$301, 5, FALSE)</f>
        <v>Retail</v>
      </c>
      <c r="P582">
        <f>VLOOKUP(C582, Customers!A$2:C$301, 3, FALSE)</f>
        <v>53</v>
      </c>
      <c r="Q582" t="str">
        <f>VLOOKUP(E582, Sales_Reps!A$2:C$31, 3, FALSE)</f>
        <v>North</v>
      </c>
      <c r="R582">
        <f>VLOOKUP(D582, Products!A$2:D$61, 4, FALSE)</f>
        <v>1149</v>
      </c>
    </row>
    <row r="583" spans="1:18" x14ac:dyDescent="0.3">
      <c r="A583" s="13" t="s">
        <v>1033</v>
      </c>
      <c r="B583" s="14">
        <v>45477</v>
      </c>
      <c r="C583" s="13" t="s">
        <v>490</v>
      </c>
      <c r="D583" s="13" t="s">
        <v>226</v>
      </c>
      <c r="E583" s="13" t="s">
        <v>325</v>
      </c>
      <c r="F583" s="15">
        <v>6</v>
      </c>
      <c r="G583" s="15">
        <v>3730</v>
      </c>
      <c r="H583" s="15">
        <v>21.9</v>
      </c>
      <c r="I583" s="15">
        <v>17478.78</v>
      </c>
      <c r="J583" s="13" t="s">
        <v>87</v>
      </c>
      <c r="K583" s="13" t="s">
        <v>99</v>
      </c>
      <c r="L583">
        <f>IF(COUNTIF(A$2:A583, A583)=1, IF(COUNTIF(A$2:A$2001, A583)&gt;1, 1, 0), 0)</f>
        <v>0</v>
      </c>
      <c r="M583" t="b">
        <f>VLOOKUP(D583, Products!A$2:F$61, 6, FALSE)</f>
        <v>1</v>
      </c>
      <c r="N583" t="str">
        <f>VLOOKUP(D583, Products!A$2:C$61, 3, FALSE)</f>
        <v>Home</v>
      </c>
      <c r="O583" t="str">
        <f>VLOOKUP(C583, Customers!A$2:E$301, 5, FALSE)</f>
        <v>Retail</v>
      </c>
      <c r="P583">
        <f>VLOOKUP(C583, Customers!A$2:C$301, 3, FALSE)</f>
        <v>59</v>
      </c>
      <c r="Q583" t="str">
        <f>VLOOKUP(E583, Sales_Reps!A$2:C$31, 3, FALSE)</f>
        <v>South</v>
      </c>
      <c r="R583">
        <f>VLOOKUP(D583, Products!A$2:D$61, 4, FALSE)</f>
        <v>2135</v>
      </c>
    </row>
    <row r="584" spans="1:18" x14ac:dyDescent="0.3">
      <c r="A584" s="13" t="s">
        <v>1034</v>
      </c>
      <c r="B584" s="14">
        <v>45443</v>
      </c>
      <c r="C584" s="13" t="s">
        <v>490</v>
      </c>
      <c r="D584" s="13" t="s">
        <v>364</v>
      </c>
      <c r="E584" s="13" t="s">
        <v>103</v>
      </c>
      <c r="F584" s="15">
        <v>9</v>
      </c>
      <c r="G584" s="15">
        <v>5330</v>
      </c>
      <c r="H584" s="15">
        <v>29.4</v>
      </c>
      <c r="I584" s="15">
        <v>33866.82</v>
      </c>
      <c r="J584" s="13" t="s">
        <v>140</v>
      </c>
      <c r="K584" s="13" t="s">
        <v>99</v>
      </c>
      <c r="L584">
        <f>IF(COUNTIF(A$2:A584, A584)=1, IF(COUNTIF(A$2:A$2001, A584)&gt;1, 1, 0), 0)</f>
        <v>0</v>
      </c>
      <c r="M584" t="b">
        <f>VLOOKUP(D584, Products!A$2:F$61, 6, FALSE)</f>
        <v>1</v>
      </c>
      <c r="N584" t="str">
        <f>VLOOKUP(D584, Products!A$2:C$61, 3, FALSE)</f>
        <v>Electronics</v>
      </c>
      <c r="O584" t="str">
        <f>VLOOKUP(C584, Customers!A$2:E$301, 5, FALSE)</f>
        <v>Retail</v>
      </c>
      <c r="P584">
        <f>VLOOKUP(C584, Customers!A$2:C$301, 3, FALSE)</f>
        <v>59</v>
      </c>
      <c r="Q584" t="str">
        <f>VLOOKUP(E584, Sales_Reps!A$2:C$31, 3, FALSE)</f>
        <v>North</v>
      </c>
      <c r="R584">
        <f>VLOOKUP(D584, Products!A$2:D$61, 4, FALSE)</f>
        <v>2405</v>
      </c>
    </row>
    <row r="585" spans="1:18" x14ac:dyDescent="0.3">
      <c r="A585" s="13" t="s">
        <v>1035</v>
      </c>
      <c r="B585" s="14">
        <v>45322</v>
      </c>
      <c r="C585" s="13" t="s">
        <v>1036</v>
      </c>
      <c r="D585" s="13" t="s">
        <v>452</v>
      </c>
      <c r="E585" s="13" t="s">
        <v>343</v>
      </c>
      <c r="F585" s="15">
        <v>1</v>
      </c>
      <c r="G585" s="15">
        <v>3450</v>
      </c>
      <c r="H585" s="15">
        <v>23.3</v>
      </c>
      <c r="I585" s="15">
        <v>2646.15</v>
      </c>
      <c r="J585" s="13" t="s">
        <v>87</v>
      </c>
      <c r="K585" s="13" t="s">
        <v>112</v>
      </c>
      <c r="L585">
        <f>IF(COUNTIF(A$2:A585, A585)=1, IF(COUNTIF(A$2:A$2001, A585)&gt;1, 1, 0), 0)</f>
        <v>0</v>
      </c>
      <c r="M585" t="b">
        <f>VLOOKUP(D585, Products!A$2:F$61, 6, FALSE)</f>
        <v>1</v>
      </c>
      <c r="N585" t="str">
        <f>VLOOKUP(D585, Products!A$2:C$61, 3, FALSE)</f>
        <v>Apparel</v>
      </c>
      <c r="O585" t="str">
        <f>VLOOKUP(C585, Customers!A$2:E$301, 5, FALSE)</f>
        <v>Retail</v>
      </c>
      <c r="P585">
        <f>VLOOKUP(C585, Customers!A$2:C$301, 3, FALSE)</f>
        <v>33</v>
      </c>
      <c r="Q585" t="str">
        <f>VLOOKUP(E585, Sales_Reps!A$2:C$31, 3, FALSE)</f>
        <v>West</v>
      </c>
      <c r="R585">
        <f>VLOOKUP(D585, Products!A$2:D$61, 4, FALSE)</f>
        <v>1748</v>
      </c>
    </row>
    <row r="586" spans="1:18" x14ac:dyDescent="0.3">
      <c r="A586" s="13" t="s">
        <v>1037</v>
      </c>
      <c r="B586" s="14">
        <v>45544</v>
      </c>
      <c r="C586" s="13" t="s">
        <v>1038</v>
      </c>
      <c r="D586" s="13" t="s">
        <v>241</v>
      </c>
      <c r="E586" s="13" t="s">
        <v>238</v>
      </c>
      <c r="F586" s="15">
        <v>3</v>
      </c>
      <c r="G586" s="15">
        <v>6080</v>
      </c>
      <c r="H586" s="15">
        <v>14.5</v>
      </c>
      <c r="I586" s="15">
        <v>15595.2</v>
      </c>
      <c r="J586" s="13" t="s">
        <v>87</v>
      </c>
      <c r="K586" s="13" t="s">
        <v>117</v>
      </c>
      <c r="L586">
        <f>IF(COUNTIF(A$2:A586, A586)=1, IF(COUNTIF(A$2:A$2001, A586)&gt;1, 1, 0), 0)</f>
        <v>0</v>
      </c>
      <c r="M586" t="b">
        <f>VLOOKUP(D586, Products!A$2:F$61, 6, FALSE)</f>
        <v>1</v>
      </c>
      <c r="N586" t="str">
        <f>VLOOKUP(D586, Products!A$2:C$61, 3, FALSE)</f>
        <v>Beauty</v>
      </c>
      <c r="O586" t="str">
        <f>VLOOKUP(C586, Customers!A$2:E$301, 5, FALSE)</f>
        <v>Corporate</v>
      </c>
      <c r="P586">
        <f>VLOOKUP(C586, Customers!A$2:C$301, 3, FALSE)</f>
        <v>55</v>
      </c>
      <c r="Q586" t="str">
        <f>VLOOKUP(E586, Sales_Reps!A$2:C$31, 3, FALSE)</f>
        <v>East</v>
      </c>
      <c r="R586">
        <f>VLOOKUP(D586, Products!A$2:D$61, 4, FALSE)</f>
        <v>2617</v>
      </c>
    </row>
    <row r="587" spans="1:18" x14ac:dyDescent="0.3">
      <c r="A587" s="13" t="s">
        <v>1039</v>
      </c>
      <c r="B587" s="14">
        <v>45609</v>
      </c>
      <c r="C587" s="13" t="s">
        <v>310</v>
      </c>
      <c r="D587" s="13" t="s">
        <v>226</v>
      </c>
      <c r="E587" s="13" t="s">
        <v>297</v>
      </c>
      <c r="F587" s="15">
        <v>4</v>
      </c>
      <c r="G587" s="15">
        <v>3730</v>
      </c>
      <c r="H587" s="15">
        <v>3.4</v>
      </c>
      <c r="I587" s="15">
        <v>14412.72</v>
      </c>
      <c r="J587" s="13" t="s">
        <v>140</v>
      </c>
      <c r="K587" s="13" t="s">
        <v>117</v>
      </c>
      <c r="L587">
        <f>IF(COUNTIF(A$2:A587, A587)=1, IF(COUNTIF(A$2:A$2001, A587)&gt;1, 1, 0), 0)</f>
        <v>0</v>
      </c>
      <c r="M587" t="b">
        <f>VLOOKUP(D587, Products!A$2:F$61, 6, FALSE)</f>
        <v>1</v>
      </c>
      <c r="N587" t="str">
        <f>VLOOKUP(D587, Products!A$2:C$61, 3, FALSE)</f>
        <v>Home</v>
      </c>
      <c r="O587" t="str">
        <f>VLOOKUP(C587, Customers!A$2:E$301, 5, FALSE)</f>
        <v>Retail</v>
      </c>
      <c r="P587">
        <f>VLOOKUP(C587, Customers!A$2:C$301, 3, FALSE)</f>
        <v>42</v>
      </c>
      <c r="Q587" t="str">
        <f>VLOOKUP(E587, Sales_Reps!A$2:C$31, 3, FALSE)</f>
        <v>North</v>
      </c>
      <c r="R587">
        <f>VLOOKUP(D587, Products!A$2:D$61, 4, FALSE)</f>
        <v>2135</v>
      </c>
    </row>
    <row r="588" spans="1:18" x14ac:dyDescent="0.3">
      <c r="A588" s="13" t="s">
        <v>1040</v>
      </c>
      <c r="B588" s="14">
        <v>45491</v>
      </c>
      <c r="C588" s="13" t="s">
        <v>301</v>
      </c>
      <c r="D588" s="13" t="s">
        <v>279</v>
      </c>
      <c r="E588" s="13" t="s">
        <v>285</v>
      </c>
      <c r="F588" s="15">
        <v>10</v>
      </c>
      <c r="G588" s="15">
        <v>2660</v>
      </c>
      <c r="H588" s="15">
        <v>2.1</v>
      </c>
      <c r="I588" s="15">
        <v>26041.4</v>
      </c>
      <c r="J588" s="13" t="s">
        <v>87</v>
      </c>
      <c r="K588" s="13" t="s">
        <v>94</v>
      </c>
      <c r="L588">
        <f>IF(COUNTIF(A$2:A588, A588)=1, IF(COUNTIF(A$2:A$2001, A588)&gt;1, 1, 0), 0)</f>
        <v>0</v>
      </c>
      <c r="M588" t="b">
        <f>VLOOKUP(D588, Products!A$2:F$61, 6, FALSE)</f>
        <v>0</v>
      </c>
      <c r="N588" t="str">
        <f>VLOOKUP(D588, Products!A$2:C$61, 3, FALSE)</f>
        <v>Electronics</v>
      </c>
      <c r="O588" t="str">
        <f>VLOOKUP(C588, Customers!A$2:E$301, 5, FALSE)</f>
        <v>Retail</v>
      </c>
      <c r="P588">
        <f>VLOOKUP(C588, Customers!A$2:C$301, 3, FALSE)</f>
        <v>41</v>
      </c>
      <c r="Q588" t="str">
        <f>VLOOKUP(E588, Sales_Reps!A$2:C$31, 3, FALSE)</f>
        <v>East</v>
      </c>
      <c r="R588">
        <f>VLOOKUP(D588, Products!A$2:D$61, 4, FALSE)</f>
        <v>1259</v>
      </c>
    </row>
    <row r="589" spans="1:18" x14ac:dyDescent="0.3">
      <c r="A589" s="13" t="s">
        <v>1041</v>
      </c>
      <c r="B589" s="14">
        <v>45373</v>
      </c>
      <c r="C589" s="13" t="s">
        <v>175</v>
      </c>
      <c r="D589" s="13" t="s">
        <v>338</v>
      </c>
      <c r="E589" s="13" t="s">
        <v>158</v>
      </c>
      <c r="F589" s="15">
        <v>7</v>
      </c>
      <c r="G589" s="15">
        <v>2210</v>
      </c>
      <c r="H589" s="15">
        <v>17.100000000000001</v>
      </c>
      <c r="I589" s="15">
        <v>12824.63</v>
      </c>
      <c r="J589" s="13" t="s">
        <v>87</v>
      </c>
      <c r="K589" s="13" t="s">
        <v>133</v>
      </c>
      <c r="L589">
        <f>IF(COUNTIF(A$2:A589, A589)=1, IF(COUNTIF(A$2:A$2001, A589)&gt;1, 1, 0), 0)</f>
        <v>0</v>
      </c>
      <c r="M589" t="b">
        <f>VLOOKUP(D589, Products!A$2:F$61, 6, FALSE)</f>
        <v>1</v>
      </c>
      <c r="N589" t="str">
        <f>VLOOKUP(D589, Products!A$2:C$61, 3, FALSE)</f>
        <v>Grocery</v>
      </c>
      <c r="O589" t="str">
        <f>VLOOKUP(C589, Customers!A$2:E$301, 5, FALSE)</f>
        <v>SMB</v>
      </c>
      <c r="P589">
        <f>VLOOKUP(C589, Customers!A$2:C$301, 3, FALSE)</f>
        <v>40</v>
      </c>
      <c r="Q589" t="str">
        <f>VLOOKUP(E589, Sales_Reps!A$2:C$31, 3, FALSE)</f>
        <v>East</v>
      </c>
      <c r="R589">
        <f>VLOOKUP(D589, Products!A$2:D$61, 4, FALSE)</f>
        <v>1010</v>
      </c>
    </row>
    <row r="590" spans="1:18" x14ac:dyDescent="0.3">
      <c r="A590" s="13" t="s">
        <v>1042</v>
      </c>
      <c r="B590" s="14">
        <v>45607</v>
      </c>
      <c r="C590" s="13" t="s">
        <v>194</v>
      </c>
      <c r="D590" s="13" t="s">
        <v>461</v>
      </c>
      <c r="E590" s="13" t="s">
        <v>252</v>
      </c>
      <c r="F590" s="15">
        <v>6</v>
      </c>
      <c r="G590" s="15">
        <v>3780</v>
      </c>
      <c r="H590" s="15">
        <v>12.7</v>
      </c>
      <c r="I590" s="15">
        <v>19799.64</v>
      </c>
      <c r="J590" s="13" t="s">
        <v>87</v>
      </c>
      <c r="K590" s="13" t="s">
        <v>88</v>
      </c>
      <c r="L590">
        <f>IF(COUNTIF(A$2:A590, A590)=1, IF(COUNTIF(A$2:A$2001, A590)&gt;1, 1, 0), 0)</f>
        <v>0</v>
      </c>
      <c r="M590" t="b">
        <f>VLOOKUP(D590, Products!A$2:F$61, 6, FALSE)</f>
        <v>1</v>
      </c>
      <c r="N590" t="str">
        <f>VLOOKUP(D590, Products!A$2:C$61, 3, FALSE)</f>
        <v>Sports</v>
      </c>
      <c r="O590" t="str">
        <f>VLOOKUP(C590, Customers!A$2:E$301, 5, FALSE)</f>
        <v>SMB</v>
      </c>
      <c r="P590">
        <f>VLOOKUP(C590, Customers!A$2:C$301, 3, FALSE)</f>
        <v>44</v>
      </c>
      <c r="Q590" t="str">
        <f>VLOOKUP(E590, Sales_Reps!A$2:C$31, 3, FALSE)</f>
        <v>South</v>
      </c>
      <c r="R590">
        <f>VLOOKUP(D590, Products!A$2:D$61, 4, FALSE)</f>
        <v>1860</v>
      </c>
    </row>
    <row r="591" spans="1:18" x14ac:dyDescent="0.3">
      <c r="A591" s="13" t="s">
        <v>1043</v>
      </c>
      <c r="B591" s="14">
        <v>45412</v>
      </c>
      <c r="C591" s="13" t="s">
        <v>963</v>
      </c>
      <c r="D591" s="13" t="s">
        <v>124</v>
      </c>
      <c r="E591" s="13" t="s">
        <v>229</v>
      </c>
      <c r="F591" s="15">
        <v>4</v>
      </c>
      <c r="G591" s="15">
        <v>5490</v>
      </c>
      <c r="H591" s="15">
        <v>26.9</v>
      </c>
      <c r="I591" s="15">
        <v>16052.76</v>
      </c>
      <c r="J591" s="13" t="s">
        <v>87</v>
      </c>
      <c r="K591" s="13" t="s">
        <v>94</v>
      </c>
      <c r="L591">
        <f>IF(COUNTIF(A$2:A591, A591)=1, IF(COUNTIF(A$2:A$2001, A591)&gt;1, 1, 0), 0)</f>
        <v>0</v>
      </c>
      <c r="M591" t="b">
        <f>VLOOKUP(D591, Products!A$2:F$61, 6, FALSE)</f>
        <v>1</v>
      </c>
      <c r="N591" t="str">
        <f>VLOOKUP(D591, Products!A$2:C$61, 3, FALSE)</f>
        <v>Home</v>
      </c>
      <c r="O591" t="str">
        <f>VLOOKUP(C591, Customers!A$2:E$301, 5, FALSE)</f>
        <v>Retail</v>
      </c>
      <c r="P591">
        <f>VLOOKUP(C591, Customers!A$2:C$301, 3, FALSE)</f>
        <v>31</v>
      </c>
      <c r="Q591" t="str">
        <f>VLOOKUP(E591, Sales_Reps!A$2:C$31, 3, FALSE)</f>
        <v>West</v>
      </c>
      <c r="R591">
        <f>VLOOKUP(D591, Products!A$2:D$61, 4, FALSE)</f>
        <v>2549</v>
      </c>
    </row>
    <row r="592" spans="1:18" x14ac:dyDescent="0.3">
      <c r="A592" s="13" t="s">
        <v>1044</v>
      </c>
      <c r="B592" s="14">
        <v>45351</v>
      </c>
      <c r="C592" s="13" t="s">
        <v>802</v>
      </c>
      <c r="D592" s="13" t="s">
        <v>279</v>
      </c>
      <c r="E592" s="13" t="s">
        <v>252</v>
      </c>
      <c r="F592" s="15">
        <v>9</v>
      </c>
      <c r="G592" s="15">
        <v>2660</v>
      </c>
      <c r="H592" s="15">
        <v>21.9</v>
      </c>
      <c r="I592" s="15">
        <v>18697.14</v>
      </c>
      <c r="J592" s="13" t="s">
        <v>87</v>
      </c>
      <c r="K592" s="13" t="s">
        <v>94</v>
      </c>
      <c r="L592">
        <f>IF(COUNTIF(A$2:A592, A592)=1, IF(COUNTIF(A$2:A$2001, A592)&gt;1, 1, 0), 0)</f>
        <v>0</v>
      </c>
      <c r="M592" t="b">
        <f>VLOOKUP(D592, Products!A$2:F$61, 6, FALSE)</f>
        <v>0</v>
      </c>
      <c r="N592" t="str">
        <f>VLOOKUP(D592, Products!A$2:C$61, 3, FALSE)</f>
        <v>Electronics</v>
      </c>
      <c r="O592" t="str">
        <f>VLOOKUP(C592, Customers!A$2:E$301, 5, FALSE)</f>
        <v>SMB</v>
      </c>
      <c r="P592">
        <f>VLOOKUP(C592, Customers!A$2:C$301, 3, FALSE)</f>
        <v>39</v>
      </c>
      <c r="Q592" t="str">
        <f>VLOOKUP(E592, Sales_Reps!A$2:C$31, 3, FALSE)</f>
        <v>South</v>
      </c>
      <c r="R592">
        <f>VLOOKUP(D592, Products!A$2:D$61, 4, FALSE)</f>
        <v>1259</v>
      </c>
    </row>
    <row r="593" spans="1:18" x14ac:dyDescent="0.3">
      <c r="A593" s="13" t="s">
        <v>1045</v>
      </c>
      <c r="B593" s="14">
        <v>45572</v>
      </c>
      <c r="C593" s="13" t="s">
        <v>403</v>
      </c>
      <c r="D593" s="13" t="s">
        <v>515</v>
      </c>
      <c r="E593" s="13" t="s">
        <v>128</v>
      </c>
      <c r="F593" s="15">
        <v>9</v>
      </c>
      <c r="G593" s="15">
        <v>6940</v>
      </c>
      <c r="H593" s="15">
        <v>8</v>
      </c>
      <c r="I593" s="15">
        <v>57463.199999999997</v>
      </c>
      <c r="J593" s="13" t="s">
        <v>87</v>
      </c>
      <c r="K593" s="13" t="s">
        <v>117</v>
      </c>
      <c r="L593">
        <f>IF(COUNTIF(A$2:A593, A593)=1, IF(COUNTIF(A$2:A$2001, A593)&gt;1, 1, 0), 0)</f>
        <v>0</v>
      </c>
      <c r="M593" t="b">
        <f>VLOOKUP(D593, Products!A$2:F$61, 6, FALSE)</f>
        <v>1</v>
      </c>
      <c r="N593" t="str">
        <f>VLOOKUP(D593, Products!A$2:C$61, 3, FALSE)</f>
        <v>Sports</v>
      </c>
      <c r="O593" t="str">
        <f>VLOOKUP(C593, Customers!A$2:E$301, 5, FALSE)</f>
        <v>Retail</v>
      </c>
      <c r="P593">
        <f>VLOOKUP(C593, Customers!A$2:C$301, 3, FALSE)</f>
        <v>59</v>
      </c>
      <c r="Q593" t="str">
        <f>VLOOKUP(E593, Sales_Reps!A$2:C$31, 3, FALSE)</f>
        <v>West</v>
      </c>
      <c r="R593">
        <f>VLOOKUP(D593, Products!A$2:D$61, 4, FALSE)</f>
        <v>2827</v>
      </c>
    </row>
    <row r="594" spans="1:18" x14ac:dyDescent="0.3">
      <c r="A594" s="13" t="s">
        <v>733</v>
      </c>
      <c r="B594" s="14">
        <v>45402</v>
      </c>
      <c r="C594" s="13" t="s">
        <v>197</v>
      </c>
      <c r="D594" s="13" t="s">
        <v>248</v>
      </c>
      <c r="E594" s="13" t="s">
        <v>103</v>
      </c>
      <c r="F594" s="15">
        <v>1</v>
      </c>
      <c r="G594" s="15">
        <v>3870</v>
      </c>
      <c r="H594" s="15">
        <v>22.6</v>
      </c>
      <c r="I594" s="15">
        <v>2995.38</v>
      </c>
      <c r="J594" s="13" t="s">
        <v>87</v>
      </c>
      <c r="K594" s="13" t="s">
        <v>88</v>
      </c>
      <c r="L594">
        <f>IF(COUNTIF(A$2:A594, A594)=1, IF(COUNTIF(A$2:A$2001, A594)&gt;1, 1, 0), 0)</f>
        <v>0</v>
      </c>
      <c r="M594" t="b">
        <f>VLOOKUP(D594, Products!A$2:F$61, 6, FALSE)</f>
        <v>1</v>
      </c>
      <c r="N594" t="str">
        <f>VLOOKUP(D594, Products!A$2:C$61, 3, FALSE)</f>
        <v>Electronics</v>
      </c>
      <c r="O594" t="str">
        <f>VLOOKUP(C594, Customers!A$2:E$301, 5, FALSE)</f>
        <v>Corporate</v>
      </c>
      <c r="P594">
        <f>VLOOKUP(C594, Customers!A$2:C$301, 3, FALSE)</f>
        <v>47</v>
      </c>
      <c r="Q594" t="str">
        <f>VLOOKUP(E594, Sales_Reps!A$2:C$31, 3, FALSE)</f>
        <v>North</v>
      </c>
      <c r="R594">
        <f>VLOOKUP(D594, Products!A$2:D$61, 4, FALSE)</f>
        <v>1559</v>
      </c>
    </row>
    <row r="595" spans="1:18" x14ac:dyDescent="0.3">
      <c r="A595" s="13" t="s">
        <v>1046</v>
      </c>
      <c r="B595" s="14">
        <v>45503</v>
      </c>
      <c r="C595" s="13" t="s">
        <v>1047</v>
      </c>
      <c r="D595" s="13" t="s">
        <v>502</v>
      </c>
      <c r="E595" s="13" t="s">
        <v>107</v>
      </c>
      <c r="F595" s="15">
        <v>3</v>
      </c>
      <c r="G595" s="15">
        <v>1090</v>
      </c>
      <c r="H595" s="15">
        <v>28.1</v>
      </c>
      <c r="I595" s="15">
        <v>2351.13</v>
      </c>
      <c r="J595" s="13" t="s">
        <v>87</v>
      </c>
      <c r="K595" s="13" t="s">
        <v>133</v>
      </c>
      <c r="L595">
        <f>IF(COUNTIF(A$2:A595, A595)=1, IF(COUNTIF(A$2:A$2001, A595)&gt;1, 1, 0), 0)</f>
        <v>0</v>
      </c>
      <c r="M595" t="b">
        <f>VLOOKUP(D595, Products!A$2:F$61, 6, FALSE)</f>
        <v>1</v>
      </c>
      <c r="N595" t="str">
        <f>VLOOKUP(D595, Products!A$2:C$61, 3, FALSE)</f>
        <v>Home</v>
      </c>
      <c r="O595" t="str">
        <f>VLOOKUP(C595, Customers!A$2:E$301, 5, FALSE)</f>
        <v>Retail</v>
      </c>
      <c r="P595">
        <f>VLOOKUP(C595, Customers!A$2:C$301, 3, FALSE)</f>
        <v>41</v>
      </c>
      <c r="Q595" t="str">
        <f>VLOOKUP(E595, Sales_Reps!A$2:C$31, 3, FALSE)</f>
        <v>North</v>
      </c>
      <c r="R595">
        <f>VLOOKUP(D595, Products!A$2:D$61, 4, FALSE)</f>
        <v>464</v>
      </c>
    </row>
    <row r="596" spans="1:18" x14ac:dyDescent="0.3">
      <c r="A596" s="13" t="s">
        <v>1048</v>
      </c>
      <c r="B596" s="14">
        <v>45524</v>
      </c>
      <c r="C596" s="13" t="s">
        <v>465</v>
      </c>
      <c r="D596" s="13" t="s">
        <v>138</v>
      </c>
      <c r="E596" s="13" t="s">
        <v>215</v>
      </c>
      <c r="F596" s="15">
        <v>2</v>
      </c>
      <c r="G596" s="15">
        <v>2600</v>
      </c>
      <c r="H596" s="15">
        <v>5.6</v>
      </c>
      <c r="I596" s="15">
        <v>4908.8</v>
      </c>
      <c r="J596" s="13" t="s">
        <v>87</v>
      </c>
      <c r="K596" s="13" t="s">
        <v>112</v>
      </c>
      <c r="L596">
        <f>IF(COUNTIF(A$2:A596, A596)=1, IF(COUNTIF(A$2:A$2001, A596)&gt;1, 1, 0), 0)</f>
        <v>0</v>
      </c>
      <c r="M596" t="b">
        <f>VLOOKUP(D596, Products!A$2:F$61, 6, FALSE)</f>
        <v>1</v>
      </c>
      <c r="N596" t="str">
        <f>VLOOKUP(D596, Products!A$2:C$61, 3, FALSE)</f>
        <v>Electronics</v>
      </c>
      <c r="O596" t="str">
        <f>VLOOKUP(C596, Customers!A$2:E$301, 5, FALSE)</f>
        <v>Retail</v>
      </c>
      <c r="P596">
        <f>VLOOKUP(C596, Customers!A$2:C$301, 3, FALSE)</f>
        <v>61</v>
      </c>
      <c r="Q596" t="str">
        <f>VLOOKUP(E596, Sales_Reps!A$2:C$31, 3, FALSE)</f>
        <v>North</v>
      </c>
      <c r="R596">
        <f>VLOOKUP(D596, Products!A$2:D$61, 4, FALSE)</f>
        <v>1052</v>
      </c>
    </row>
    <row r="597" spans="1:18" x14ac:dyDescent="0.3">
      <c r="A597" s="13" t="s">
        <v>1049</v>
      </c>
      <c r="B597" s="14">
        <v>45425</v>
      </c>
      <c r="C597" s="13" t="s">
        <v>856</v>
      </c>
      <c r="D597" s="13" t="s">
        <v>115</v>
      </c>
      <c r="E597" s="13" t="s">
        <v>192</v>
      </c>
      <c r="F597" s="15">
        <v>4</v>
      </c>
      <c r="G597" s="15">
        <v>960</v>
      </c>
      <c r="H597" s="15">
        <v>21.7</v>
      </c>
      <c r="I597" s="15">
        <v>3006.72</v>
      </c>
      <c r="J597" s="13" t="s">
        <v>87</v>
      </c>
      <c r="K597" s="13" t="s">
        <v>88</v>
      </c>
      <c r="L597">
        <f>IF(COUNTIF(A$2:A597, A597)=1, IF(COUNTIF(A$2:A$2001, A597)&gt;1, 1, 0), 0)</f>
        <v>0</v>
      </c>
      <c r="M597" t="b">
        <f>VLOOKUP(D597, Products!A$2:F$61, 6, FALSE)</f>
        <v>1</v>
      </c>
      <c r="N597" t="str">
        <f>VLOOKUP(D597, Products!A$2:C$61, 3, FALSE)</f>
        <v>Sports</v>
      </c>
      <c r="O597" t="str">
        <f>VLOOKUP(C597, Customers!A$2:E$301, 5, FALSE)</f>
        <v>SMB</v>
      </c>
      <c r="P597">
        <f>VLOOKUP(C597, Customers!A$2:C$301, 3, FALSE)</f>
        <v>59</v>
      </c>
      <c r="Q597" t="str">
        <f>VLOOKUP(E597, Sales_Reps!A$2:C$31, 3, FALSE)</f>
        <v>East</v>
      </c>
      <c r="R597">
        <f>VLOOKUP(D597, Products!A$2:D$61, 4, FALSE)</f>
        <v>705</v>
      </c>
    </row>
    <row r="598" spans="1:18" x14ac:dyDescent="0.3">
      <c r="A598" s="13" t="s">
        <v>1050</v>
      </c>
      <c r="B598" s="14">
        <v>45533</v>
      </c>
      <c r="C598" s="13" t="s">
        <v>1051</v>
      </c>
      <c r="D598" s="13" t="s">
        <v>110</v>
      </c>
      <c r="E598" s="13" t="s">
        <v>201</v>
      </c>
      <c r="F598" s="15">
        <v>6</v>
      </c>
      <c r="G598" s="15">
        <v>370</v>
      </c>
      <c r="H598" s="15">
        <v>22.5</v>
      </c>
      <c r="I598" s="15">
        <v>1720.5</v>
      </c>
      <c r="J598" s="13" t="s">
        <v>87</v>
      </c>
      <c r="K598" s="13" t="s">
        <v>112</v>
      </c>
      <c r="L598">
        <f>IF(COUNTIF(A$2:A598, A598)=1, IF(COUNTIF(A$2:A$2001, A598)&gt;1, 1, 0), 0)</f>
        <v>0</v>
      </c>
      <c r="M598" t="b">
        <f>VLOOKUP(D598, Products!A$2:F$61, 6, FALSE)</f>
        <v>1</v>
      </c>
      <c r="N598" t="str">
        <f>VLOOKUP(D598, Products!A$2:C$61, 3, FALSE)</f>
        <v>Home</v>
      </c>
      <c r="O598" t="str">
        <f>VLOOKUP(C598, Customers!A$2:E$301, 5, FALSE)</f>
        <v>Retail</v>
      </c>
      <c r="P598">
        <f>VLOOKUP(C598, Customers!A$2:C$301, 3, FALSE)</f>
        <v>54</v>
      </c>
      <c r="Q598" t="str">
        <f>VLOOKUP(E598, Sales_Reps!A$2:C$31, 3, FALSE)</f>
        <v>West</v>
      </c>
      <c r="R598">
        <f>VLOOKUP(D598, Products!A$2:D$61, 4, FALSE)</f>
        <v>288</v>
      </c>
    </row>
    <row r="599" spans="1:18" x14ac:dyDescent="0.3">
      <c r="A599" s="13" t="s">
        <v>1052</v>
      </c>
      <c r="B599" s="14">
        <v>45649</v>
      </c>
      <c r="C599" s="13" t="s">
        <v>250</v>
      </c>
      <c r="D599" s="13" t="s">
        <v>443</v>
      </c>
      <c r="E599" s="13" t="s">
        <v>103</v>
      </c>
      <c r="F599" s="15">
        <v>5</v>
      </c>
      <c r="G599" s="15">
        <v>5080</v>
      </c>
      <c r="H599" s="15">
        <v>23.8</v>
      </c>
      <c r="I599" s="15">
        <v>19354.8</v>
      </c>
      <c r="J599" s="13" t="s">
        <v>87</v>
      </c>
      <c r="K599" s="13" t="s">
        <v>117</v>
      </c>
      <c r="L599">
        <f>IF(COUNTIF(A$2:A599, A599)=1, IF(COUNTIF(A$2:A$2001, A599)&gt;1, 1, 0), 0)</f>
        <v>0</v>
      </c>
      <c r="M599" t="b">
        <f>VLOOKUP(D599, Products!A$2:F$61, 6, FALSE)</f>
        <v>1</v>
      </c>
      <c r="N599" t="str">
        <f>VLOOKUP(D599, Products!A$2:C$61, 3, FALSE)</f>
        <v>Home</v>
      </c>
      <c r="O599" t="str">
        <f>VLOOKUP(C599, Customers!A$2:E$301, 5, FALSE)</f>
        <v>SMB</v>
      </c>
      <c r="P599">
        <f>VLOOKUP(C599, Customers!A$2:C$301, 3, FALSE)</f>
        <v>34</v>
      </c>
      <c r="Q599" t="str">
        <f>VLOOKUP(E599, Sales_Reps!A$2:C$31, 3, FALSE)</f>
        <v>North</v>
      </c>
      <c r="R599">
        <f>VLOOKUP(D599, Products!A$2:D$61, 4, FALSE)</f>
        <v>2459</v>
      </c>
    </row>
    <row r="600" spans="1:18" x14ac:dyDescent="0.3">
      <c r="A600" s="13" t="s">
        <v>1053</v>
      </c>
      <c r="B600" s="14">
        <v>45375</v>
      </c>
      <c r="C600" s="13" t="s">
        <v>559</v>
      </c>
      <c r="D600" s="13" t="s">
        <v>259</v>
      </c>
      <c r="E600" s="13" t="s">
        <v>148</v>
      </c>
      <c r="F600" s="15">
        <v>5</v>
      </c>
      <c r="G600" s="15">
        <v>1540</v>
      </c>
      <c r="H600" s="15">
        <v>6.1</v>
      </c>
      <c r="I600" s="15">
        <v>7230.3</v>
      </c>
      <c r="J600" s="13" t="s">
        <v>87</v>
      </c>
      <c r="K600" s="13" t="s">
        <v>88</v>
      </c>
      <c r="L600">
        <f>IF(COUNTIF(A$2:A600, A600)=1, IF(COUNTIF(A$2:A$2001, A600)&gt;1, 1, 0), 0)</f>
        <v>0</v>
      </c>
      <c r="M600" t="b">
        <f>VLOOKUP(D600, Products!A$2:F$61, 6, FALSE)</f>
        <v>0</v>
      </c>
      <c r="N600" t="str">
        <f>VLOOKUP(D600, Products!A$2:C$61, 3, FALSE)</f>
        <v>Beauty</v>
      </c>
      <c r="O600" t="str">
        <f>VLOOKUP(C600, Customers!A$2:E$301, 5, FALSE)</f>
        <v>Retail</v>
      </c>
      <c r="P600">
        <f>VLOOKUP(C600, Customers!A$2:C$301, 3, FALSE)</f>
        <v>62</v>
      </c>
      <c r="Q600" t="str">
        <f>VLOOKUP(E600, Sales_Reps!A$2:C$31, 3, FALSE)</f>
        <v>North</v>
      </c>
      <c r="R600">
        <f>VLOOKUP(D600, Products!A$2:D$61, 4, FALSE)</f>
        <v>647</v>
      </c>
    </row>
    <row r="601" spans="1:18" x14ac:dyDescent="0.3">
      <c r="A601" s="13" t="s">
        <v>1054</v>
      </c>
      <c r="B601" s="14">
        <v>45342</v>
      </c>
      <c r="C601" s="13" t="s">
        <v>1055</v>
      </c>
      <c r="D601" s="13" t="s">
        <v>131</v>
      </c>
      <c r="E601" s="13" t="s">
        <v>188</v>
      </c>
      <c r="F601" s="15">
        <v>7</v>
      </c>
      <c r="G601" s="15">
        <v>2270</v>
      </c>
      <c r="H601" s="15">
        <v>0.4</v>
      </c>
      <c r="I601" s="15">
        <v>15826.44</v>
      </c>
      <c r="J601" s="13" t="s">
        <v>87</v>
      </c>
      <c r="K601" s="13" t="s">
        <v>112</v>
      </c>
      <c r="L601">
        <f>IF(COUNTIF(A$2:A601, A601)=1, IF(COUNTIF(A$2:A$2001, A601)&gt;1, 1, 0), 0)</f>
        <v>1</v>
      </c>
      <c r="M601" t="b">
        <f>VLOOKUP(D601, Products!A$2:F$61, 6, FALSE)</f>
        <v>1</v>
      </c>
      <c r="N601" t="str">
        <f>VLOOKUP(D601, Products!A$2:C$61, 3, FALSE)</f>
        <v>Grocery</v>
      </c>
      <c r="O601" t="str">
        <f>VLOOKUP(C601, Customers!A$2:E$301, 5, FALSE)</f>
        <v>Retail</v>
      </c>
      <c r="P601">
        <f>VLOOKUP(C601, Customers!A$2:C$301, 3, FALSE)</f>
        <v>37</v>
      </c>
      <c r="Q601" t="str">
        <f>VLOOKUP(E601, Sales_Reps!A$2:C$31, 3, FALSE)</f>
        <v>South</v>
      </c>
      <c r="R601">
        <f>VLOOKUP(D601, Products!A$2:D$61, 4, FALSE)</f>
        <v>1203</v>
      </c>
    </row>
    <row r="602" spans="1:18" x14ac:dyDescent="0.3">
      <c r="A602" s="13" t="s">
        <v>1056</v>
      </c>
      <c r="B602" s="14">
        <v>45441</v>
      </c>
      <c r="C602" s="13" t="s">
        <v>828</v>
      </c>
      <c r="D602" s="13" t="s">
        <v>115</v>
      </c>
      <c r="E602" s="13" t="s">
        <v>188</v>
      </c>
      <c r="F602" s="15">
        <v>2</v>
      </c>
      <c r="G602" s="15">
        <v>960</v>
      </c>
      <c r="H602" s="15">
        <v>3.7</v>
      </c>
      <c r="I602" s="15">
        <v>1848.96</v>
      </c>
      <c r="J602" s="13" t="s">
        <v>87</v>
      </c>
      <c r="K602" s="13" t="s">
        <v>133</v>
      </c>
      <c r="L602">
        <f>IF(COUNTIF(A$2:A602, A602)=1, IF(COUNTIF(A$2:A$2001, A602)&gt;1, 1, 0), 0)</f>
        <v>0</v>
      </c>
      <c r="M602" t="b">
        <f>VLOOKUP(D602, Products!A$2:F$61, 6, FALSE)</f>
        <v>1</v>
      </c>
      <c r="N602" t="str">
        <f>VLOOKUP(D602, Products!A$2:C$61, 3, FALSE)</f>
        <v>Sports</v>
      </c>
      <c r="O602" t="str">
        <f>VLOOKUP(C602, Customers!A$2:E$301, 5, FALSE)</f>
        <v>Retail</v>
      </c>
      <c r="P602">
        <f>VLOOKUP(C602, Customers!A$2:C$301, 3, FALSE)</f>
        <v>52</v>
      </c>
      <c r="Q602" t="str">
        <f>VLOOKUP(E602, Sales_Reps!A$2:C$31, 3, FALSE)</f>
        <v>South</v>
      </c>
      <c r="R602">
        <f>VLOOKUP(D602, Products!A$2:D$61, 4, FALSE)</f>
        <v>705</v>
      </c>
    </row>
    <row r="603" spans="1:18" x14ac:dyDescent="0.3">
      <c r="A603" s="13" t="s">
        <v>1057</v>
      </c>
      <c r="B603" s="14">
        <v>45410</v>
      </c>
      <c r="C603" s="13" t="s">
        <v>407</v>
      </c>
      <c r="D603" s="13" t="s">
        <v>120</v>
      </c>
      <c r="E603" s="13" t="s">
        <v>343</v>
      </c>
      <c r="F603" s="15">
        <v>6</v>
      </c>
      <c r="G603" s="15">
        <v>1430</v>
      </c>
      <c r="H603" s="15">
        <v>2</v>
      </c>
      <c r="I603" s="15">
        <v>8408.4</v>
      </c>
      <c r="J603" s="13" t="s">
        <v>93</v>
      </c>
      <c r="K603" s="13" t="s">
        <v>88</v>
      </c>
      <c r="L603">
        <f>IF(COUNTIF(A$2:A603, A603)=1, IF(COUNTIF(A$2:A$2001, A603)&gt;1, 1, 0), 0)</f>
        <v>0</v>
      </c>
      <c r="M603" t="b">
        <f>VLOOKUP(D603, Products!A$2:F$61, 6, FALSE)</f>
        <v>1</v>
      </c>
      <c r="N603" t="str">
        <f>VLOOKUP(D603, Products!A$2:C$61, 3, FALSE)</f>
        <v>Electronics</v>
      </c>
      <c r="O603" t="str">
        <f>VLOOKUP(C603, Customers!A$2:E$301, 5, FALSE)</f>
        <v>SMB</v>
      </c>
      <c r="P603">
        <f>VLOOKUP(C603, Customers!A$2:C$301, 3, FALSE)</f>
        <v>53</v>
      </c>
      <c r="Q603" t="str">
        <f>VLOOKUP(E603, Sales_Reps!A$2:C$31, 3, FALSE)</f>
        <v>West</v>
      </c>
      <c r="R603">
        <f>VLOOKUP(D603, Products!A$2:D$61, 4, FALSE)</f>
        <v>861</v>
      </c>
    </row>
    <row r="604" spans="1:18" x14ac:dyDescent="0.3">
      <c r="A604" s="13" t="s">
        <v>1058</v>
      </c>
      <c r="B604" s="14">
        <v>45588</v>
      </c>
      <c r="C604" s="13" t="s">
        <v>299</v>
      </c>
      <c r="D604" s="13" t="s">
        <v>157</v>
      </c>
      <c r="E604" s="13" t="s">
        <v>103</v>
      </c>
      <c r="F604" s="15">
        <v>10</v>
      </c>
      <c r="G604" s="15">
        <v>3450</v>
      </c>
      <c r="H604" s="15">
        <v>19.100000000000001</v>
      </c>
      <c r="I604" s="15">
        <v>27910.5</v>
      </c>
      <c r="J604" s="13" t="s">
        <v>87</v>
      </c>
      <c r="K604" s="13" t="s">
        <v>133</v>
      </c>
      <c r="L604">
        <f>IF(COUNTIF(A$2:A604, A604)=1, IF(COUNTIF(A$2:A$2001, A604)&gt;1, 1, 0), 0)</f>
        <v>0</v>
      </c>
      <c r="M604" t="b">
        <f>VLOOKUP(D604, Products!A$2:F$61, 6, FALSE)</f>
        <v>1</v>
      </c>
      <c r="N604" t="str">
        <f>VLOOKUP(D604, Products!A$2:C$61, 3, FALSE)</f>
        <v>Beauty</v>
      </c>
      <c r="O604" t="str">
        <f>VLOOKUP(C604, Customers!A$2:E$301, 5, FALSE)</f>
        <v>Retail</v>
      </c>
      <c r="P604">
        <f>VLOOKUP(C604, Customers!A$2:C$301, 3, FALSE)</f>
        <v>29</v>
      </c>
      <c r="Q604" t="str">
        <f>VLOOKUP(E604, Sales_Reps!A$2:C$31, 3, FALSE)</f>
        <v>North</v>
      </c>
      <c r="R604">
        <f>VLOOKUP(D604, Products!A$2:D$61, 4, FALSE)</f>
        <v>2420</v>
      </c>
    </row>
    <row r="605" spans="1:18" x14ac:dyDescent="0.3">
      <c r="A605" s="13" t="s">
        <v>1059</v>
      </c>
      <c r="B605" s="14">
        <v>45412</v>
      </c>
      <c r="C605" s="13" t="s">
        <v>440</v>
      </c>
      <c r="D605" s="13" t="s">
        <v>267</v>
      </c>
      <c r="E605" s="13" t="s">
        <v>201</v>
      </c>
      <c r="F605" s="15">
        <v>8</v>
      </c>
      <c r="G605" s="15">
        <v>1220</v>
      </c>
      <c r="H605" s="15">
        <v>16.899999999999999</v>
      </c>
      <c r="I605" s="15">
        <v>8110.56</v>
      </c>
      <c r="J605" s="13" t="s">
        <v>87</v>
      </c>
      <c r="K605" s="13" t="s">
        <v>88</v>
      </c>
      <c r="L605">
        <f>IF(COUNTIF(A$2:A605, A605)=1, IF(COUNTIF(A$2:A$2001, A605)&gt;1, 1, 0), 0)</f>
        <v>0</v>
      </c>
      <c r="M605" t="b">
        <f>VLOOKUP(D605, Products!A$2:F$61, 6, FALSE)</f>
        <v>1</v>
      </c>
      <c r="N605" t="str">
        <f>VLOOKUP(D605, Products!A$2:C$61, 3, FALSE)</f>
        <v>Electronics</v>
      </c>
      <c r="O605" t="str">
        <f>VLOOKUP(C605, Customers!A$2:E$301, 5, FALSE)</f>
        <v>SMB</v>
      </c>
      <c r="P605">
        <f>VLOOKUP(C605, Customers!A$2:C$301, 3, FALSE)</f>
        <v>30</v>
      </c>
      <c r="Q605" t="str">
        <f>VLOOKUP(E605, Sales_Reps!A$2:C$31, 3, FALSE)</f>
        <v>West</v>
      </c>
      <c r="R605">
        <f>VLOOKUP(D605, Products!A$2:D$61, 4, FALSE)</f>
        <v>517</v>
      </c>
    </row>
    <row r="606" spans="1:18" x14ac:dyDescent="0.3">
      <c r="A606" s="13" t="s">
        <v>1060</v>
      </c>
      <c r="B606" s="14">
        <v>45439</v>
      </c>
      <c r="C606" s="13" t="s">
        <v>968</v>
      </c>
      <c r="D606" s="13" t="s">
        <v>200</v>
      </c>
      <c r="E606" s="13" t="s">
        <v>192</v>
      </c>
      <c r="F606" s="15">
        <v>9</v>
      </c>
      <c r="G606" s="15">
        <v>2760</v>
      </c>
      <c r="H606" s="15">
        <v>16.899999999999999</v>
      </c>
      <c r="I606" s="15">
        <v>20642.04</v>
      </c>
      <c r="J606" s="13" t="s">
        <v>87</v>
      </c>
      <c r="K606" s="13" t="s">
        <v>99</v>
      </c>
      <c r="L606">
        <f>IF(COUNTIF(A$2:A606, A606)=1, IF(COUNTIF(A$2:A$2001, A606)&gt;1, 1, 0), 0)</f>
        <v>0</v>
      </c>
      <c r="M606" t="b">
        <f>VLOOKUP(D606, Products!A$2:F$61, 6, FALSE)</f>
        <v>1</v>
      </c>
      <c r="N606" t="str">
        <f>VLOOKUP(D606, Products!A$2:C$61, 3, FALSE)</f>
        <v>Grocery</v>
      </c>
      <c r="O606" t="str">
        <f>VLOOKUP(C606, Customers!A$2:E$301, 5, FALSE)</f>
        <v>Retail</v>
      </c>
      <c r="P606">
        <f>VLOOKUP(C606, Customers!A$2:C$301, 3, FALSE)</f>
        <v>47</v>
      </c>
      <c r="Q606" t="str">
        <f>VLOOKUP(E606, Sales_Reps!A$2:C$31, 3, FALSE)</f>
        <v>East</v>
      </c>
      <c r="R606">
        <f>VLOOKUP(D606, Products!A$2:D$61, 4, FALSE)</f>
        <v>1435</v>
      </c>
    </row>
    <row r="607" spans="1:18" x14ac:dyDescent="0.3">
      <c r="A607" s="13" t="s">
        <v>1061</v>
      </c>
      <c r="B607" s="14">
        <v>45593</v>
      </c>
      <c r="C607" s="13" t="s">
        <v>1062</v>
      </c>
      <c r="D607" s="13" t="s">
        <v>179</v>
      </c>
      <c r="E607" s="13" t="s">
        <v>238</v>
      </c>
      <c r="F607" s="15">
        <v>6</v>
      </c>
      <c r="G607" s="15">
        <v>3350</v>
      </c>
      <c r="H607" s="15">
        <v>11.8</v>
      </c>
      <c r="I607" s="15">
        <v>17728.2</v>
      </c>
      <c r="J607" s="13" t="s">
        <v>93</v>
      </c>
      <c r="K607" s="13" t="s">
        <v>112</v>
      </c>
      <c r="L607">
        <f>IF(COUNTIF(A$2:A607, A607)=1, IF(COUNTIF(A$2:A$2001, A607)&gt;1, 1, 0), 0)</f>
        <v>0</v>
      </c>
      <c r="M607" t="b">
        <f>VLOOKUP(D607, Products!A$2:F$61, 6, FALSE)</f>
        <v>1</v>
      </c>
      <c r="N607" t="str">
        <f>VLOOKUP(D607, Products!A$2:C$61, 3, FALSE)</f>
        <v>Beauty</v>
      </c>
      <c r="O607" t="str">
        <f>VLOOKUP(C607, Customers!A$2:E$301, 5, FALSE)</f>
        <v>SMB</v>
      </c>
      <c r="P607">
        <f>VLOOKUP(C607, Customers!A$2:C$301, 3, FALSE)</f>
        <v>54</v>
      </c>
      <c r="Q607" t="str">
        <f>VLOOKUP(E607, Sales_Reps!A$2:C$31, 3, FALSE)</f>
        <v>East</v>
      </c>
      <c r="R607">
        <f>VLOOKUP(D607, Products!A$2:D$61, 4, FALSE)</f>
        <v>1728</v>
      </c>
    </row>
    <row r="608" spans="1:18" x14ac:dyDescent="0.3">
      <c r="A608" s="13" t="s">
        <v>1063</v>
      </c>
      <c r="B608" s="14">
        <v>45570</v>
      </c>
      <c r="C608" s="13" t="s">
        <v>250</v>
      </c>
      <c r="D608" s="13" t="s">
        <v>191</v>
      </c>
      <c r="E608" s="13" t="s">
        <v>252</v>
      </c>
      <c r="F608" s="15">
        <v>6</v>
      </c>
      <c r="G608" s="15">
        <v>5100</v>
      </c>
      <c r="H608" s="15">
        <v>13.2</v>
      </c>
      <c r="I608" s="15">
        <v>26560.799999999999</v>
      </c>
      <c r="J608" s="13" t="s">
        <v>87</v>
      </c>
      <c r="K608" s="13" t="s">
        <v>117</v>
      </c>
      <c r="L608">
        <f>IF(COUNTIF(A$2:A608, A608)=1, IF(COUNTIF(A$2:A$2001, A608)&gt;1, 1, 0), 0)</f>
        <v>0</v>
      </c>
      <c r="M608" t="b">
        <f>VLOOKUP(D608, Products!A$2:F$61, 6, FALSE)</f>
        <v>1</v>
      </c>
      <c r="N608" t="str">
        <f>VLOOKUP(D608, Products!A$2:C$61, 3, FALSE)</f>
        <v>Beauty</v>
      </c>
      <c r="O608" t="str">
        <f>VLOOKUP(C608, Customers!A$2:E$301, 5, FALSE)</f>
        <v>SMB</v>
      </c>
      <c r="P608">
        <f>VLOOKUP(C608, Customers!A$2:C$301, 3, FALSE)</f>
        <v>34</v>
      </c>
      <c r="Q608" t="str">
        <f>VLOOKUP(E608, Sales_Reps!A$2:C$31, 3, FALSE)</f>
        <v>South</v>
      </c>
      <c r="R608">
        <f>VLOOKUP(D608, Products!A$2:D$61, 4, FALSE)</f>
        <v>2237</v>
      </c>
    </row>
    <row r="609" spans="1:18" x14ac:dyDescent="0.3">
      <c r="A609" s="13" t="s">
        <v>1064</v>
      </c>
      <c r="B609" s="14">
        <v>45474</v>
      </c>
      <c r="C609" s="13" t="s">
        <v>1065</v>
      </c>
      <c r="D609" s="13" t="s">
        <v>135</v>
      </c>
      <c r="E609" s="13" t="s">
        <v>343</v>
      </c>
      <c r="F609" s="15">
        <v>6</v>
      </c>
      <c r="G609" s="15">
        <v>2640</v>
      </c>
      <c r="H609" s="15">
        <v>26.2</v>
      </c>
      <c r="I609" s="15">
        <v>11689.92</v>
      </c>
      <c r="J609" s="13" t="s">
        <v>87</v>
      </c>
      <c r="K609" s="13" t="s">
        <v>94</v>
      </c>
      <c r="L609">
        <f>IF(COUNTIF(A$2:A609, A609)=1, IF(COUNTIF(A$2:A$2001, A609)&gt;1, 1, 0), 0)</f>
        <v>0</v>
      </c>
      <c r="M609" t="b">
        <f>VLOOKUP(D609, Products!A$2:F$61, 6, FALSE)</f>
        <v>1</v>
      </c>
      <c r="N609" t="str">
        <f>VLOOKUP(D609, Products!A$2:C$61, 3, FALSE)</f>
        <v>Electronics</v>
      </c>
      <c r="O609" t="str">
        <f>VLOOKUP(C609, Customers!A$2:E$301, 5, FALSE)</f>
        <v>Retail</v>
      </c>
      <c r="P609">
        <f>VLOOKUP(C609, Customers!A$2:C$301, 3, FALSE)</f>
        <v>49</v>
      </c>
      <c r="Q609" t="str">
        <f>VLOOKUP(E609, Sales_Reps!A$2:C$31, 3, FALSE)</f>
        <v>West</v>
      </c>
      <c r="R609">
        <f>VLOOKUP(D609, Products!A$2:D$61, 4, FALSE)</f>
        <v>1149</v>
      </c>
    </row>
    <row r="610" spans="1:18" x14ac:dyDescent="0.3">
      <c r="A610" s="13" t="s">
        <v>1066</v>
      </c>
      <c r="B610" s="14">
        <v>45524</v>
      </c>
      <c r="C610" s="13" t="s">
        <v>597</v>
      </c>
      <c r="D610" s="13" t="s">
        <v>102</v>
      </c>
      <c r="E610" s="13" t="s">
        <v>346</v>
      </c>
      <c r="F610" s="15">
        <v>1</v>
      </c>
      <c r="G610" s="15">
        <v>3660</v>
      </c>
      <c r="H610" s="15">
        <v>19.7</v>
      </c>
      <c r="I610" s="15">
        <v>2938.98</v>
      </c>
      <c r="J610" s="13" t="s">
        <v>87</v>
      </c>
      <c r="K610" s="13" t="s">
        <v>112</v>
      </c>
      <c r="L610">
        <f>IF(COUNTIF(A$2:A610, A610)=1, IF(COUNTIF(A$2:A$2001, A610)&gt;1, 1, 0), 0)</f>
        <v>0</v>
      </c>
      <c r="M610" t="b">
        <f>VLOOKUP(D610, Products!A$2:F$61, 6, FALSE)</f>
        <v>0</v>
      </c>
      <c r="N610" t="str">
        <f>VLOOKUP(D610, Products!A$2:C$61, 3, FALSE)</f>
        <v>Grocery</v>
      </c>
      <c r="O610" t="str">
        <f>VLOOKUP(C610, Customers!A$2:E$301, 5, FALSE)</f>
        <v>Retail</v>
      </c>
      <c r="P610">
        <f>VLOOKUP(C610, Customers!A$2:C$301, 3, FALSE)</f>
        <v>39</v>
      </c>
      <c r="Q610" t="str">
        <f>VLOOKUP(E610, Sales_Reps!A$2:C$31, 3, FALSE)</f>
        <v>South</v>
      </c>
      <c r="R610">
        <f>VLOOKUP(D610, Products!A$2:D$61, 4, FALSE)</f>
        <v>2214</v>
      </c>
    </row>
    <row r="611" spans="1:18" x14ac:dyDescent="0.3">
      <c r="A611" s="13" t="s">
        <v>1067</v>
      </c>
      <c r="B611" s="14">
        <v>45468</v>
      </c>
      <c r="C611" s="13" t="s">
        <v>613</v>
      </c>
      <c r="D611" s="13" t="s">
        <v>110</v>
      </c>
      <c r="E611" s="13" t="s">
        <v>343</v>
      </c>
      <c r="F611" s="15">
        <v>5</v>
      </c>
      <c r="G611" s="15">
        <v>370</v>
      </c>
      <c r="H611" s="15">
        <v>21.7</v>
      </c>
      <c r="I611" s="15">
        <v>1448.55</v>
      </c>
      <c r="J611" s="13" t="s">
        <v>87</v>
      </c>
      <c r="K611" s="13" t="s">
        <v>112</v>
      </c>
      <c r="L611">
        <f>IF(COUNTIF(A$2:A611, A611)=1, IF(COUNTIF(A$2:A$2001, A611)&gt;1, 1, 0), 0)</f>
        <v>0</v>
      </c>
      <c r="M611" t="b">
        <f>VLOOKUP(D611, Products!A$2:F$61, 6, FALSE)</f>
        <v>1</v>
      </c>
      <c r="N611" t="str">
        <f>VLOOKUP(D611, Products!A$2:C$61, 3, FALSE)</f>
        <v>Home</v>
      </c>
      <c r="O611" t="str">
        <f>VLOOKUP(C611, Customers!A$2:E$301, 5, FALSE)</f>
        <v>Retail</v>
      </c>
      <c r="P611">
        <f>VLOOKUP(C611, Customers!A$2:C$301, 3, FALSE)</f>
        <v>44</v>
      </c>
      <c r="Q611" t="str">
        <f>VLOOKUP(E611, Sales_Reps!A$2:C$31, 3, FALSE)</f>
        <v>West</v>
      </c>
      <c r="R611">
        <f>VLOOKUP(D611, Products!A$2:D$61, 4, FALSE)</f>
        <v>288</v>
      </c>
    </row>
    <row r="612" spans="1:18" x14ac:dyDescent="0.3">
      <c r="A612" s="13" t="s">
        <v>1068</v>
      </c>
      <c r="B612" s="14">
        <v>45336</v>
      </c>
      <c r="C612" s="13" t="s">
        <v>394</v>
      </c>
      <c r="D612" s="13" t="s">
        <v>292</v>
      </c>
      <c r="E612" s="13" t="s">
        <v>111</v>
      </c>
      <c r="F612" s="15">
        <v>5</v>
      </c>
      <c r="G612" s="15">
        <v>620</v>
      </c>
      <c r="H612" s="15">
        <v>10.199999999999999</v>
      </c>
      <c r="I612" s="15">
        <v>2783.8</v>
      </c>
      <c r="J612" s="13" t="s">
        <v>87</v>
      </c>
      <c r="K612" s="13" t="s">
        <v>117</v>
      </c>
      <c r="L612">
        <f>IF(COUNTIF(A$2:A612, A612)=1, IF(COUNTIF(A$2:A$2001, A612)&gt;1, 1, 0), 0)</f>
        <v>0</v>
      </c>
      <c r="M612" t="b">
        <f>VLOOKUP(D612, Products!A$2:F$61, 6, FALSE)</f>
        <v>1</v>
      </c>
      <c r="N612" t="str">
        <f>VLOOKUP(D612, Products!A$2:C$61, 3, FALSE)</f>
        <v>Apparel</v>
      </c>
      <c r="O612" t="str">
        <f>VLOOKUP(C612, Customers!A$2:E$301, 5, FALSE)</f>
        <v>SMB</v>
      </c>
      <c r="P612">
        <f>VLOOKUP(C612, Customers!A$2:C$301, 3, FALSE)</f>
        <v>28</v>
      </c>
      <c r="Q612" t="str">
        <f>VLOOKUP(E612, Sales_Reps!A$2:C$31, 3, FALSE)</f>
        <v>West</v>
      </c>
      <c r="R612">
        <f>VLOOKUP(D612, Products!A$2:D$61, 4, FALSE)</f>
        <v>396</v>
      </c>
    </row>
    <row r="613" spans="1:18" x14ac:dyDescent="0.3">
      <c r="A613" s="13" t="s">
        <v>1069</v>
      </c>
      <c r="B613" s="14">
        <v>45392</v>
      </c>
      <c r="C613" s="13" t="s">
        <v>697</v>
      </c>
      <c r="D613" s="13" t="s">
        <v>97</v>
      </c>
      <c r="E613" s="13" t="s">
        <v>303</v>
      </c>
      <c r="F613" s="15">
        <v>8</v>
      </c>
      <c r="G613" s="15">
        <v>470</v>
      </c>
      <c r="H613" s="15">
        <v>2.4</v>
      </c>
      <c r="I613" s="15">
        <v>3669.76</v>
      </c>
      <c r="J613" s="13" t="s">
        <v>87</v>
      </c>
      <c r="K613" s="13" t="s">
        <v>133</v>
      </c>
      <c r="L613">
        <f>IF(COUNTIF(A$2:A613, A613)=1, IF(COUNTIF(A$2:A$2001, A613)&gt;1, 1, 0), 0)</f>
        <v>0</v>
      </c>
      <c r="M613" t="b">
        <f>VLOOKUP(D613, Products!A$2:F$61, 6, FALSE)</f>
        <v>0</v>
      </c>
      <c r="N613" t="str">
        <f>VLOOKUP(D613, Products!A$2:C$61, 3, FALSE)</f>
        <v>Sports</v>
      </c>
      <c r="O613" t="str">
        <f>VLOOKUP(C613, Customers!A$2:E$301, 5, FALSE)</f>
        <v>Retail</v>
      </c>
      <c r="P613">
        <f>VLOOKUP(C613, Customers!A$2:C$301, 3, FALSE)</f>
        <v>65</v>
      </c>
      <c r="Q613" t="str">
        <f>VLOOKUP(E613, Sales_Reps!A$2:C$31, 3, FALSE)</f>
        <v>East</v>
      </c>
      <c r="R613">
        <f>VLOOKUP(D613, Products!A$2:D$61, 4, FALSE)</f>
        <v>302</v>
      </c>
    </row>
    <row r="614" spans="1:18" x14ac:dyDescent="0.3">
      <c r="A614" s="13" t="s">
        <v>1070</v>
      </c>
      <c r="B614" s="14">
        <v>45610</v>
      </c>
      <c r="C614" s="13" t="s">
        <v>626</v>
      </c>
      <c r="D614" s="13" t="s">
        <v>386</v>
      </c>
      <c r="E614" s="13" t="s">
        <v>92</v>
      </c>
      <c r="F614" s="15">
        <v>3</v>
      </c>
      <c r="G614" s="15">
        <v>2290</v>
      </c>
      <c r="H614" s="15">
        <v>20.8</v>
      </c>
      <c r="I614" s="15">
        <v>5441.04</v>
      </c>
      <c r="J614" s="13" t="s">
        <v>87</v>
      </c>
      <c r="K614" s="13" t="s">
        <v>99</v>
      </c>
      <c r="L614">
        <f>IF(COUNTIF(A$2:A614, A614)=1, IF(COUNTIF(A$2:A$2001, A614)&gt;1, 1, 0), 0)</f>
        <v>1</v>
      </c>
      <c r="M614" t="b">
        <f>VLOOKUP(D614, Products!A$2:F$61, 6, FALSE)</f>
        <v>1</v>
      </c>
      <c r="N614" t="str">
        <f>VLOOKUP(D614, Products!A$2:C$61, 3, FALSE)</f>
        <v>Beauty</v>
      </c>
      <c r="O614" t="str">
        <f>VLOOKUP(C614, Customers!A$2:E$301, 5, FALSE)</f>
        <v>Retail</v>
      </c>
      <c r="P614">
        <f>VLOOKUP(C614, Customers!A$2:C$301, 3, FALSE)</f>
        <v>40</v>
      </c>
      <c r="Q614" t="str">
        <f>VLOOKUP(E614, Sales_Reps!A$2:C$31, 3, FALSE)</f>
        <v>North</v>
      </c>
      <c r="R614">
        <f>VLOOKUP(D614, Products!A$2:D$61, 4, FALSE)</f>
        <v>1219</v>
      </c>
    </row>
    <row r="615" spans="1:18" x14ac:dyDescent="0.3">
      <c r="A615" s="13" t="s">
        <v>1071</v>
      </c>
      <c r="B615" s="14">
        <v>45297</v>
      </c>
      <c r="C615" s="13" t="s">
        <v>1072</v>
      </c>
      <c r="D615" s="13" t="s">
        <v>115</v>
      </c>
      <c r="E615" s="13" t="s">
        <v>116</v>
      </c>
      <c r="F615" s="15">
        <v>4</v>
      </c>
      <c r="G615" s="15">
        <v>960</v>
      </c>
      <c r="H615" s="15">
        <v>28.8</v>
      </c>
      <c r="I615" s="15">
        <v>2734.08</v>
      </c>
      <c r="J615" s="13" t="s">
        <v>93</v>
      </c>
      <c r="K615" s="13" t="s">
        <v>112</v>
      </c>
      <c r="L615">
        <f>IF(COUNTIF(A$2:A615, A615)=1, IF(COUNTIF(A$2:A$2001, A615)&gt;1, 1, 0), 0)</f>
        <v>0</v>
      </c>
      <c r="M615" t="b">
        <f>VLOOKUP(D615, Products!A$2:F$61, 6, FALSE)</f>
        <v>1</v>
      </c>
      <c r="N615" t="str">
        <f>VLOOKUP(D615, Products!A$2:C$61, 3, FALSE)</f>
        <v>Sports</v>
      </c>
      <c r="O615" t="str">
        <f>VLOOKUP(C615, Customers!A$2:E$301, 5, FALSE)</f>
        <v>SMB</v>
      </c>
      <c r="P615">
        <f>VLOOKUP(C615, Customers!A$2:C$301, 3, FALSE)</f>
        <v>53</v>
      </c>
      <c r="Q615" t="str">
        <f>VLOOKUP(E615, Sales_Reps!A$2:C$31, 3, FALSE)</f>
        <v>West</v>
      </c>
      <c r="R615">
        <f>VLOOKUP(D615, Products!A$2:D$61, 4, FALSE)</f>
        <v>705</v>
      </c>
    </row>
    <row r="616" spans="1:18" x14ac:dyDescent="0.3">
      <c r="A616" s="13" t="s">
        <v>1073</v>
      </c>
      <c r="B616" s="14">
        <v>45558</v>
      </c>
      <c r="C616" s="13" t="s">
        <v>442</v>
      </c>
      <c r="D616" s="13" t="s">
        <v>102</v>
      </c>
      <c r="E616" s="13" t="s">
        <v>132</v>
      </c>
      <c r="F616" s="15">
        <v>5</v>
      </c>
      <c r="G616" s="15">
        <v>3660</v>
      </c>
      <c r="H616" s="15">
        <v>11.9</v>
      </c>
      <c r="I616" s="15">
        <v>16122.3</v>
      </c>
      <c r="J616" s="13" t="s">
        <v>93</v>
      </c>
      <c r="K616" s="13" t="s">
        <v>88</v>
      </c>
      <c r="L616">
        <f>IF(COUNTIF(A$2:A616, A616)=1, IF(COUNTIF(A$2:A$2001, A616)&gt;1, 1, 0), 0)</f>
        <v>0</v>
      </c>
      <c r="M616" t="b">
        <f>VLOOKUP(D616, Products!A$2:F$61, 6, FALSE)</f>
        <v>0</v>
      </c>
      <c r="N616" t="str">
        <f>VLOOKUP(D616, Products!A$2:C$61, 3, FALSE)</f>
        <v>Grocery</v>
      </c>
      <c r="O616" t="str">
        <f>VLOOKUP(C616, Customers!A$2:E$301, 5, FALSE)</f>
        <v>Retail</v>
      </c>
      <c r="P616">
        <f>VLOOKUP(C616, Customers!A$2:C$301, 3, FALSE)</f>
        <v>65</v>
      </c>
      <c r="Q616" t="str">
        <f>VLOOKUP(E616, Sales_Reps!A$2:C$31, 3, FALSE)</f>
        <v>South</v>
      </c>
      <c r="R616">
        <f>VLOOKUP(D616, Products!A$2:D$61, 4, FALSE)</f>
        <v>2214</v>
      </c>
    </row>
    <row r="617" spans="1:18" x14ac:dyDescent="0.3">
      <c r="A617" s="13" t="s">
        <v>1074</v>
      </c>
      <c r="B617" s="14">
        <v>45487</v>
      </c>
      <c r="C617" s="13" t="s">
        <v>333</v>
      </c>
      <c r="D617" s="13" t="s">
        <v>187</v>
      </c>
      <c r="E617" s="13" t="s">
        <v>121</v>
      </c>
      <c r="F617" s="15">
        <v>5</v>
      </c>
      <c r="G617" s="15">
        <v>3570</v>
      </c>
      <c r="H617" s="15">
        <v>12.4</v>
      </c>
      <c r="I617" s="15">
        <v>15636.6</v>
      </c>
      <c r="J617" s="13" t="s">
        <v>87</v>
      </c>
      <c r="K617" s="13" t="s">
        <v>133</v>
      </c>
      <c r="L617">
        <f>IF(COUNTIF(A$2:A617, A617)=1, IF(COUNTIF(A$2:A$2001, A617)&gt;1, 1, 0), 0)</f>
        <v>0</v>
      </c>
      <c r="M617" t="b">
        <f>VLOOKUP(D617, Products!A$2:F$61, 6, FALSE)</f>
        <v>1</v>
      </c>
      <c r="N617" t="str">
        <f>VLOOKUP(D617, Products!A$2:C$61, 3, FALSE)</f>
        <v>Electronics</v>
      </c>
      <c r="O617" t="str">
        <f>VLOOKUP(C617, Customers!A$2:E$301, 5, FALSE)</f>
        <v>SMB</v>
      </c>
      <c r="P617">
        <f>VLOOKUP(C617, Customers!A$2:C$301, 3, FALSE)</f>
        <v>65</v>
      </c>
      <c r="Q617" t="str">
        <f>VLOOKUP(E617, Sales_Reps!A$2:C$31, 3, FALSE)</f>
        <v>East</v>
      </c>
      <c r="R617">
        <f>VLOOKUP(D617, Products!A$2:D$61, 4, FALSE)</f>
        <v>1665</v>
      </c>
    </row>
    <row r="618" spans="1:18" x14ac:dyDescent="0.3">
      <c r="A618" s="13" t="s">
        <v>1075</v>
      </c>
      <c r="B618" s="14">
        <v>45307</v>
      </c>
      <c r="C618" s="13" t="s">
        <v>109</v>
      </c>
      <c r="D618" s="13" t="s">
        <v>295</v>
      </c>
      <c r="E618" s="13" t="s">
        <v>238</v>
      </c>
      <c r="F618" s="15">
        <v>9</v>
      </c>
      <c r="G618" s="15">
        <v>2030</v>
      </c>
      <c r="H618" s="15">
        <v>23.4</v>
      </c>
      <c r="I618" s="15">
        <v>13994.82</v>
      </c>
      <c r="J618" s="13" t="s">
        <v>87</v>
      </c>
      <c r="K618" s="13" t="s">
        <v>112</v>
      </c>
      <c r="L618">
        <f>IF(COUNTIF(A$2:A618, A618)=1, IF(COUNTIF(A$2:A$2001, A618)&gt;1, 1, 0), 0)</f>
        <v>0</v>
      </c>
      <c r="M618" t="b">
        <f>VLOOKUP(D618, Products!A$2:F$61, 6, FALSE)</f>
        <v>1</v>
      </c>
      <c r="N618" t="str">
        <f>VLOOKUP(D618, Products!A$2:C$61, 3, FALSE)</f>
        <v>Home</v>
      </c>
      <c r="O618" t="str">
        <f>VLOOKUP(C618, Customers!A$2:E$301, 5, FALSE)</f>
        <v>Retail</v>
      </c>
      <c r="P618">
        <f>VLOOKUP(C618, Customers!A$2:C$301, 3, FALSE)</f>
        <v>36</v>
      </c>
      <c r="Q618" t="str">
        <f>VLOOKUP(E618, Sales_Reps!A$2:C$31, 3, FALSE)</f>
        <v>East</v>
      </c>
      <c r="R618">
        <f>VLOOKUP(D618, Products!A$2:D$61, 4, FALSE)</f>
        <v>1143</v>
      </c>
    </row>
    <row r="619" spans="1:18" x14ac:dyDescent="0.3">
      <c r="A619" s="13" t="s">
        <v>1076</v>
      </c>
      <c r="B619" s="14">
        <v>45328</v>
      </c>
      <c r="C619" s="13" t="s">
        <v>194</v>
      </c>
      <c r="D619" s="13" t="s">
        <v>173</v>
      </c>
      <c r="E619" s="13" t="s">
        <v>116</v>
      </c>
      <c r="F619" s="15">
        <v>7</v>
      </c>
      <c r="G619" s="15">
        <v>2720</v>
      </c>
      <c r="H619" s="15">
        <v>11.2</v>
      </c>
      <c r="I619" s="15">
        <v>16907.52</v>
      </c>
      <c r="J619" s="13" t="s">
        <v>144</v>
      </c>
      <c r="K619" s="13" t="s">
        <v>88</v>
      </c>
      <c r="L619">
        <f>IF(COUNTIF(A$2:A619, A619)=1, IF(COUNTIF(A$2:A$2001, A619)&gt;1, 1, 0), 0)</f>
        <v>0</v>
      </c>
      <c r="M619" t="b">
        <f>VLOOKUP(D619, Products!A$2:F$61, 6, FALSE)</f>
        <v>1</v>
      </c>
      <c r="N619" t="str">
        <f>VLOOKUP(D619, Products!A$2:C$61, 3, FALSE)</f>
        <v>Apparel</v>
      </c>
      <c r="O619" t="str">
        <f>VLOOKUP(C619, Customers!A$2:E$301, 5, FALSE)</f>
        <v>SMB</v>
      </c>
      <c r="P619">
        <f>VLOOKUP(C619, Customers!A$2:C$301, 3, FALSE)</f>
        <v>44</v>
      </c>
      <c r="Q619" t="str">
        <f>VLOOKUP(E619, Sales_Reps!A$2:C$31, 3, FALSE)</f>
        <v>West</v>
      </c>
      <c r="R619">
        <f>VLOOKUP(D619, Products!A$2:D$61, 4, FALSE)</f>
        <v>1962</v>
      </c>
    </row>
    <row r="620" spans="1:18" x14ac:dyDescent="0.3">
      <c r="A620" s="13" t="s">
        <v>1077</v>
      </c>
      <c r="B620" s="14">
        <v>45627</v>
      </c>
      <c r="C620" s="13" t="s">
        <v>729</v>
      </c>
      <c r="D620" s="13" t="s">
        <v>187</v>
      </c>
      <c r="E620" s="13" t="s">
        <v>107</v>
      </c>
      <c r="F620" s="15">
        <v>2</v>
      </c>
      <c r="G620" s="15">
        <v>3570</v>
      </c>
      <c r="H620" s="15">
        <v>6.1</v>
      </c>
      <c r="I620" s="15">
        <v>6704.46</v>
      </c>
      <c r="J620" s="13" t="s">
        <v>140</v>
      </c>
      <c r="K620" s="13" t="s">
        <v>112</v>
      </c>
      <c r="L620">
        <f>IF(COUNTIF(A$2:A620, A620)=1, IF(COUNTIF(A$2:A$2001, A620)&gt;1, 1, 0), 0)</f>
        <v>0</v>
      </c>
      <c r="M620" t="b">
        <f>VLOOKUP(D620, Products!A$2:F$61, 6, FALSE)</f>
        <v>1</v>
      </c>
      <c r="N620" t="str">
        <f>VLOOKUP(D620, Products!A$2:C$61, 3, FALSE)</f>
        <v>Electronics</v>
      </c>
      <c r="O620" t="str">
        <f>VLOOKUP(C620, Customers!A$2:E$301, 5, FALSE)</f>
        <v>Retail</v>
      </c>
      <c r="P620">
        <f>VLOOKUP(C620, Customers!A$2:C$301, 3, FALSE)</f>
        <v>56</v>
      </c>
      <c r="Q620" t="str">
        <f>VLOOKUP(E620, Sales_Reps!A$2:C$31, 3, FALSE)</f>
        <v>North</v>
      </c>
      <c r="R620">
        <f>VLOOKUP(D620, Products!A$2:D$61, 4, FALSE)</f>
        <v>1665</v>
      </c>
    </row>
    <row r="621" spans="1:18" x14ac:dyDescent="0.3">
      <c r="A621" s="13" t="s">
        <v>1078</v>
      </c>
      <c r="B621" s="14">
        <v>45574</v>
      </c>
      <c r="C621" s="13" t="s">
        <v>816</v>
      </c>
      <c r="D621" s="13" t="s">
        <v>151</v>
      </c>
      <c r="E621" s="13" t="s">
        <v>215</v>
      </c>
      <c r="F621" s="15">
        <v>5</v>
      </c>
      <c r="G621" s="15">
        <v>2400</v>
      </c>
      <c r="H621" s="15">
        <v>16.100000000000001</v>
      </c>
      <c r="I621" s="15">
        <v>10068</v>
      </c>
      <c r="J621" s="13" t="s">
        <v>87</v>
      </c>
      <c r="K621" s="13" t="s">
        <v>88</v>
      </c>
      <c r="L621">
        <f>IF(COUNTIF(A$2:A621, A621)=1, IF(COUNTIF(A$2:A$2001, A621)&gt;1, 1, 0), 0)</f>
        <v>0</v>
      </c>
      <c r="M621" t="b">
        <f>VLOOKUP(D621, Products!A$2:F$61, 6, FALSE)</f>
        <v>1</v>
      </c>
      <c r="N621" t="str">
        <f>VLOOKUP(D621, Products!A$2:C$61, 3, FALSE)</f>
        <v>Sports</v>
      </c>
      <c r="O621" t="str">
        <f>VLOOKUP(C621, Customers!A$2:E$301, 5, FALSE)</f>
        <v>Retail</v>
      </c>
      <c r="P621">
        <f>VLOOKUP(C621, Customers!A$2:C$301, 3, FALSE)</f>
        <v>36</v>
      </c>
      <c r="Q621" t="str">
        <f>VLOOKUP(E621, Sales_Reps!A$2:C$31, 3, FALSE)</f>
        <v>North</v>
      </c>
      <c r="R621">
        <f>VLOOKUP(D621, Products!A$2:D$61, 4, FALSE)</f>
        <v>974</v>
      </c>
    </row>
    <row r="622" spans="1:18" x14ac:dyDescent="0.3">
      <c r="A622" s="13" t="s">
        <v>1079</v>
      </c>
      <c r="B622" s="14">
        <v>45592</v>
      </c>
      <c r="C622" s="13" t="s">
        <v>1072</v>
      </c>
      <c r="D622" s="13" t="s">
        <v>131</v>
      </c>
      <c r="E622" s="13" t="s">
        <v>297</v>
      </c>
      <c r="F622" s="15">
        <v>4</v>
      </c>
      <c r="G622" s="15">
        <v>2270</v>
      </c>
      <c r="H622" s="15">
        <v>27.5</v>
      </c>
      <c r="I622" s="15">
        <v>6583</v>
      </c>
      <c r="J622" s="13" t="s">
        <v>93</v>
      </c>
      <c r="K622" s="13" t="s">
        <v>112</v>
      </c>
      <c r="L622">
        <f>IF(COUNTIF(A$2:A622, A622)=1, IF(COUNTIF(A$2:A$2001, A622)&gt;1, 1, 0), 0)</f>
        <v>0</v>
      </c>
      <c r="M622" t="b">
        <f>VLOOKUP(D622, Products!A$2:F$61, 6, FALSE)</f>
        <v>1</v>
      </c>
      <c r="N622" t="str">
        <f>VLOOKUP(D622, Products!A$2:C$61, 3, FALSE)</f>
        <v>Grocery</v>
      </c>
      <c r="O622" t="str">
        <f>VLOOKUP(C622, Customers!A$2:E$301, 5, FALSE)</f>
        <v>SMB</v>
      </c>
      <c r="P622">
        <f>VLOOKUP(C622, Customers!A$2:C$301, 3, FALSE)</f>
        <v>53</v>
      </c>
      <c r="Q622" t="str">
        <f>VLOOKUP(E622, Sales_Reps!A$2:C$31, 3, FALSE)</f>
        <v>North</v>
      </c>
      <c r="R622">
        <f>VLOOKUP(D622, Products!A$2:D$61, 4, FALSE)</f>
        <v>1203</v>
      </c>
    </row>
    <row r="623" spans="1:18" x14ac:dyDescent="0.3">
      <c r="A623" s="13" t="s">
        <v>1080</v>
      </c>
      <c r="B623" s="14">
        <v>45509</v>
      </c>
      <c r="C623" s="13" t="s">
        <v>101</v>
      </c>
      <c r="D623" s="13" t="s">
        <v>127</v>
      </c>
      <c r="E623" s="13" t="s">
        <v>325</v>
      </c>
      <c r="F623" s="15">
        <v>1</v>
      </c>
      <c r="G623" s="15">
        <v>970</v>
      </c>
      <c r="H623" s="15">
        <v>12.7</v>
      </c>
      <c r="I623" s="15">
        <v>846.81</v>
      </c>
      <c r="J623" s="13" t="s">
        <v>87</v>
      </c>
      <c r="K623" s="13" t="s">
        <v>99</v>
      </c>
      <c r="L623">
        <f>IF(COUNTIF(A$2:A623, A623)=1, IF(COUNTIF(A$2:A$2001, A623)&gt;1, 1, 0), 0)</f>
        <v>0</v>
      </c>
      <c r="M623" t="b">
        <f>VLOOKUP(D623, Products!A$2:F$61, 6, FALSE)</f>
        <v>1</v>
      </c>
      <c r="N623" t="str">
        <f>VLOOKUP(D623, Products!A$2:C$61, 3, FALSE)</f>
        <v>Grocery</v>
      </c>
      <c r="O623" t="str">
        <f>VLOOKUP(C623, Customers!A$2:E$301, 5, FALSE)</f>
        <v>Corporate</v>
      </c>
      <c r="P623">
        <f>VLOOKUP(C623, Customers!A$2:C$301, 3, FALSE)</f>
        <v>46</v>
      </c>
      <c r="Q623" t="str">
        <f>VLOOKUP(E623, Sales_Reps!A$2:C$31, 3, FALSE)</f>
        <v>South</v>
      </c>
      <c r="R623">
        <f>VLOOKUP(D623, Products!A$2:D$61, 4, FALSE)</f>
        <v>434</v>
      </c>
    </row>
    <row r="624" spans="1:18" x14ac:dyDescent="0.3">
      <c r="A624" s="13" t="s">
        <v>1081</v>
      </c>
      <c r="B624" s="14">
        <v>45307</v>
      </c>
      <c r="C624" s="13" t="s">
        <v>469</v>
      </c>
      <c r="D624" s="13" t="s">
        <v>515</v>
      </c>
      <c r="E624" s="13" t="s">
        <v>303</v>
      </c>
      <c r="F624" s="15">
        <v>5</v>
      </c>
      <c r="G624" s="15">
        <v>6940</v>
      </c>
      <c r="H624" s="15">
        <v>16.2</v>
      </c>
      <c r="I624" s="15">
        <v>29078.6</v>
      </c>
      <c r="J624" s="13" t="s">
        <v>87</v>
      </c>
      <c r="K624" s="13" t="s">
        <v>117</v>
      </c>
      <c r="L624">
        <f>IF(COUNTIF(A$2:A624, A624)=1, IF(COUNTIF(A$2:A$2001, A624)&gt;1, 1, 0), 0)</f>
        <v>0</v>
      </c>
      <c r="M624" t="b">
        <f>VLOOKUP(D624, Products!A$2:F$61, 6, FALSE)</f>
        <v>1</v>
      </c>
      <c r="N624" t="str">
        <f>VLOOKUP(D624, Products!A$2:C$61, 3, FALSE)</f>
        <v>Sports</v>
      </c>
      <c r="O624" t="str">
        <f>VLOOKUP(C624, Customers!A$2:E$301, 5, FALSE)</f>
        <v>SMB</v>
      </c>
      <c r="P624">
        <f>VLOOKUP(C624, Customers!A$2:C$301, 3, FALSE)</f>
        <v>43</v>
      </c>
      <c r="Q624" t="str">
        <f>VLOOKUP(E624, Sales_Reps!A$2:C$31, 3, FALSE)</f>
        <v>East</v>
      </c>
      <c r="R624">
        <f>VLOOKUP(D624, Products!A$2:D$61, 4, FALSE)</f>
        <v>2827</v>
      </c>
    </row>
    <row r="625" spans="1:18" x14ac:dyDescent="0.3">
      <c r="A625" s="13" t="s">
        <v>1082</v>
      </c>
      <c r="B625" s="14">
        <v>45586</v>
      </c>
      <c r="C625" s="13" t="s">
        <v>199</v>
      </c>
      <c r="D625" s="13" t="s">
        <v>515</v>
      </c>
      <c r="E625" s="13" t="s">
        <v>204</v>
      </c>
      <c r="F625" s="15">
        <v>4</v>
      </c>
      <c r="G625" s="15">
        <v>6940</v>
      </c>
      <c r="H625" s="15">
        <v>15.1</v>
      </c>
      <c r="I625" s="15">
        <v>23568.240000000002</v>
      </c>
      <c r="J625" s="13" t="s">
        <v>87</v>
      </c>
      <c r="K625" s="13" t="s">
        <v>133</v>
      </c>
      <c r="L625">
        <f>IF(COUNTIF(A$2:A625, A625)=1, IF(COUNTIF(A$2:A$2001, A625)&gt;1, 1, 0), 0)</f>
        <v>0</v>
      </c>
      <c r="M625" t="b">
        <f>VLOOKUP(D625, Products!A$2:F$61, 6, FALSE)</f>
        <v>1</v>
      </c>
      <c r="N625" t="str">
        <f>VLOOKUP(D625, Products!A$2:C$61, 3, FALSE)</f>
        <v>Sports</v>
      </c>
      <c r="O625" t="str">
        <f>VLOOKUP(C625, Customers!A$2:E$301, 5, FALSE)</f>
        <v>Retail</v>
      </c>
      <c r="P625">
        <f>VLOOKUP(C625, Customers!A$2:C$301, 3, FALSE)</f>
        <v>53</v>
      </c>
      <c r="Q625" t="str">
        <f>VLOOKUP(E625, Sales_Reps!A$2:C$31, 3, FALSE)</f>
        <v>South</v>
      </c>
      <c r="R625">
        <f>VLOOKUP(D625, Products!A$2:D$61, 4, FALSE)</f>
        <v>2827</v>
      </c>
    </row>
    <row r="626" spans="1:18" x14ac:dyDescent="0.3">
      <c r="A626" s="13" t="s">
        <v>1083</v>
      </c>
      <c r="B626" s="14">
        <v>45587</v>
      </c>
      <c r="C626" s="13" t="s">
        <v>340</v>
      </c>
      <c r="D626" s="13" t="s">
        <v>182</v>
      </c>
      <c r="E626" s="13" t="s">
        <v>103</v>
      </c>
      <c r="F626" s="15">
        <v>1</v>
      </c>
      <c r="G626" s="15">
        <v>1010</v>
      </c>
      <c r="H626" s="15">
        <v>1.7</v>
      </c>
      <c r="I626" s="15">
        <v>992.83</v>
      </c>
      <c r="J626" s="13" t="s">
        <v>87</v>
      </c>
      <c r="K626" s="13" t="s">
        <v>88</v>
      </c>
      <c r="L626">
        <f>IF(COUNTIF(A$2:A626, A626)=1, IF(COUNTIF(A$2:A$2001, A626)&gt;1, 1, 0), 0)</f>
        <v>0</v>
      </c>
      <c r="M626" t="b">
        <f>VLOOKUP(D626, Products!A$2:F$61, 6, FALSE)</f>
        <v>1</v>
      </c>
      <c r="N626" t="str">
        <f>VLOOKUP(D626, Products!A$2:C$61, 3, FALSE)</f>
        <v>Sports</v>
      </c>
      <c r="O626" t="str">
        <f>VLOOKUP(C626, Customers!A$2:E$301, 5, FALSE)</f>
        <v>Retail</v>
      </c>
      <c r="P626">
        <f>VLOOKUP(C626, Customers!A$2:C$301, 3, FALSE)</f>
        <v>25</v>
      </c>
      <c r="Q626" t="str">
        <f>VLOOKUP(E626, Sales_Reps!A$2:C$31, 3, FALSE)</f>
        <v>North</v>
      </c>
      <c r="R626">
        <f>VLOOKUP(D626, Products!A$2:D$61, 4, FALSE)</f>
        <v>516</v>
      </c>
    </row>
    <row r="627" spans="1:18" x14ac:dyDescent="0.3">
      <c r="A627" s="13" t="s">
        <v>1084</v>
      </c>
      <c r="B627" s="14">
        <v>45609</v>
      </c>
      <c r="C627" s="13" t="s">
        <v>291</v>
      </c>
      <c r="D627" s="13" t="s">
        <v>248</v>
      </c>
      <c r="E627" s="13" t="s">
        <v>86</v>
      </c>
      <c r="F627" s="15">
        <v>6</v>
      </c>
      <c r="G627" s="15">
        <v>3870</v>
      </c>
      <c r="H627" s="15">
        <v>12.2</v>
      </c>
      <c r="I627" s="15">
        <v>20387.16</v>
      </c>
      <c r="J627" s="13" t="s">
        <v>87</v>
      </c>
      <c r="K627" s="13" t="s">
        <v>99</v>
      </c>
      <c r="L627">
        <f>IF(COUNTIF(A$2:A627, A627)=1, IF(COUNTIF(A$2:A$2001, A627)&gt;1, 1, 0), 0)</f>
        <v>0</v>
      </c>
      <c r="M627" t="b">
        <f>VLOOKUP(D627, Products!A$2:F$61, 6, FALSE)</f>
        <v>1</v>
      </c>
      <c r="N627" t="str">
        <f>VLOOKUP(D627, Products!A$2:C$61, 3, FALSE)</f>
        <v>Electronics</v>
      </c>
      <c r="O627" t="str">
        <f>VLOOKUP(C627, Customers!A$2:E$301, 5, FALSE)</f>
        <v>Retail</v>
      </c>
      <c r="P627">
        <f>VLOOKUP(C627, Customers!A$2:C$301, 3, FALSE)</f>
        <v>35</v>
      </c>
      <c r="Q627" t="str">
        <f>VLOOKUP(E627, Sales_Reps!A$2:C$31, 3, FALSE)</f>
        <v>North</v>
      </c>
      <c r="R627">
        <f>VLOOKUP(D627, Products!A$2:D$61, 4, FALSE)</f>
        <v>1559</v>
      </c>
    </row>
    <row r="628" spans="1:18" x14ac:dyDescent="0.3">
      <c r="A628" s="13" t="s">
        <v>1085</v>
      </c>
      <c r="B628" s="14">
        <v>45316</v>
      </c>
      <c r="C628" s="13" t="s">
        <v>537</v>
      </c>
      <c r="D628" s="13" t="s">
        <v>191</v>
      </c>
      <c r="E628" s="13" t="s">
        <v>273</v>
      </c>
      <c r="F628" s="15">
        <v>9</v>
      </c>
      <c r="G628" s="15">
        <v>5100</v>
      </c>
      <c r="H628" s="15">
        <v>26.4</v>
      </c>
      <c r="I628" s="15">
        <v>33782.400000000001</v>
      </c>
      <c r="J628" s="13" t="s">
        <v>87</v>
      </c>
      <c r="K628" s="13" t="s">
        <v>133</v>
      </c>
      <c r="L628">
        <f>IF(COUNTIF(A$2:A628, A628)=1, IF(COUNTIF(A$2:A$2001, A628)&gt;1, 1, 0), 0)</f>
        <v>0</v>
      </c>
      <c r="M628" t="b">
        <f>VLOOKUP(D628, Products!A$2:F$61, 6, FALSE)</f>
        <v>1</v>
      </c>
      <c r="N628" t="str">
        <f>VLOOKUP(D628, Products!A$2:C$61, 3, FALSE)</f>
        <v>Beauty</v>
      </c>
      <c r="O628" t="str">
        <f>VLOOKUP(C628, Customers!A$2:E$301, 5, FALSE)</f>
        <v>SMB</v>
      </c>
      <c r="P628">
        <f>VLOOKUP(C628, Customers!A$2:C$301, 3, FALSE)</f>
        <v>48</v>
      </c>
      <c r="Q628" t="str">
        <f>VLOOKUP(E628, Sales_Reps!A$2:C$31, 3, FALSE)</f>
        <v>South</v>
      </c>
      <c r="R628">
        <f>VLOOKUP(D628, Products!A$2:D$61, 4, FALSE)</f>
        <v>2237</v>
      </c>
    </row>
    <row r="629" spans="1:18" x14ac:dyDescent="0.3">
      <c r="A629" s="13" t="s">
        <v>1086</v>
      </c>
      <c r="B629" s="14">
        <v>45451</v>
      </c>
      <c r="C629" s="13" t="s">
        <v>948</v>
      </c>
      <c r="D629" s="13" t="s">
        <v>106</v>
      </c>
      <c r="E629" s="13" t="s">
        <v>107</v>
      </c>
      <c r="F629" s="15">
        <v>2</v>
      </c>
      <c r="G629" s="15">
        <v>3160</v>
      </c>
      <c r="H629" s="15">
        <v>13.4</v>
      </c>
      <c r="I629" s="15">
        <v>5473.12</v>
      </c>
      <c r="J629" s="13" t="s">
        <v>144</v>
      </c>
      <c r="K629" s="13" t="s">
        <v>88</v>
      </c>
      <c r="L629">
        <f>IF(COUNTIF(A$2:A629, A629)=1, IF(COUNTIF(A$2:A$2001, A629)&gt;1, 1, 0), 0)</f>
        <v>0</v>
      </c>
      <c r="M629" t="b">
        <f>VLOOKUP(D629, Products!A$2:F$61, 6, FALSE)</f>
        <v>1</v>
      </c>
      <c r="N629" t="str">
        <f>VLOOKUP(D629, Products!A$2:C$61, 3, FALSE)</f>
        <v>Apparel</v>
      </c>
      <c r="O629" t="str">
        <f>VLOOKUP(C629, Customers!A$2:E$301, 5, FALSE)</f>
        <v>Retail</v>
      </c>
      <c r="P629">
        <f>VLOOKUP(C629, Customers!A$2:C$301, 3, FALSE)</f>
        <v>65</v>
      </c>
      <c r="Q629" t="str">
        <f>VLOOKUP(E629, Sales_Reps!A$2:C$31, 3, FALSE)</f>
        <v>North</v>
      </c>
      <c r="R629">
        <f>VLOOKUP(D629, Products!A$2:D$61, 4, FALSE)</f>
        <v>1886</v>
      </c>
    </row>
    <row r="630" spans="1:18" x14ac:dyDescent="0.3">
      <c r="A630" s="13" t="s">
        <v>1087</v>
      </c>
      <c r="B630" s="14">
        <v>45554</v>
      </c>
      <c r="C630" s="13" t="s">
        <v>1027</v>
      </c>
      <c r="D630" s="13" t="s">
        <v>338</v>
      </c>
      <c r="E630" s="13" t="s">
        <v>273</v>
      </c>
      <c r="F630" s="15">
        <v>8</v>
      </c>
      <c r="G630" s="15">
        <v>2210</v>
      </c>
      <c r="H630" s="15">
        <v>26</v>
      </c>
      <c r="I630" s="15">
        <v>13083.2</v>
      </c>
      <c r="J630" s="13" t="s">
        <v>87</v>
      </c>
      <c r="K630" s="13" t="s">
        <v>112</v>
      </c>
      <c r="L630">
        <f>IF(COUNTIF(A$2:A630, A630)=1, IF(COUNTIF(A$2:A$2001, A630)&gt;1, 1, 0), 0)</f>
        <v>0</v>
      </c>
      <c r="M630" t="b">
        <f>VLOOKUP(D630, Products!A$2:F$61, 6, FALSE)</f>
        <v>1</v>
      </c>
      <c r="N630" t="str">
        <f>VLOOKUP(D630, Products!A$2:C$61, 3, FALSE)</f>
        <v>Grocery</v>
      </c>
      <c r="O630" t="str">
        <f>VLOOKUP(C630, Customers!A$2:E$301, 5, FALSE)</f>
        <v>SMB</v>
      </c>
      <c r="P630">
        <f>VLOOKUP(C630, Customers!A$2:C$301, 3, FALSE)</f>
        <v>47</v>
      </c>
      <c r="Q630" t="str">
        <f>VLOOKUP(E630, Sales_Reps!A$2:C$31, 3, FALSE)</f>
        <v>South</v>
      </c>
      <c r="R630">
        <f>VLOOKUP(D630, Products!A$2:D$61, 4, FALSE)</f>
        <v>1010</v>
      </c>
    </row>
    <row r="631" spans="1:18" x14ac:dyDescent="0.3">
      <c r="A631" s="13" t="s">
        <v>1088</v>
      </c>
      <c r="B631" s="14">
        <v>45567</v>
      </c>
      <c r="C631" s="13" t="s">
        <v>399</v>
      </c>
      <c r="D631" s="13" t="s">
        <v>659</v>
      </c>
      <c r="E631" s="13" t="s">
        <v>201</v>
      </c>
      <c r="F631" s="15">
        <v>5</v>
      </c>
      <c r="G631" s="15">
        <v>3560</v>
      </c>
      <c r="H631" s="15">
        <v>15</v>
      </c>
      <c r="I631" s="15">
        <v>15130</v>
      </c>
      <c r="J631" s="13" t="s">
        <v>87</v>
      </c>
      <c r="K631" s="13" t="s">
        <v>99</v>
      </c>
      <c r="L631">
        <f>IF(COUNTIF(A$2:A631, A631)=1, IF(COUNTIF(A$2:A$2001, A631)&gt;1, 1, 0), 0)</f>
        <v>0</v>
      </c>
      <c r="M631" t="b">
        <f>VLOOKUP(D631, Products!A$2:F$61, 6, FALSE)</f>
        <v>1</v>
      </c>
      <c r="N631" t="str">
        <f>VLOOKUP(D631, Products!A$2:C$61, 3, FALSE)</f>
        <v>Apparel</v>
      </c>
      <c r="O631" t="str">
        <f>VLOOKUP(C631, Customers!A$2:E$301, 5, FALSE)</f>
        <v>SMB</v>
      </c>
      <c r="P631">
        <f>VLOOKUP(C631, Customers!A$2:C$301, 3, FALSE)</f>
        <v>53</v>
      </c>
      <c r="Q631" t="str">
        <f>VLOOKUP(E631, Sales_Reps!A$2:C$31, 3, FALSE)</f>
        <v>West</v>
      </c>
      <c r="R631">
        <f>VLOOKUP(D631, Products!A$2:D$61, 4, FALSE)</f>
        <v>2629</v>
      </c>
    </row>
    <row r="632" spans="1:18" x14ac:dyDescent="0.3">
      <c r="A632" s="13" t="s">
        <v>1089</v>
      </c>
      <c r="B632" s="14">
        <v>45633</v>
      </c>
      <c r="C632" s="13" t="s">
        <v>1000</v>
      </c>
      <c r="D632" s="13" t="s">
        <v>292</v>
      </c>
      <c r="E632" s="13" t="s">
        <v>132</v>
      </c>
      <c r="F632" s="15">
        <v>10</v>
      </c>
      <c r="G632" s="15">
        <v>620</v>
      </c>
      <c r="H632" s="15">
        <v>15.8</v>
      </c>
      <c r="I632" s="15">
        <v>5220.3999999999996</v>
      </c>
      <c r="J632" s="13" t="s">
        <v>144</v>
      </c>
      <c r="K632" s="13" t="s">
        <v>117</v>
      </c>
      <c r="L632">
        <f>IF(COUNTIF(A$2:A632, A632)=1, IF(COUNTIF(A$2:A$2001, A632)&gt;1, 1, 0), 0)</f>
        <v>0</v>
      </c>
      <c r="M632" t="b">
        <f>VLOOKUP(D632, Products!A$2:F$61, 6, FALSE)</f>
        <v>1</v>
      </c>
      <c r="N632" t="str">
        <f>VLOOKUP(D632, Products!A$2:C$61, 3, FALSE)</f>
        <v>Apparel</v>
      </c>
      <c r="O632" t="str">
        <f>VLOOKUP(C632, Customers!A$2:E$301, 5, FALSE)</f>
        <v>Retail</v>
      </c>
      <c r="P632">
        <f>VLOOKUP(C632, Customers!A$2:C$301, 3, FALSE)</f>
        <v>27</v>
      </c>
      <c r="Q632" t="str">
        <f>VLOOKUP(E632, Sales_Reps!A$2:C$31, 3, FALSE)</f>
        <v>South</v>
      </c>
      <c r="R632">
        <f>VLOOKUP(D632, Products!A$2:D$61, 4, FALSE)</f>
        <v>396</v>
      </c>
    </row>
    <row r="633" spans="1:18" x14ac:dyDescent="0.3">
      <c r="A633" s="13" t="s">
        <v>1090</v>
      </c>
      <c r="B633" s="14">
        <v>45588</v>
      </c>
      <c r="C633" s="13" t="s">
        <v>557</v>
      </c>
      <c r="D633" s="13" t="s">
        <v>200</v>
      </c>
      <c r="E633" s="13" t="s">
        <v>297</v>
      </c>
      <c r="F633" s="15">
        <v>3</v>
      </c>
      <c r="G633" s="15">
        <v>2760</v>
      </c>
      <c r="H633" s="15">
        <v>1.9</v>
      </c>
      <c r="I633" s="15">
        <v>8122.68</v>
      </c>
      <c r="J633" s="13" t="s">
        <v>140</v>
      </c>
      <c r="K633" s="13" t="s">
        <v>112</v>
      </c>
      <c r="L633">
        <f>IF(COUNTIF(A$2:A633, A633)=1, IF(COUNTIF(A$2:A$2001, A633)&gt;1, 1, 0), 0)</f>
        <v>0</v>
      </c>
      <c r="M633" t="b">
        <f>VLOOKUP(D633, Products!A$2:F$61, 6, FALSE)</f>
        <v>1</v>
      </c>
      <c r="N633" t="str">
        <f>VLOOKUP(D633, Products!A$2:C$61, 3, FALSE)</f>
        <v>Grocery</v>
      </c>
      <c r="O633" t="str">
        <f>VLOOKUP(C633, Customers!A$2:E$301, 5, FALSE)</f>
        <v>Retail</v>
      </c>
      <c r="P633">
        <f>VLOOKUP(C633, Customers!A$2:C$301, 3, FALSE)</f>
        <v>65</v>
      </c>
      <c r="Q633" t="str">
        <f>VLOOKUP(E633, Sales_Reps!A$2:C$31, 3, FALSE)</f>
        <v>North</v>
      </c>
      <c r="R633">
        <f>VLOOKUP(D633, Products!A$2:D$61, 4, FALSE)</f>
        <v>1435</v>
      </c>
    </row>
    <row r="634" spans="1:18" x14ac:dyDescent="0.3">
      <c r="A634" s="13" t="s">
        <v>1091</v>
      </c>
      <c r="B634" s="14">
        <v>45634</v>
      </c>
      <c r="C634" s="13" t="s">
        <v>219</v>
      </c>
      <c r="D634" s="13" t="s">
        <v>182</v>
      </c>
      <c r="E634" s="13" t="s">
        <v>92</v>
      </c>
      <c r="F634" s="15">
        <v>10</v>
      </c>
      <c r="G634" s="15">
        <v>1010</v>
      </c>
      <c r="H634" s="15">
        <v>28.9</v>
      </c>
      <c r="I634" s="15">
        <v>7181.1</v>
      </c>
      <c r="J634" s="13" t="s">
        <v>87</v>
      </c>
      <c r="K634" s="13" t="s">
        <v>99</v>
      </c>
      <c r="L634">
        <f>IF(COUNTIF(A$2:A634, A634)=1, IF(COUNTIF(A$2:A$2001, A634)&gt;1, 1, 0), 0)</f>
        <v>0</v>
      </c>
      <c r="M634" t="b">
        <f>VLOOKUP(D634, Products!A$2:F$61, 6, FALSE)</f>
        <v>1</v>
      </c>
      <c r="N634" t="str">
        <f>VLOOKUP(D634, Products!A$2:C$61, 3, FALSE)</f>
        <v>Sports</v>
      </c>
      <c r="O634" t="str">
        <f>VLOOKUP(C634, Customers!A$2:E$301, 5, FALSE)</f>
        <v>SMB</v>
      </c>
      <c r="P634">
        <f>VLOOKUP(C634, Customers!A$2:C$301, 3, FALSE)</f>
        <v>50</v>
      </c>
      <c r="Q634" t="str">
        <f>VLOOKUP(E634, Sales_Reps!A$2:C$31, 3, FALSE)</f>
        <v>North</v>
      </c>
      <c r="R634">
        <f>VLOOKUP(D634, Products!A$2:D$61, 4, FALSE)</f>
        <v>516</v>
      </c>
    </row>
    <row r="635" spans="1:18" x14ac:dyDescent="0.3">
      <c r="A635" s="13" t="s">
        <v>1092</v>
      </c>
      <c r="B635" s="14">
        <v>45352</v>
      </c>
      <c r="C635" s="13" t="s">
        <v>206</v>
      </c>
      <c r="D635" s="13" t="s">
        <v>237</v>
      </c>
      <c r="E635" s="13" t="s">
        <v>297</v>
      </c>
      <c r="F635" s="15">
        <v>1</v>
      </c>
      <c r="G635" s="15">
        <v>3640</v>
      </c>
      <c r="H635" s="15">
        <v>9.6999999999999993</v>
      </c>
      <c r="I635" s="15">
        <v>3286.92</v>
      </c>
      <c r="J635" s="13" t="s">
        <v>87</v>
      </c>
      <c r="K635" s="13" t="s">
        <v>133</v>
      </c>
      <c r="L635">
        <f>IF(COUNTIF(A$2:A635, A635)=1, IF(COUNTIF(A$2:A$2001, A635)&gt;1, 1, 0), 0)</f>
        <v>0</v>
      </c>
      <c r="M635" t="b">
        <f>VLOOKUP(D635, Products!A$2:F$61, 6, FALSE)</f>
        <v>1</v>
      </c>
      <c r="N635" t="str">
        <f>VLOOKUP(D635, Products!A$2:C$61, 3, FALSE)</f>
        <v>Apparel</v>
      </c>
      <c r="O635" t="str">
        <f>VLOOKUP(C635, Customers!A$2:E$301, 5, FALSE)</f>
        <v>SMB</v>
      </c>
      <c r="P635">
        <f>VLOOKUP(C635, Customers!A$2:C$301, 3, FALSE)</f>
        <v>40</v>
      </c>
      <c r="Q635" t="str">
        <f>VLOOKUP(E635, Sales_Reps!A$2:C$31, 3, FALSE)</f>
        <v>North</v>
      </c>
      <c r="R635">
        <f>VLOOKUP(D635, Products!A$2:D$61, 4, FALSE)</f>
        <v>2611</v>
      </c>
    </row>
    <row r="636" spans="1:18" x14ac:dyDescent="0.3">
      <c r="A636" s="13" t="s">
        <v>1093</v>
      </c>
      <c r="B636" s="14">
        <v>45489</v>
      </c>
      <c r="C636" s="13" t="s">
        <v>186</v>
      </c>
      <c r="D636" s="13" t="s">
        <v>91</v>
      </c>
      <c r="E636" s="13" t="s">
        <v>132</v>
      </c>
      <c r="F636" s="15">
        <v>1</v>
      </c>
      <c r="G636" s="15">
        <v>820</v>
      </c>
      <c r="H636" s="15">
        <v>15</v>
      </c>
      <c r="I636" s="15">
        <v>697</v>
      </c>
      <c r="J636" s="13" t="s">
        <v>87</v>
      </c>
      <c r="K636" s="13" t="s">
        <v>94</v>
      </c>
      <c r="L636">
        <f>IF(COUNTIF(A$2:A636, A636)=1, IF(COUNTIF(A$2:A$2001, A636)&gt;1, 1, 0), 0)</f>
        <v>0</v>
      </c>
      <c r="M636" t="b">
        <f>VLOOKUP(D636, Products!A$2:F$61, 6, FALSE)</f>
        <v>1</v>
      </c>
      <c r="N636" t="str">
        <f>VLOOKUP(D636, Products!A$2:C$61, 3, FALSE)</f>
        <v>Apparel</v>
      </c>
      <c r="O636" t="str">
        <f>VLOOKUP(C636, Customers!A$2:E$301, 5, FALSE)</f>
        <v>SMB</v>
      </c>
      <c r="P636">
        <f>VLOOKUP(C636, Customers!A$2:C$301, 3, FALSE)</f>
        <v>52</v>
      </c>
      <c r="Q636" t="str">
        <f>VLOOKUP(E636, Sales_Reps!A$2:C$31, 3, FALSE)</f>
        <v>South</v>
      </c>
      <c r="R636">
        <f>VLOOKUP(D636, Products!A$2:D$61, 4, FALSE)</f>
        <v>391</v>
      </c>
    </row>
    <row r="637" spans="1:18" x14ac:dyDescent="0.3">
      <c r="A637" s="13" t="s">
        <v>1094</v>
      </c>
      <c r="B637" s="14">
        <v>45342</v>
      </c>
      <c r="C637" s="13" t="s">
        <v>163</v>
      </c>
      <c r="D637" s="13" t="s">
        <v>237</v>
      </c>
      <c r="E637" s="13" t="s">
        <v>273</v>
      </c>
      <c r="F637" s="15">
        <v>4</v>
      </c>
      <c r="G637" s="15">
        <v>3640</v>
      </c>
      <c r="H637" s="15">
        <v>17</v>
      </c>
      <c r="I637" s="15">
        <v>12084.8</v>
      </c>
      <c r="J637" s="13" t="s">
        <v>87</v>
      </c>
      <c r="K637" s="13" t="s">
        <v>94</v>
      </c>
      <c r="L637">
        <f>IF(COUNTIF(A$2:A637, A637)=1, IF(COUNTIF(A$2:A$2001, A637)&gt;1, 1, 0), 0)</f>
        <v>0</v>
      </c>
      <c r="M637" t="b">
        <f>VLOOKUP(D637, Products!A$2:F$61, 6, FALSE)</f>
        <v>1</v>
      </c>
      <c r="N637" t="str">
        <f>VLOOKUP(D637, Products!A$2:C$61, 3, FALSE)</f>
        <v>Apparel</v>
      </c>
      <c r="O637" t="str">
        <f>VLOOKUP(C637, Customers!A$2:E$301, 5, FALSE)</f>
        <v>Retail</v>
      </c>
      <c r="P637">
        <f>VLOOKUP(C637, Customers!A$2:C$301, 3, FALSE)</f>
        <v>49</v>
      </c>
      <c r="Q637" t="str">
        <f>VLOOKUP(E637, Sales_Reps!A$2:C$31, 3, FALSE)</f>
        <v>South</v>
      </c>
      <c r="R637">
        <f>VLOOKUP(D637, Products!A$2:D$61, 4, FALSE)</f>
        <v>2611</v>
      </c>
    </row>
    <row r="638" spans="1:18" x14ac:dyDescent="0.3">
      <c r="A638" s="13" t="s">
        <v>1095</v>
      </c>
      <c r="B638" s="14">
        <v>45425</v>
      </c>
      <c r="C638" s="13" t="s">
        <v>1096</v>
      </c>
      <c r="D638" s="13" t="s">
        <v>367</v>
      </c>
      <c r="E638" s="13" t="s">
        <v>297</v>
      </c>
      <c r="F638" s="15">
        <v>7</v>
      </c>
      <c r="G638" s="15">
        <v>2380</v>
      </c>
      <c r="H638" s="15">
        <v>25.5</v>
      </c>
      <c r="I638" s="15">
        <v>12411.7</v>
      </c>
      <c r="J638" s="13" t="s">
        <v>87</v>
      </c>
      <c r="K638" s="13" t="s">
        <v>88</v>
      </c>
      <c r="L638">
        <f>IF(COUNTIF(A$2:A638, A638)=1, IF(COUNTIF(A$2:A$2001, A638)&gt;1, 1, 0), 0)</f>
        <v>0</v>
      </c>
      <c r="M638" t="b">
        <f>VLOOKUP(D638, Products!A$2:F$61, 6, FALSE)</f>
        <v>1</v>
      </c>
      <c r="N638" t="str">
        <f>VLOOKUP(D638, Products!A$2:C$61, 3, FALSE)</f>
        <v>Grocery</v>
      </c>
      <c r="O638" t="str">
        <f>VLOOKUP(C638, Customers!A$2:E$301, 5, FALSE)</f>
        <v>Corporate</v>
      </c>
      <c r="P638">
        <f>VLOOKUP(C638, Customers!A$2:C$301, 3, FALSE)</f>
        <v>42</v>
      </c>
      <c r="Q638" t="str">
        <f>VLOOKUP(E638, Sales_Reps!A$2:C$31, 3, FALSE)</f>
        <v>North</v>
      </c>
      <c r="R638">
        <f>VLOOKUP(D638, Products!A$2:D$61, 4, FALSE)</f>
        <v>1182</v>
      </c>
    </row>
    <row r="639" spans="1:18" x14ac:dyDescent="0.3">
      <c r="A639" s="13" t="s">
        <v>1097</v>
      </c>
      <c r="B639" s="14">
        <v>45598</v>
      </c>
      <c r="C639" s="13" t="s">
        <v>807</v>
      </c>
      <c r="D639" s="13" t="s">
        <v>203</v>
      </c>
      <c r="E639" s="13" t="s">
        <v>107</v>
      </c>
      <c r="F639" s="15">
        <v>1</v>
      </c>
      <c r="G639" s="15">
        <v>660</v>
      </c>
      <c r="H639" s="15">
        <v>2.5</v>
      </c>
      <c r="I639" s="15">
        <v>643.5</v>
      </c>
      <c r="J639" s="13" t="s">
        <v>87</v>
      </c>
      <c r="K639" s="13" t="s">
        <v>88</v>
      </c>
      <c r="L639">
        <f>IF(COUNTIF(A$2:A639, A639)=1, IF(COUNTIF(A$2:A$2001, A639)&gt;1, 1, 0), 0)</f>
        <v>0</v>
      </c>
      <c r="M639" t="b">
        <f>VLOOKUP(D639, Products!A$2:F$61, 6, FALSE)</f>
        <v>1</v>
      </c>
      <c r="N639" t="str">
        <f>VLOOKUP(D639, Products!A$2:C$61, 3, FALSE)</f>
        <v>Home</v>
      </c>
      <c r="O639" t="str">
        <f>VLOOKUP(C639, Customers!A$2:E$301, 5, FALSE)</f>
        <v>Retail</v>
      </c>
      <c r="P639">
        <f>VLOOKUP(C639, Customers!A$2:C$301, 3, FALSE)</f>
        <v>36</v>
      </c>
      <c r="Q639" t="str">
        <f>VLOOKUP(E639, Sales_Reps!A$2:C$31, 3, FALSE)</f>
        <v>North</v>
      </c>
      <c r="R639">
        <f>VLOOKUP(D639, Products!A$2:D$61, 4, FALSE)</f>
        <v>329</v>
      </c>
    </row>
    <row r="640" spans="1:18" x14ac:dyDescent="0.3">
      <c r="A640" s="13" t="s">
        <v>1098</v>
      </c>
      <c r="B640" s="14">
        <v>45353</v>
      </c>
      <c r="C640" s="13" t="s">
        <v>770</v>
      </c>
      <c r="D640" s="13" t="s">
        <v>248</v>
      </c>
      <c r="E640" s="13" t="s">
        <v>192</v>
      </c>
      <c r="F640" s="15">
        <v>7</v>
      </c>
      <c r="G640" s="15">
        <v>3870</v>
      </c>
      <c r="H640" s="15">
        <v>20.3</v>
      </c>
      <c r="I640" s="15">
        <v>21590.73</v>
      </c>
      <c r="J640" s="13" t="s">
        <v>93</v>
      </c>
      <c r="K640" s="13" t="s">
        <v>88</v>
      </c>
      <c r="L640">
        <f>IF(COUNTIF(A$2:A640, A640)=1, IF(COUNTIF(A$2:A$2001, A640)&gt;1, 1, 0), 0)</f>
        <v>0</v>
      </c>
      <c r="M640" t="b">
        <f>VLOOKUP(D640, Products!A$2:F$61, 6, FALSE)</f>
        <v>1</v>
      </c>
      <c r="N640" t="str">
        <f>VLOOKUP(D640, Products!A$2:C$61, 3, FALSE)</f>
        <v>Electronics</v>
      </c>
      <c r="O640" t="str">
        <f>VLOOKUP(C640, Customers!A$2:E$301, 5, FALSE)</f>
        <v>Retail</v>
      </c>
      <c r="P640">
        <f>VLOOKUP(C640, Customers!A$2:C$301, 3, FALSE)</f>
        <v>35</v>
      </c>
      <c r="Q640" t="str">
        <f>VLOOKUP(E640, Sales_Reps!A$2:C$31, 3, FALSE)</f>
        <v>East</v>
      </c>
      <c r="R640">
        <f>VLOOKUP(D640, Products!A$2:D$61, 4, FALSE)</f>
        <v>1559</v>
      </c>
    </row>
    <row r="641" spans="1:18" x14ac:dyDescent="0.3">
      <c r="A641" s="13" t="s">
        <v>1099</v>
      </c>
      <c r="B641" s="14">
        <v>45542</v>
      </c>
      <c r="C641" s="13" t="s">
        <v>254</v>
      </c>
      <c r="D641" s="13" t="s">
        <v>110</v>
      </c>
      <c r="E641" s="13" t="s">
        <v>346</v>
      </c>
      <c r="F641" s="15">
        <v>10</v>
      </c>
      <c r="G641" s="15">
        <v>370</v>
      </c>
      <c r="H641" s="15">
        <v>1.3</v>
      </c>
      <c r="I641" s="15">
        <v>3651.9</v>
      </c>
      <c r="J641" s="13" t="s">
        <v>144</v>
      </c>
      <c r="K641" s="13" t="s">
        <v>94</v>
      </c>
      <c r="L641">
        <f>IF(COUNTIF(A$2:A641, A641)=1, IF(COUNTIF(A$2:A$2001, A641)&gt;1, 1, 0), 0)</f>
        <v>0</v>
      </c>
      <c r="M641" t="b">
        <f>VLOOKUP(D641, Products!A$2:F$61, 6, FALSE)</f>
        <v>1</v>
      </c>
      <c r="N641" t="str">
        <f>VLOOKUP(D641, Products!A$2:C$61, 3, FALSE)</f>
        <v>Home</v>
      </c>
      <c r="O641" t="str">
        <f>VLOOKUP(C641, Customers!A$2:E$301, 5, FALSE)</f>
        <v>Retail</v>
      </c>
      <c r="P641">
        <f>VLOOKUP(C641, Customers!A$2:C$301, 3, FALSE)</f>
        <v>24</v>
      </c>
      <c r="Q641" t="str">
        <f>VLOOKUP(E641, Sales_Reps!A$2:C$31, 3, FALSE)</f>
        <v>South</v>
      </c>
      <c r="R641">
        <f>VLOOKUP(D641, Products!A$2:D$61, 4, FALSE)</f>
        <v>288</v>
      </c>
    </row>
    <row r="642" spans="1:18" x14ac:dyDescent="0.3">
      <c r="A642" s="13" t="s">
        <v>1100</v>
      </c>
      <c r="B642" s="14">
        <v>45365</v>
      </c>
      <c r="C642" s="13" t="s">
        <v>206</v>
      </c>
      <c r="D642" s="13" t="s">
        <v>85</v>
      </c>
      <c r="E642" s="13" t="s">
        <v>303</v>
      </c>
      <c r="F642" s="15">
        <v>1</v>
      </c>
      <c r="G642" s="15">
        <v>3620</v>
      </c>
      <c r="H642" s="15">
        <v>1.4</v>
      </c>
      <c r="I642" s="15">
        <v>3569.32</v>
      </c>
      <c r="J642" s="13" t="s">
        <v>87</v>
      </c>
      <c r="K642" s="13" t="s">
        <v>133</v>
      </c>
      <c r="L642">
        <f>IF(COUNTIF(A$2:A642, A642)=1, IF(COUNTIF(A$2:A$2001, A642)&gt;1, 1, 0), 0)</f>
        <v>0</v>
      </c>
      <c r="M642" t="b">
        <f>VLOOKUP(D642, Products!A$2:F$61, 6, FALSE)</f>
        <v>1</v>
      </c>
      <c r="N642" t="str">
        <f>VLOOKUP(D642, Products!A$2:C$61, 3, FALSE)</f>
        <v>Apparel</v>
      </c>
      <c r="O642" t="str">
        <f>VLOOKUP(C642, Customers!A$2:E$301, 5, FALSE)</f>
        <v>SMB</v>
      </c>
      <c r="P642">
        <f>VLOOKUP(C642, Customers!A$2:C$301, 3, FALSE)</f>
        <v>40</v>
      </c>
      <c r="Q642" t="str">
        <f>VLOOKUP(E642, Sales_Reps!A$2:C$31, 3, FALSE)</f>
        <v>East</v>
      </c>
      <c r="R642">
        <f>VLOOKUP(D642, Products!A$2:D$61, 4, FALSE)</f>
        <v>2509</v>
      </c>
    </row>
    <row r="643" spans="1:18" x14ac:dyDescent="0.3">
      <c r="A643" s="13" t="s">
        <v>1101</v>
      </c>
      <c r="B643" s="14">
        <v>45574</v>
      </c>
      <c r="C643" s="13" t="s">
        <v>429</v>
      </c>
      <c r="D643" s="13" t="s">
        <v>279</v>
      </c>
      <c r="E643" s="13" t="s">
        <v>92</v>
      </c>
      <c r="F643" s="15">
        <v>10</v>
      </c>
      <c r="G643" s="15">
        <v>2660</v>
      </c>
      <c r="H643" s="15">
        <v>20.2</v>
      </c>
      <c r="I643" s="15">
        <v>21226.799999999999</v>
      </c>
      <c r="J643" s="13" t="s">
        <v>87</v>
      </c>
      <c r="K643" s="13" t="s">
        <v>117</v>
      </c>
      <c r="L643">
        <f>IF(COUNTIF(A$2:A643, A643)=1, IF(COUNTIF(A$2:A$2001, A643)&gt;1, 1, 0), 0)</f>
        <v>0</v>
      </c>
      <c r="M643" t="b">
        <f>VLOOKUP(D643, Products!A$2:F$61, 6, FALSE)</f>
        <v>0</v>
      </c>
      <c r="N643" t="str">
        <f>VLOOKUP(D643, Products!A$2:C$61, 3, FALSE)</f>
        <v>Electronics</v>
      </c>
      <c r="O643" t="str">
        <f>VLOOKUP(C643, Customers!A$2:E$301, 5, FALSE)</f>
        <v>Retail</v>
      </c>
      <c r="P643">
        <f>VLOOKUP(C643, Customers!A$2:C$301, 3, FALSE)</f>
        <v>55</v>
      </c>
      <c r="Q643" t="str">
        <f>VLOOKUP(E643, Sales_Reps!A$2:C$31, 3, FALSE)</f>
        <v>North</v>
      </c>
      <c r="R643">
        <f>VLOOKUP(D643, Products!A$2:D$61, 4, FALSE)</f>
        <v>1259</v>
      </c>
    </row>
    <row r="644" spans="1:18" x14ac:dyDescent="0.3">
      <c r="A644" s="13" t="s">
        <v>1102</v>
      </c>
      <c r="B644" s="14">
        <v>45614</v>
      </c>
      <c r="C644" s="13" t="s">
        <v>266</v>
      </c>
      <c r="D644" s="13" t="s">
        <v>161</v>
      </c>
      <c r="E644" s="13" t="s">
        <v>188</v>
      </c>
      <c r="F644" s="15">
        <v>10</v>
      </c>
      <c r="G644" s="15">
        <v>3450</v>
      </c>
      <c r="H644" s="15">
        <v>25.1</v>
      </c>
      <c r="I644" s="15">
        <v>25840.5</v>
      </c>
      <c r="J644" s="13" t="s">
        <v>87</v>
      </c>
      <c r="K644" s="13" t="s">
        <v>99</v>
      </c>
      <c r="L644">
        <f>IF(COUNTIF(A$2:A644, A644)=1, IF(COUNTIF(A$2:A$2001, A644)&gt;1, 1, 0), 0)</f>
        <v>0</v>
      </c>
      <c r="M644" t="b">
        <f>VLOOKUP(D644, Products!A$2:F$61, 6, FALSE)</f>
        <v>1</v>
      </c>
      <c r="N644" t="str">
        <f>VLOOKUP(D644, Products!A$2:C$61, 3, FALSE)</f>
        <v>Sports</v>
      </c>
      <c r="O644" t="str">
        <f>VLOOKUP(C644, Customers!A$2:E$301, 5, FALSE)</f>
        <v>Corporate</v>
      </c>
      <c r="P644">
        <f>VLOOKUP(C644, Customers!A$2:C$301, 3, FALSE)</f>
        <v>55</v>
      </c>
      <c r="Q644" t="str">
        <f>VLOOKUP(E644, Sales_Reps!A$2:C$31, 3, FALSE)</f>
        <v>South</v>
      </c>
      <c r="R644">
        <f>VLOOKUP(D644, Products!A$2:D$61, 4, FALSE)</f>
        <v>2467</v>
      </c>
    </row>
    <row r="645" spans="1:18" x14ac:dyDescent="0.3">
      <c r="A645" s="13" t="s">
        <v>1103</v>
      </c>
      <c r="B645" s="14">
        <v>45629</v>
      </c>
      <c r="C645" s="13" t="s">
        <v>1104</v>
      </c>
      <c r="D645" s="13" t="s">
        <v>351</v>
      </c>
      <c r="E645" s="13" t="s">
        <v>252</v>
      </c>
      <c r="F645" s="15">
        <v>3</v>
      </c>
      <c r="G645" s="15">
        <v>4060</v>
      </c>
      <c r="H645" s="15">
        <v>2.5</v>
      </c>
      <c r="I645" s="15">
        <v>11875.5</v>
      </c>
      <c r="J645" s="13" t="s">
        <v>144</v>
      </c>
      <c r="K645" s="13" t="s">
        <v>117</v>
      </c>
      <c r="L645">
        <f>IF(COUNTIF(A$2:A645, A645)=1, IF(COUNTIF(A$2:A$2001, A645)&gt;1, 1, 0), 0)</f>
        <v>0</v>
      </c>
      <c r="M645" t="b">
        <f>VLOOKUP(D645, Products!A$2:F$61, 6, FALSE)</f>
        <v>1</v>
      </c>
      <c r="N645" t="str">
        <f>VLOOKUP(D645, Products!A$2:C$61, 3, FALSE)</f>
        <v>Grocery</v>
      </c>
      <c r="O645" t="str">
        <f>VLOOKUP(C645, Customers!A$2:E$301, 5, FALSE)</f>
        <v>Corporate</v>
      </c>
      <c r="P645">
        <f>VLOOKUP(C645, Customers!A$2:C$301, 3, FALSE)</f>
        <v>31</v>
      </c>
      <c r="Q645" t="str">
        <f>VLOOKUP(E645, Sales_Reps!A$2:C$31, 3, FALSE)</f>
        <v>South</v>
      </c>
      <c r="R645">
        <f>VLOOKUP(D645, Products!A$2:D$61, 4, FALSE)</f>
        <v>2911</v>
      </c>
    </row>
    <row r="646" spans="1:18" x14ac:dyDescent="0.3">
      <c r="A646" s="13" t="s">
        <v>1105</v>
      </c>
      <c r="B646" s="14">
        <v>45294</v>
      </c>
      <c r="C646" s="13" t="s">
        <v>178</v>
      </c>
      <c r="D646" s="13" t="s">
        <v>115</v>
      </c>
      <c r="E646" s="13" t="s">
        <v>158</v>
      </c>
      <c r="F646" s="15">
        <v>3</v>
      </c>
      <c r="G646" s="15">
        <v>960</v>
      </c>
      <c r="H646" s="15">
        <v>6.6</v>
      </c>
      <c r="I646" s="15">
        <v>2689.92</v>
      </c>
      <c r="J646" s="13" t="s">
        <v>140</v>
      </c>
      <c r="K646" s="13" t="s">
        <v>94</v>
      </c>
      <c r="L646">
        <f>IF(COUNTIF(A$2:A646, A646)=1, IF(COUNTIF(A$2:A$2001, A646)&gt;1, 1, 0), 0)</f>
        <v>0</v>
      </c>
      <c r="M646" t="b">
        <f>VLOOKUP(D646, Products!A$2:F$61, 6, FALSE)</f>
        <v>1</v>
      </c>
      <c r="N646" t="str">
        <f>VLOOKUP(D646, Products!A$2:C$61, 3, FALSE)</f>
        <v>Sports</v>
      </c>
      <c r="O646" t="str">
        <f>VLOOKUP(C646, Customers!A$2:E$301, 5, FALSE)</f>
        <v>Corporate</v>
      </c>
      <c r="P646">
        <f>VLOOKUP(C646, Customers!A$2:C$301, 3, FALSE)</f>
        <v>55</v>
      </c>
      <c r="Q646" t="str">
        <f>VLOOKUP(E646, Sales_Reps!A$2:C$31, 3, FALSE)</f>
        <v>East</v>
      </c>
      <c r="R646">
        <f>VLOOKUP(D646, Products!A$2:D$61, 4, FALSE)</f>
        <v>705</v>
      </c>
    </row>
    <row r="647" spans="1:18" x14ac:dyDescent="0.3">
      <c r="A647" s="13" t="s">
        <v>1106</v>
      </c>
      <c r="B647" s="14">
        <v>45418</v>
      </c>
      <c r="C647" s="13" t="s">
        <v>561</v>
      </c>
      <c r="D647" s="13" t="s">
        <v>279</v>
      </c>
      <c r="E647" s="13" t="s">
        <v>107</v>
      </c>
      <c r="F647" s="15">
        <v>4</v>
      </c>
      <c r="G647" s="15">
        <v>2660</v>
      </c>
      <c r="H647" s="15">
        <v>16.899999999999999</v>
      </c>
      <c r="I647" s="15">
        <v>8841.84</v>
      </c>
      <c r="J647" s="13" t="s">
        <v>87</v>
      </c>
      <c r="K647" s="13" t="s">
        <v>133</v>
      </c>
      <c r="L647">
        <f>IF(COUNTIF(A$2:A647, A647)=1, IF(COUNTIF(A$2:A$2001, A647)&gt;1, 1, 0), 0)</f>
        <v>0</v>
      </c>
      <c r="M647" t="b">
        <f>VLOOKUP(D647, Products!A$2:F$61, 6, FALSE)</f>
        <v>0</v>
      </c>
      <c r="N647" t="str">
        <f>VLOOKUP(D647, Products!A$2:C$61, 3, FALSE)</f>
        <v>Electronics</v>
      </c>
      <c r="O647" t="str">
        <f>VLOOKUP(C647, Customers!A$2:E$301, 5, FALSE)</f>
        <v>SMB</v>
      </c>
      <c r="P647">
        <f>VLOOKUP(C647, Customers!A$2:C$301, 3, FALSE)</f>
        <v>43</v>
      </c>
      <c r="Q647" t="str">
        <f>VLOOKUP(E647, Sales_Reps!A$2:C$31, 3, FALSE)</f>
        <v>North</v>
      </c>
      <c r="R647">
        <f>VLOOKUP(D647, Products!A$2:D$61, 4, FALSE)</f>
        <v>1259</v>
      </c>
    </row>
    <row r="648" spans="1:18" x14ac:dyDescent="0.3">
      <c r="A648" s="13" t="s">
        <v>1107</v>
      </c>
      <c r="B648" s="14">
        <v>45369</v>
      </c>
      <c r="C648" s="13" t="s">
        <v>501</v>
      </c>
      <c r="D648" s="13" t="s">
        <v>131</v>
      </c>
      <c r="E648" s="13" t="s">
        <v>303</v>
      </c>
      <c r="F648" s="15">
        <v>6</v>
      </c>
      <c r="G648" s="15">
        <v>2270</v>
      </c>
      <c r="H648" s="15">
        <v>16.7</v>
      </c>
      <c r="I648" s="15">
        <v>11345.46</v>
      </c>
      <c r="J648" s="13" t="s">
        <v>87</v>
      </c>
      <c r="K648" s="13" t="s">
        <v>133</v>
      </c>
      <c r="L648">
        <f>IF(COUNTIF(A$2:A648, A648)=1, IF(COUNTIF(A$2:A$2001, A648)&gt;1, 1, 0), 0)</f>
        <v>0</v>
      </c>
      <c r="M648" t="b">
        <f>VLOOKUP(D648, Products!A$2:F$61, 6, FALSE)</f>
        <v>1</v>
      </c>
      <c r="N648" t="str">
        <f>VLOOKUP(D648, Products!A$2:C$61, 3, FALSE)</f>
        <v>Grocery</v>
      </c>
      <c r="O648" t="str">
        <f>VLOOKUP(C648, Customers!A$2:E$301, 5, FALSE)</f>
        <v>SMB</v>
      </c>
      <c r="P648">
        <f>VLOOKUP(C648, Customers!A$2:C$301, 3, FALSE)</f>
        <v>65</v>
      </c>
      <c r="Q648" t="str">
        <f>VLOOKUP(E648, Sales_Reps!A$2:C$31, 3, FALSE)</f>
        <v>East</v>
      </c>
      <c r="R648">
        <f>VLOOKUP(D648, Products!A$2:D$61, 4, FALSE)</f>
        <v>1203</v>
      </c>
    </row>
    <row r="649" spans="1:18" x14ac:dyDescent="0.3">
      <c r="A649" s="13" t="s">
        <v>1108</v>
      </c>
      <c r="B649" s="14">
        <v>45549</v>
      </c>
      <c r="C649" s="13" t="s">
        <v>394</v>
      </c>
      <c r="D649" s="13" t="s">
        <v>234</v>
      </c>
      <c r="E649" s="13" t="s">
        <v>111</v>
      </c>
      <c r="F649" s="15">
        <v>5</v>
      </c>
      <c r="G649" s="15">
        <v>3780</v>
      </c>
      <c r="H649" s="15">
        <v>21.5</v>
      </c>
      <c r="I649" s="15">
        <v>14836.5</v>
      </c>
      <c r="J649" s="13" t="s">
        <v>87</v>
      </c>
      <c r="K649" s="13" t="s">
        <v>117</v>
      </c>
      <c r="L649">
        <f>IF(COUNTIF(A$2:A649, A649)=1, IF(COUNTIF(A$2:A$2001, A649)&gt;1, 1, 0), 0)</f>
        <v>0</v>
      </c>
      <c r="M649" t="b">
        <f>VLOOKUP(D649, Products!A$2:F$61, 6, FALSE)</f>
        <v>1</v>
      </c>
      <c r="N649" t="str">
        <f>VLOOKUP(D649, Products!A$2:C$61, 3, FALSE)</f>
        <v>Grocery</v>
      </c>
      <c r="O649" t="str">
        <f>VLOOKUP(C649, Customers!A$2:E$301, 5, FALSE)</f>
        <v>SMB</v>
      </c>
      <c r="P649">
        <f>VLOOKUP(C649, Customers!A$2:C$301, 3, FALSE)</f>
        <v>28</v>
      </c>
      <c r="Q649" t="str">
        <f>VLOOKUP(E649, Sales_Reps!A$2:C$31, 3, FALSE)</f>
        <v>West</v>
      </c>
      <c r="R649">
        <f>VLOOKUP(D649, Products!A$2:D$61, 4, FALSE)</f>
        <v>2436</v>
      </c>
    </row>
    <row r="650" spans="1:18" x14ac:dyDescent="0.3">
      <c r="A650" s="13" t="s">
        <v>1109</v>
      </c>
      <c r="B650" s="14">
        <v>45505</v>
      </c>
      <c r="C650" s="13" t="s">
        <v>910</v>
      </c>
      <c r="D650" s="13" t="s">
        <v>203</v>
      </c>
      <c r="E650" s="13" t="s">
        <v>121</v>
      </c>
      <c r="F650" s="15">
        <v>10</v>
      </c>
      <c r="G650" s="15">
        <v>660</v>
      </c>
      <c r="H650" s="15">
        <v>18.8</v>
      </c>
      <c r="I650" s="15">
        <v>5359.2</v>
      </c>
      <c r="J650" s="13" t="s">
        <v>87</v>
      </c>
      <c r="K650" s="13" t="s">
        <v>99</v>
      </c>
      <c r="L650">
        <f>IF(COUNTIF(A$2:A650, A650)=1, IF(COUNTIF(A$2:A$2001, A650)&gt;1, 1, 0), 0)</f>
        <v>0</v>
      </c>
      <c r="M650" t="b">
        <f>VLOOKUP(D650, Products!A$2:F$61, 6, FALSE)</f>
        <v>1</v>
      </c>
      <c r="N650" t="str">
        <f>VLOOKUP(D650, Products!A$2:C$61, 3, FALSE)</f>
        <v>Home</v>
      </c>
      <c r="O650" t="str">
        <f>VLOOKUP(C650, Customers!A$2:E$301, 5, FALSE)</f>
        <v>Retail</v>
      </c>
      <c r="P650">
        <f>VLOOKUP(C650, Customers!A$2:C$301, 3, FALSE)</f>
        <v>55</v>
      </c>
      <c r="Q650" t="str">
        <f>VLOOKUP(E650, Sales_Reps!A$2:C$31, 3, FALSE)</f>
        <v>East</v>
      </c>
      <c r="R650">
        <f>VLOOKUP(D650, Products!A$2:D$61, 4, FALSE)</f>
        <v>329</v>
      </c>
    </row>
    <row r="651" spans="1:18" x14ac:dyDescent="0.3">
      <c r="A651" s="13" t="s">
        <v>1110</v>
      </c>
      <c r="B651" s="14">
        <v>45413</v>
      </c>
      <c r="C651" s="13" t="s">
        <v>608</v>
      </c>
      <c r="D651" s="13" t="s">
        <v>226</v>
      </c>
      <c r="E651" s="13" t="s">
        <v>116</v>
      </c>
      <c r="F651" s="15">
        <v>10</v>
      </c>
      <c r="G651" s="15">
        <v>3730</v>
      </c>
      <c r="H651" s="15">
        <v>15.1</v>
      </c>
      <c r="I651" s="15">
        <v>31667.7</v>
      </c>
      <c r="J651" s="13" t="s">
        <v>87</v>
      </c>
      <c r="K651" s="13" t="s">
        <v>88</v>
      </c>
      <c r="L651">
        <f>IF(COUNTIF(A$2:A651, A651)=1, IF(COUNTIF(A$2:A$2001, A651)&gt;1, 1, 0), 0)</f>
        <v>0</v>
      </c>
      <c r="M651" t="b">
        <f>VLOOKUP(D651, Products!A$2:F$61, 6, FALSE)</f>
        <v>1</v>
      </c>
      <c r="N651" t="str">
        <f>VLOOKUP(D651, Products!A$2:C$61, 3, FALSE)</f>
        <v>Home</v>
      </c>
      <c r="O651" t="str">
        <f>VLOOKUP(C651, Customers!A$2:E$301, 5, FALSE)</f>
        <v>Corporate</v>
      </c>
      <c r="P651">
        <f>VLOOKUP(C651, Customers!A$2:C$301, 3, FALSE)</f>
        <v>40</v>
      </c>
      <c r="Q651" t="str">
        <f>VLOOKUP(E651, Sales_Reps!A$2:C$31, 3, FALSE)</f>
        <v>West</v>
      </c>
      <c r="R651">
        <f>VLOOKUP(D651, Products!A$2:D$61, 4, FALSE)</f>
        <v>2135</v>
      </c>
    </row>
    <row r="652" spans="1:18" x14ac:dyDescent="0.3">
      <c r="A652" s="13" t="s">
        <v>1111</v>
      </c>
      <c r="B652" s="14">
        <v>45559</v>
      </c>
      <c r="C652" s="13" t="s">
        <v>137</v>
      </c>
      <c r="D652" s="13" t="s">
        <v>351</v>
      </c>
      <c r="E652" s="13" t="s">
        <v>158</v>
      </c>
      <c r="F652" s="15">
        <v>6</v>
      </c>
      <c r="G652" s="15">
        <v>4060</v>
      </c>
      <c r="H652" s="15">
        <v>20.100000000000001</v>
      </c>
      <c r="I652" s="15">
        <v>19463.64</v>
      </c>
      <c r="J652" s="13" t="s">
        <v>93</v>
      </c>
      <c r="K652" s="13" t="s">
        <v>1112</v>
      </c>
      <c r="L652">
        <f>IF(COUNTIF(A$2:A652, A652)=1, IF(COUNTIF(A$2:A$2001, A652)&gt;1, 1, 0), 0)</f>
        <v>0</v>
      </c>
      <c r="M652" t="b">
        <f>VLOOKUP(D652, Products!A$2:F$61, 6, FALSE)</f>
        <v>1</v>
      </c>
      <c r="N652" t="str">
        <f>VLOOKUP(D652, Products!A$2:C$61, 3, FALSE)</f>
        <v>Grocery</v>
      </c>
      <c r="O652" t="str">
        <f>VLOOKUP(C652, Customers!A$2:E$301, 5, FALSE)</f>
        <v>SMB</v>
      </c>
      <c r="P652">
        <f>VLOOKUP(C652, Customers!A$2:C$301, 3, FALSE)</f>
        <v>27</v>
      </c>
      <c r="Q652" t="str">
        <f>VLOOKUP(E652, Sales_Reps!A$2:C$31, 3, FALSE)</f>
        <v>East</v>
      </c>
      <c r="R652">
        <f>VLOOKUP(D652, Products!A$2:D$61, 4, FALSE)</f>
        <v>2911</v>
      </c>
    </row>
    <row r="653" spans="1:18" x14ac:dyDescent="0.3">
      <c r="A653" s="13" t="s">
        <v>1113</v>
      </c>
      <c r="B653" s="14">
        <v>45525</v>
      </c>
      <c r="C653" s="13" t="s">
        <v>983</v>
      </c>
      <c r="D653" s="13" t="s">
        <v>131</v>
      </c>
      <c r="E653" s="13" t="s">
        <v>148</v>
      </c>
      <c r="F653" s="15">
        <v>2</v>
      </c>
      <c r="G653" s="15">
        <v>2270</v>
      </c>
      <c r="H653" s="15">
        <v>17.7</v>
      </c>
      <c r="I653" s="15">
        <v>3736.42</v>
      </c>
      <c r="J653" s="13" t="s">
        <v>87</v>
      </c>
      <c r="K653" s="13" t="s">
        <v>117</v>
      </c>
      <c r="L653">
        <f>IF(COUNTIF(A$2:A653, A653)=1, IF(COUNTIF(A$2:A$2001, A653)&gt;1, 1, 0), 0)</f>
        <v>0</v>
      </c>
      <c r="M653" t="b">
        <f>VLOOKUP(D653, Products!A$2:F$61, 6, FALSE)</f>
        <v>1</v>
      </c>
      <c r="N653" t="str">
        <f>VLOOKUP(D653, Products!A$2:C$61, 3, FALSE)</f>
        <v>Grocery</v>
      </c>
      <c r="O653" t="str">
        <f>VLOOKUP(C653, Customers!A$2:E$301, 5, FALSE)</f>
        <v>SMB</v>
      </c>
      <c r="P653">
        <f>VLOOKUP(C653, Customers!A$2:C$301, 3, FALSE)</f>
        <v>36</v>
      </c>
      <c r="Q653" t="str">
        <f>VLOOKUP(E653, Sales_Reps!A$2:C$31, 3, FALSE)</f>
        <v>North</v>
      </c>
      <c r="R653">
        <f>VLOOKUP(D653, Products!A$2:D$61, 4, FALSE)</f>
        <v>1203</v>
      </c>
    </row>
    <row r="654" spans="1:18" x14ac:dyDescent="0.3">
      <c r="A654" s="13" t="s">
        <v>1114</v>
      </c>
      <c r="B654" s="14">
        <v>45610</v>
      </c>
      <c r="C654" s="13" t="s">
        <v>537</v>
      </c>
      <c r="D654" s="13" t="s">
        <v>187</v>
      </c>
      <c r="E654" s="13" t="s">
        <v>128</v>
      </c>
      <c r="F654" s="15">
        <v>9</v>
      </c>
      <c r="G654" s="15">
        <v>3570</v>
      </c>
      <c r="H654" s="15">
        <v>29.9</v>
      </c>
      <c r="I654" s="15">
        <v>22523.13</v>
      </c>
      <c r="J654" s="13" t="s">
        <v>87</v>
      </c>
      <c r="K654" s="13" t="s">
        <v>133</v>
      </c>
      <c r="L654">
        <f>IF(COUNTIF(A$2:A654, A654)=1, IF(COUNTIF(A$2:A$2001, A654)&gt;1, 1, 0), 0)</f>
        <v>0</v>
      </c>
      <c r="M654" t="b">
        <f>VLOOKUP(D654, Products!A$2:F$61, 6, FALSE)</f>
        <v>1</v>
      </c>
      <c r="N654" t="str">
        <f>VLOOKUP(D654, Products!A$2:C$61, 3, FALSE)</f>
        <v>Electronics</v>
      </c>
      <c r="O654" t="str">
        <f>VLOOKUP(C654, Customers!A$2:E$301, 5, FALSE)</f>
        <v>SMB</v>
      </c>
      <c r="P654">
        <f>VLOOKUP(C654, Customers!A$2:C$301, 3, FALSE)</f>
        <v>48</v>
      </c>
      <c r="Q654" t="str">
        <f>VLOOKUP(E654, Sales_Reps!A$2:C$31, 3, FALSE)</f>
        <v>West</v>
      </c>
      <c r="R654">
        <f>VLOOKUP(D654, Products!A$2:D$61, 4, FALSE)</f>
        <v>1665</v>
      </c>
    </row>
    <row r="655" spans="1:18" x14ac:dyDescent="0.3">
      <c r="A655" s="13" t="s">
        <v>1115</v>
      </c>
      <c r="B655" s="14">
        <v>45521</v>
      </c>
      <c r="C655" s="13" t="s">
        <v>828</v>
      </c>
      <c r="D655" s="13" t="s">
        <v>338</v>
      </c>
      <c r="E655" s="13" t="s">
        <v>139</v>
      </c>
      <c r="F655" s="15">
        <v>7</v>
      </c>
      <c r="G655" s="15">
        <v>2210</v>
      </c>
      <c r="H655" s="15">
        <v>25</v>
      </c>
      <c r="I655" s="15">
        <v>11602.5</v>
      </c>
      <c r="J655" s="13" t="s">
        <v>87</v>
      </c>
      <c r="K655" s="13" t="s">
        <v>133</v>
      </c>
      <c r="L655">
        <f>IF(COUNTIF(A$2:A655, A655)=1, IF(COUNTIF(A$2:A$2001, A655)&gt;1, 1, 0), 0)</f>
        <v>0</v>
      </c>
      <c r="M655" t="b">
        <f>VLOOKUP(D655, Products!A$2:F$61, 6, FALSE)</f>
        <v>1</v>
      </c>
      <c r="N655" t="str">
        <f>VLOOKUP(D655, Products!A$2:C$61, 3, FALSE)</f>
        <v>Grocery</v>
      </c>
      <c r="O655" t="str">
        <f>VLOOKUP(C655, Customers!A$2:E$301, 5, FALSE)</f>
        <v>Retail</v>
      </c>
      <c r="P655">
        <f>VLOOKUP(C655, Customers!A$2:C$301, 3, FALSE)</f>
        <v>52</v>
      </c>
      <c r="Q655" t="str">
        <f>VLOOKUP(E655, Sales_Reps!A$2:C$31, 3, FALSE)</f>
        <v>North</v>
      </c>
      <c r="R655">
        <f>VLOOKUP(D655, Products!A$2:D$61, 4, FALSE)</f>
        <v>1010</v>
      </c>
    </row>
    <row r="656" spans="1:18" x14ac:dyDescent="0.3">
      <c r="A656" s="13" t="s">
        <v>1116</v>
      </c>
      <c r="B656" s="14">
        <v>45381</v>
      </c>
      <c r="C656" s="13" t="s">
        <v>905</v>
      </c>
      <c r="D656" s="13" t="s">
        <v>115</v>
      </c>
      <c r="E656" s="13" t="s">
        <v>201</v>
      </c>
      <c r="F656" s="15">
        <v>2</v>
      </c>
      <c r="G656" s="15">
        <v>960</v>
      </c>
      <c r="H656" s="15">
        <v>8.1999999999999993</v>
      </c>
      <c r="I656" s="15">
        <v>1762.56</v>
      </c>
      <c r="J656" s="13" t="s">
        <v>140</v>
      </c>
      <c r="K656" s="13" t="s">
        <v>112</v>
      </c>
      <c r="L656">
        <f>IF(COUNTIF(A$2:A656, A656)=1, IF(COUNTIF(A$2:A$2001, A656)&gt;1, 1, 0), 0)</f>
        <v>0</v>
      </c>
      <c r="M656" t="b">
        <f>VLOOKUP(D656, Products!A$2:F$61, 6, FALSE)</f>
        <v>1</v>
      </c>
      <c r="N656" t="str">
        <f>VLOOKUP(D656, Products!A$2:C$61, 3, FALSE)</f>
        <v>Sports</v>
      </c>
      <c r="O656" t="str">
        <f>VLOOKUP(C656, Customers!A$2:E$301, 5, FALSE)</f>
        <v>SMB</v>
      </c>
      <c r="P656">
        <f>VLOOKUP(C656, Customers!A$2:C$301, 3, FALSE)</f>
        <v>43</v>
      </c>
      <c r="Q656" t="str">
        <f>VLOOKUP(E656, Sales_Reps!A$2:C$31, 3, FALSE)</f>
        <v>West</v>
      </c>
      <c r="R656">
        <f>VLOOKUP(D656, Products!A$2:D$61, 4, FALSE)</f>
        <v>705</v>
      </c>
    </row>
    <row r="657" spans="1:18" x14ac:dyDescent="0.3">
      <c r="A657" s="13" t="s">
        <v>1117</v>
      </c>
      <c r="B657" s="14">
        <v>45401</v>
      </c>
      <c r="C657" s="13" t="s">
        <v>628</v>
      </c>
      <c r="D657" s="13" t="s">
        <v>461</v>
      </c>
      <c r="E657" s="13" t="s">
        <v>201</v>
      </c>
      <c r="F657" s="15">
        <v>9</v>
      </c>
      <c r="G657" s="15">
        <v>3780</v>
      </c>
      <c r="H657" s="15">
        <v>28.4</v>
      </c>
      <c r="I657" s="15">
        <v>24358.32</v>
      </c>
      <c r="J657" s="13" t="s">
        <v>93</v>
      </c>
      <c r="K657" s="13" t="s">
        <v>133</v>
      </c>
      <c r="L657">
        <f>IF(COUNTIF(A$2:A657, A657)=1, IF(COUNTIF(A$2:A$2001, A657)&gt;1, 1, 0), 0)</f>
        <v>0</v>
      </c>
      <c r="M657" t="b">
        <f>VLOOKUP(D657, Products!A$2:F$61, 6, FALSE)</f>
        <v>1</v>
      </c>
      <c r="N657" t="str">
        <f>VLOOKUP(D657, Products!A$2:C$61, 3, FALSE)</f>
        <v>Sports</v>
      </c>
      <c r="O657" t="str">
        <f>VLOOKUP(C657, Customers!A$2:E$301, 5, FALSE)</f>
        <v>Corporate</v>
      </c>
      <c r="P657">
        <f>VLOOKUP(C657, Customers!A$2:C$301, 3, FALSE)</f>
        <v>22</v>
      </c>
      <c r="Q657" t="str">
        <f>VLOOKUP(E657, Sales_Reps!A$2:C$31, 3, FALSE)</f>
        <v>West</v>
      </c>
      <c r="R657">
        <f>VLOOKUP(D657, Products!A$2:D$61, 4, FALSE)</f>
        <v>1860</v>
      </c>
    </row>
    <row r="658" spans="1:18" x14ac:dyDescent="0.3">
      <c r="A658" s="13" t="s">
        <v>1118</v>
      </c>
      <c r="B658" s="14">
        <v>45581</v>
      </c>
      <c r="C658" s="13" t="s">
        <v>886</v>
      </c>
      <c r="D658" s="13" t="s">
        <v>191</v>
      </c>
      <c r="E658" s="13" t="s">
        <v>98</v>
      </c>
      <c r="F658" s="15">
        <v>2</v>
      </c>
      <c r="G658" s="15">
        <v>5100</v>
      </c>
      <c r="H658" s="15">
        <v>8.6</v>
      </c>
      <c r="I658" s="15">
        <v>9322.7999999999993</v>
      </c>
      <c r="J658" s="13" t="s">
        <v>87</v>
      </c>
      <c r="K658" s="13" t="s">
        <v>94</v>
      </c>
      <c r="L658">
        <f>IF(COUNTIF(A$2:A658, A658)=1, IF(COUNTIF(A$2:A$2001, A658)&gt;1, 1, 0), 0)</f>
        <v>0</v>
      </c>
      <c r="M658" t="b">
        <f>VLOOKUP(D658, Products!A$2:F$61, 6, FALSE)</f>
        <v>1</v>
      </c>
      <c r="N658" t="str">
        <f>VLOOKUP(D658, Products!A$2:C$61, 3, FALSE)</f>
        <v>Beauty</v>
      </c>
      <c r="O658" t="str">
        <f>VLOOKUP(C658, Customers!A$2:E$301, 5, FALSE)</f>
        <v>Corporate</v>
      </c>
      <c r="P658">
        <f>VLOOKUP(C658, Customers!A$2:C$301, 3, FALSE)</f>
        <v>44</v>
      </c>
      <c r="Q658" t="str">
        <f>VLOOKUP(E658, Sales_Reps!A$2:C$31, 3, FALSE)</f>
        <v>South</v>
      </c>
      <c r="R658">
        <f>VLOOKUP(D658, Products!A$2:D$61, 4, FALSE)</f>
        <v>2237</v>
      </c>
    </row>
    <row r="659" spans="1:18" x14ac:dyDescent="0.3">
      <c r="A659" s="13" t="s">
        <v>1119</v>
      </c>
      <c r="B659" s="14">
        <v>45414</v>
      </c>
      <c r="C659" s="13" t="s">
        <v>510</v>
      </c>
      <c r="D659" s="13" t="s">
        <v>167</v>
      </c>
      <c r="E659" s="13" t="s">
        <v>158</v>
      </c>
      <c r="F659" s="15">
        <v>4</v>
      </c>
      <c r="G659" s="15">
        <v>2480</v>
      </c>
      <c r="H659" s="15">
        <v>16.600000000000001</v>
      </c>
      <c r="I659" s="15">
        <v>8273.2800000000007</v>
      </c>
      <c r="J659" s="13" t="s">
        <v>87</v>
      </c>
      <c r="K659" s="13" t="s">
        <v>117</v>
      </c>
      <c r="L659">
        <f>IF(COUNTIF(A$2:A659, A659)=1, IF(COUNTIF(A$2:A$2001, A659)&gt;1, 1, 0), 0)</f>
        <v>0</v>
      </c>
      <c r="M659" t="b">
        <f>VLOOKUP(D659, Products!A$2:F$61, 6, FALSE)</f>
        <v>1</v>
      </c>
      <c r="N659" t="str">
        <f>VLOOKUP(D659, Products!A$2:C$61, 3, FALSE)</f>
        <v>Apparel</v>
      </c>
      <c r="O659" t="str">
        <f>VLOOKUP(C659, Customers!A$2:E$301, 5, FALSE)</f>
        <v>SMB</v>
      </c>
      <c r="P659">
        <f>VLOOKUP(C659, Customers!A$2:C$301, 3, FALSE)</f>
        <v>26</v>
      </c>
      <c r="Q659" t="str">
        <f>VLOOKUP(E659, Sales_Reps!A$2:C$31, 3, FALSE)</f>
        <v>East</v>
      </c>
      <c r="R659">
        <f>VLOOKUP(D659, Products!A$2:D$61, 4, FALSE)</f>
        <v>1173</v>
      </c>
    </row>
    <row r="660" spans="1:18" x14ac:dyDescent="0.3">
      <c r="A660" s="13" t="s">
        <v>1120</v>
      </c>
      <c r="B660" s="14">
        <v>45443</v>
      </c>
      <c r="C660" s="13" t="s">
        <v>1121</v>
      </c>
      <c r="D660" s="13" t="s">
        <v>164</v>
      </c>
      <c r="E660" s="13" t="s">
        <v>303</v>
      </c>
      <c r="F660" s="15">
        <v>10</v>
      </c>
      <c r="G660" s="15">
        <v>1080</v>
      </c>
      <c r="H660" s="15">
        <v>14.5</v>
      </c>
      <c r="I660" s="15">
        <v>9234</v>
      </c>
      <c r="J660" s="13" t="s">
        <v>87</v>
      </c>
      <c r="K660" s="13" t="s">
        <v>112</v>
      </c>
      <c r="L660">
        <f>IF(COUNTIF(A$2:A660, A660)=1, IF(COUNTIF(A$2:A$2001, A660)&gt;1, 1, 0), 0)</f>
        <v>0</v>
      </c>
      <c r="M660" t="b">
        <f>VLOOKUP(D660, Products!A$2:F$61, 6, FALSE)</f>
        <v>1</v>
      </c>
      <c r="N660" t="str">
        <f>VLOOKUP(D660, Products!A$2:C$61, 3, FALSE)</f>
        <v>Home</v>
      </c>
      <c r="O660" t="str">
        <f>VLOOKUP(C660, Customers!A$2:E$301, 5, FALSE)</f>
        <v>Corporate</v>
      </c>
      <c r="P660">
        <f>VLOOKUP(C660, Customers!A$2:C$301, 3, FALSE)</f>
        <v>46</v>
      </c>
      <c r="Q660" t="str">
        <f>VLOOKUP(E660, Sales_Reps!A$2:C$31, 3, FALSE)</f>
        <v>East</v>
      </c>
      <c r="R660">
        <f>VLOOKUP(D660, Products!A$2:D$61, 4, FALSE)</f>
        <v>519</v>
      </c>
    </row>
    <row r="661" spans="1:18" x14ac:dyDescent="0.3">
      <c r="A661" s="13" t="s">
        <v>1122</v>
      </c>
      <c r="B661" s="14">
        <v>45377</v>
      </c>
      <c r="C661" s="13" t="s">
        <v>626</v>
      </c>
      <c r="D661" s="13" t="s">
        <v>138</v>
      </c>
      <c r="E661" s="13" t="s">
        <v>229</v>
      </c>
      <c r="F661" s="15">
        <v>7</v>
      </c>
      <c r="G661" s="15">
        <v>2600</v>
      </c>
      <c r="H661" s="15">
        <v>21</v>
      </c>
      <c r="I661" s="15">
        <v>14378</v>
      </c>
      <c r="J661" s="13" t="s">
        <v>87</v>
      </c>
      <c r="K661" s="13" t="s">
        <v>99</v>
      </c>
      <c r="L661">
        <f>IF(COUNTIF(A$2:A661, A661)=1, IF(COUNTIF(A$2:A$2001, A661)&gt;1, 1, 0), 0)</f>
        <v>0</v>
      </c>
      <c r="M661" t="b">
        <f>VLOOKUP(D661, Products!A$2:F$61, 6, FALSE)</f>
        <v>1</v>
      </c>
      <c r="N661" t="str">
        <f>VLOOKUP(D661, Products!A$2:C$61, 3, FALSE)</f>
        <v>Electronics</v>
      </c>
      <c r="O661" t="str">
        <f>VLOOKUP(C661, Customers!A$2:E$301, 5, FALSE)</f>
        <v>Retail</v>
      </c>
      <c r="P661">
        <f>VLOOKUP(C661, Customers!A$2:C$301, 3, FALSE)</f>
        <v>40</v>
      </c>
      <c r="Q661" t="str">
        <f>VLOOKUP(E661, Sales_Reps!A$2:C$31, 3, FALSE)</f>
        <v>West</v>
      </c>
      <c r="R661">
        <f>VLOOKUP(D661, Products!A$2:D$61, 4, FALSE)</f>
        <v>1052</v>
      </c>
    </row>
    <row r="662" spans="1:18" x14ac:dyDescent="0.3">
      <c r="A662" s="13" t="s">
        <v>1123</v>
      </c>
      <c r="B662" s="14">
        <v>45622</v>
      </c>
      <c r="C662" s="13" t="s">
        <v>105</v>
      </c>
      <c r="D662" s="13" t="s">
        <v>138</v>
      </c>
      <c r="E662" s="13" t="s">
        <v>188</v>
      </c>
      <c r="F662" s="15">
        <v>7</v>
      </c>
      <c r="G662" s="15">
        <v>2600</v>
      </c>
      <c r="H662" s="15">
        <v>6.7</v>
      </c>
      <c r="I662" s="15">
        <v>16980.599999999999</v>
      </c>
      <c r="J662" s="13" t="s">
        <v>93</v>
      </c>
      <c r="K662" s="13" t="s">
        <v>94</v>
      </c>
      <c r="L662">
        <f>IF(COUNTIF(A$2:A662, A662)=1, IF(COUNTIF(A$2:A$2001, A662)&gt;1, 1, 0), 0)</f>
        <v>0</v>
      </c>
      <c r="M662" t="b">
        <f>VLOOKUP(D662, Products!A$2:F$61, 6, FALSE)</f>
        <v>1</v>
      </c>
      <c r="N662" t="str">
        <f>VLOOKUP(D662, Products!A$2:C$61, 3, FALSE)</f>
        <v>Electronics</v>
      </c>
      <c r="O662" t="str">
        <f>VLOOKUP(C662, Customers!A$2:E$301, 5, FALSE)</f>
        <v>Retail</v>
      </c>
      <c r="P662">
        <f>VLOOKUP(C662, Customers!A$2:C$301, 3, FALSE)</f>
        <v>36</v>
      </c>
      <c r="Q662" t="str">
        <f>VLOOKUP(E662, Sales_Reps!A$2:C$31, 3, FALSE)</f>
        <v>South</v>
      </c>
      <c r="R662">
        <f>VLOOKUP(D662, Products!A$2:D$61, 4, FALSE)</f>
        <v>1052</v>
      </c>
    </row>
    <row r="663" spans="1:18" x14ac:dyDescent="0.3">
      <c r="A663" s="13" t="s">
        <v>1124</v>
      </c>
      <c r="B663" s="14">
        <v>45403</v>
      </c>
      <c r="C663" s="13" t="s">
        <v>219</v>
      </c>
      <c r="D663" s="13" t="s">
        <v>91</v>
      </c>
      <c r="E663" s="13" t="s">
        <v>154</v>
      </c>
      <c r="F663" s="15">
        <v>8</v>
      </c>
      <c r="G663" s="15">
        <v>820</v>
      </c>
      <c r="H663" s="15">
        <v>17.8</v>
      </c>
      <c r="I663" s="15">
        <v>5392.32</v>
      </c>
      <c r="J663" s="13" t="s">
        <v>93</v>
      </c>
      <c r="K663" s="13" t="s">
        <v>99</v>
      </c>
      <c r="L663">
        <f>IF(COUNTIF(A$2:A663, A663)=1, IF(COUNTIF(A$2:A$2001, A663)&gt;1, 1, 0), 0)</f>
        <v>0</v>
      </c>
      <c r="M663" t="b">
        <f>VLOOKUP(D663, Products!A$2:F$61, 6, FALSE)</f>
        <v>1</v>
      </c>
      <c r="N663" t="str">
        <f>VLOOKUP(D663, Products!A$2:C$61, 3, FALSE)</f>
        <v>Apparel</v>
      </c>
      <c r="O663" t="str">
        <f>VLOOKUP(C663, Customers!A$2:E$301, 5, FALSE)</f>
        <v>SMB</v>
      </c>
      <c r="P663">
        <f>VLOOKUP(C663, Customers!A$2:C$301, 3, FALSE)</f>
        <v>50</v>
      </c>
      <c r="Q663" t="str">
        <f>VLOOKUP(E663, Sales_Reps!A$2:C$31, 3, FALSE)</f>
        <v>East</v>
      </c>
      <c r="R663">
        <f>VLOOKUP(D663, Products!A$2:D$61, 4, FALSE)</f>
        <v>391</v>
      </c>
    </row>
    <row r="664" spans="1:18" x14ac:dyDescent="0.3">
      <c r="A664" s="13" t="s">
        <v>1125</v>
      </c>
      <c r="B664" s="14">
        <v>45532</v>
      </c>
      <c r="C664" s="13" t="s">
        <v>518</v>
      </c>
      <c r="D664" s="13" t="s">
        <v>115</v>
      </c>
      <c r="E664" s="13" t="s">
        <v>204</v>
      </c>
      <c r="F664" s="15">
        <v>3</v>
      </c>
      <c r="G664" s="15">
        <v>960</v>
      </c>
      <c r="H664" s="15">
        <v>17.8</v>
      </c>
      <c r="I664" s="15">
        <v>2367.36</v>
      </c>
      <c r="J664" s="13" t="s">
        <v>87</v>
      </c>
      <c r="K664" s="13" t="s">
        <v>88</v>
      </c>
      <c r="L664">
        <f>IF(COUNTIF(A$2:A664, A664)=1, IF(COUNTIF(A$2:A$2001, A664)&gt;1, 1, 0), 0)</f>
        <v>0</v>
      </c>
      <c r="M664" t="b">
        <f>VLOOKUP(D664, Products!A$2:F$61, 6, FALSE)</f>
        <v>1</v>
      </c>
      <c r="N664" t="str">
        <f>VLOOKUP(D664, Products!A$2:C$61, 3, FALSE)</f>
        <v>Sports</v>
      </c>
      <c r="O664" t="str">
        <f>VLOOKUP(C664, Customers!A$2:E$301, 5, FALSE)</f>
        <v>Retail</v>
      </c>
      <c r="P664">
        <f>VLOOKUP(C664, Customers!A$2:C$301, 3, FALSE)</f>
        <v>49</v>
      </c>
      <c r="Q664" t="str">
        <f>VLOOKUP(E664, Sales_Reps!A$2:C$31, 3, FALSE)</f>
        <v>South</v>
      </c>
      <c r="R664">
        <f>VLOOKUP(D664, Products!A$2:D$61, 4, FALSE)</f>
        <v>705</v>
      </c>
    </row>
    <row r="665" spans="1:18" x14ac:dyDescent="0.3">
      <c r="A665" s="13" t="s">
        <v>1126</v>
      </c>
      <c r="B665" s="14">
        <v>45301</v>
      </c>
      <c r="C665" s="13" t="s">
        <v>266</v>
      </c>
      <c r="D665" s="13" t="s">
        <v>259</v>
      </c>
      <c r="E665" s="13" t="s">
        <v>154</v>
      </c>
      <c r="F665" s="15">
        <v>2</v>
      </c>
      <c r="G665" s="15">
        <v>1540</v>
      </c>
      <c r="H665" s="15">
        <v>1.8</v>
      </c>
      <c r="I665" s="15">
        <v>3024.56</v>
      </c>
      <c r="J665" s="13" t="s">
        <v>140</v>
      </c>
      <c r="K665" s="13" t="s">
        <v>99</v>
      </c>
      <c r="L665">
        <f>IF(COUNTIF(A$2:A665, A665)=1, IF(COUNTIF(A$2:A$2001, A665)&gt;1, 1, 0), 0)</f>
        <v>0</v>
      </c>
      <c r="M665" t="b">
        <f>VLOOKUP(D665, Products!A$2:F$61, 6, FALSE)</f>
        <v>0</v>
      </c>
      <c r="N665" t="str">
        <f>VLOOKUP(D665, Products!A$2:C$61, 3, FALSE)</f>
        <v>Beauty</v>
      </c>
      <c r="O665" t="str">
        <f>VLOOKUP(C665, Customers!A$2:E$301, 5, FALSE)</f>
        <v>Corporate</v>
      </c>
      <c r="P665">
        <f>VLOOKUP(C665, Customers!A$2:C$301, 3, FALSE)</f>
        <v>55</v>
      </c>
      <c r="Q665" t="str">
        <f>VLOOKUP(E665, Sales_Reps!A$2:C$31, 3, FALSE)</f>
        <v>East</v>
      </c>
      <c r="R665">
        <f>VLOOKUP(D665, Products!A$2:D$61, 4, FALSE)</f>
        <v>647</v>
      </c>
    </row>
    <row r="666" spans="1:18" x14ac:dyDescent="0.3">
      <c r="A666" s="13" t="s">
        <v>1127</v>
      </c>
      <c r="B666" s="14">
        <v>45622</v>
      </c>
      <c r="C666" s="13" t="s">
        <v>1006</v>
      </c>
      <c r="D666" s="13" t="s">
        <v>515</v>
      </c>
      <c r="E666" s="13" t="s">
        <v>170</v>
      </c>
      <c r="F666" s="15">
        <v>5</v>
      </c>
      <c r="G666" s="15">
        <v>6940</v>
      </c>
      <c r="H666" s="15">
        <v>2.9</v>
      </c>
      <c r="I666" s="15">
        <v>33693.699999999997</v>
      </c>
      <c r="J666" s="13" t="s">
        <v>87</v>
      </c>
      <c r="K666" s="13" t="s">
        <v>117</v>
      </c>
      <c r="L666">
        <f>IF(COUNTIF(A$2:A666, A666)=1, IF(COUNTIF(A$2:A$2001, A666)&gt;1, 1, 0), 0)</f>
        <v>0</v>
      </c>
      <c r="M666" t="b">
        <f>VLOOKUP(D666, Products!A$2:F$61, 6, FALSE)</f>
        <v>1</v>
      </c>
      <c r="N666" t="str">
        <f>VLOOKUP(D666, Products!A$2:C$61, 3, FALSE)</f>
        <v>Sports</v>
      </c>
      <c r="O666" t="str">
        <f>VLOOKUP(C666, Customers!A$2:E$301, 5, FALSE)</f>
        <v>SMB</v>
      </c>
      <c r="P666">
        <f>VLOOKUP(C666, Customers!A$2:C$301, 3, FALSE)</f>
        <v>44</v>
      </c>
      <c r="Q666" t="str">
        <f>VLOOKUP(E666, Sales_Reps!A$2:C$31, 3, FALSE)</f>
        <v>West</v>
      </c>
      <c r="R666">
        <f>VLOOKUP(D666, Products!A$2:D$61, 4, FALSE)</f>
        <v>2827</v>
      </c>
    </row>
    <row r="667" spans="1:18" x14ac:dyDescent="0.3">
      <c r="A667" s="13" t="s">
        <v>1128</v>
      </c>
      <c r="B667" s="14">
        <v>45531</v>
      </c>
      <c r="C667" s="13" t="s">
        <v>378</v>
      </c>
      <c r="D667" s="13" t="s">
        <v>259</v>
      </c>
      <c r="E667" s="13" t="s">
        <v>252</v>
      </c>
      <c r="F667" s="15">
        <v>5</v>
      </c>
      <c r="G667" s="15">
        <v>1540</v>
      </c>
      <c r="H667" s="15">
        <v>28.8</v>
      </c>
      <c r="I667" s="15">
        <v>5482.4</v>
      </c>
      <c r="J667" s="13" t="s">
        <v>87</v>
      </c>
      <c r="K667" s="13" t="s">
        <v>94</v>
      </c>
      <c r="L667">
        <f>IF(COUNTIF(A$2:A667, A667)=1, IF(COUNTIF(A$2:A$2001, A667)&gt;1, 1, 0), 0)</f>
        <v>0</v>
      </c>
      <c r="M667" t="b">
        <f>VLOOKUP(D667, Products!A$2:F$61, 6, FALSE)</f>
        <v>0</v>
      </c>
      <c r="N667" t="str">
        <f>VLOOKUP(D667, Products!A$2:C$61, 3, FALSE)</f>
        <v>Beauty</v>
      </c>
      <c r="O667" t="str">
        <f>VLOOKUP(C667, Customers!A$2:E$301, 5, FALSE)</f>
        <v>SMB</v>
      </c>
      <c r="P667">
        <f>VLOOKUP(C667, Customers!A$2:C$301, 3, FALSE)</f>
        <v>53</v>
      </c>
      <c r="Q667" t="str">
        <f>VLOOKUP(E667, Sales_Reps!A$2:C$31, 3, FALSE)</f>
        <v>South</v>
      </c>
      <c r="R667">
        <f>VLOOKUP(D667, Products!A$2:D$61, 4, FALSE)</f>
        <v>647</v>
      </c>
    </row>
    <row r="668" spans="1:18" x14ac:dyDescent="0.3">
      <c r="A668" s="13" t="s">
        <v>1129</v>
      </c>
      <c r="B668" s="14">
        <v>45326</v>
      </c>
      <c r="C668" s="13" t="s">
        <v>705</v>
      </c>
      <c r="D668" s="13" t="s">
        <v>226</v>
      </c>
      <c r="E668" s="13" t="s">
        <v>325</v>
      </c>
      <c r="F668" s="15">
        <v>8</v>
      </c>
      <c r="G668" s="15">
        <v>3730</v>
      </c>
      <c r="H668" s="15">
        <v>21.1</v>
      </c>
      <c r="I668" s="15">
        <v>23543.759999999998</v>
      </c>
      <c r="J668" s="13" t="s">
        <v>87</v>
      </c>
      <c r="K668" s="13" t="s">
        <v>99</v>
      </c>
      <c r="L668">
        <f>IF(COUNTIF(A$2:A668, A668)=1, IF(COUNTIF(A$2:A$2001, A668)&gt;1, 1, 0), 0)</f>
        <v>0</v>
      </c>
      <c r="M668" t="b">
        <f>VLOOKUP(D668, Products!A$2:F$61, 6, FALSE)</f>
        <v>1</v>
      </c>
      <c r="N668" t="str">
        <f>VLOOKUP(D668, Products!A$2:C$61, 3, FALSE)</f>
        <v>Home</v>
      </c>
      <c r="O668" t="str">
        <f>VLOOKUP(C668, Customers!A$2:E$301, 5, FALSE)</f>
        <v>Retail</v>
      </c>
      <c r="P668">
        <f>VLOOKUP(C668, Customers!A$2:C$301, 3, FALSE)</f>
        <v>53</v>
      </c>
      <c r="Q668" t="str">
        <f>VLOOKUP(E668, Sales_Reps!A$2:C$31, 3, FALSE)</f>
        <v>South</v>
      </c>
      <c r="R668">
        <f>VLOOKUP(D668, Products!A$2:D$61, 4, FALSE)</f>
        <v>2135</v>
      </c>
    </row>
    <row r="669" spans="1:18" x14ac:dyDescent="0.3">
      <c r="A669" s="13" t="s">
        <v>1130</v>
      </c>
      <c r="B669" s="14">
        <v>45635</v>
      </c>
      <c r="C669" s="13" t="s">
        <v>247</v>
      </c>
      <c r="D669" s="13" t="s">
        <v>200</v>
      </c>
      <c r="E669" s="13" t="s">
        <v>154</v>
      </c>
      <c r="F669" s="15">
        <v>7</v>
      </c>
      <c r="G669" s="15">
        <v>2760</v>
      </c>
      <c r="H669" s="15">
        <v>1.2</v>
      </c>
      <c r="I669" s="15">
        <v>19088.16</v>
      </c>
      <c r="J669" s="13" t="s">
        <v>140</v>
      </c>
      <c r="K669" s="13" t="s">
        <v>117</v>
      </c>
      <c r="L669">
        <f>IF(COUNTIF(A$2:A669, A669)=1, IF(COUNTIF(A$2:A$2001, A669)&gt;1, 1, 0), 0)</f>
        <v>0</v>
      </c>
      <c r="M669" t="b">
        <f>VLOOKUP(D669, Products!A$2:F$61, 6, FALSE)</f>
        <v>1</v>
      </c>
      <c r="N669" t="str">
        <f>VLOOKUP(D669, Products!A$2:C$61, 3, FALSE)</f>
        <v>Grocery</v>
      </c>
      <c r="O669" t="str">
        <f>VLOOKUP(C669, Customers!A$2:E$301, 5, FALSE)</f>
        <v>Retail</v>
      </c>
      <c r="P669">
        <f>VLOOKUP(C669, Customers!A$2:C$301, 3, FALSE)</f>
        <v>34</v>
      </c>
      <c r="Q669" t="str">
        <f>VLOOKUP(E669, Sales_Reps!A$2:C$31, 3, FALSE)</f>
        <v>East</v>
      </c>
      <c r="R669">
        <f>VLOOKUP(D669, Products!A$2:D$61, 4, FALSE)</f>
        <v>1435</v>
      </c>
    </row>
    <row r="670" spans="1:18" x14ac:dyDescent="0.3">
      <c r="A670" s="13" t="s">
        <v>1131</v>
      </c>
      <c r="B670" s="14">
        <v>45431</v>
      </c>
      <c r="C670" s="13" t="s">
        <v>362</v>
      </c>
      <c r="D670" s="13" t="s">
        <v>408</v>
      </c>
      <c r="E670" s="13" t="s">
        <v>192</v>
      </c>
      <c r="F670" s="15">
        <v>3</v>
      </c>
      <c r="G670" s="15">
        <v>3970</v>
      </c>
      <c r="H670" s="15">
        <v>18.3</v>
      </c>
      <c r="I670" s="15">
        <v>9730.4699999999993</v>
      </c>
      <c r="J670" s="13" t="s">
        <v>87</v>
      </c>
      <c r="K670" s="13" t="s">
        <v>94</v>
      </c>
      <c r="L670">
        <f>IF(COUNTIF(A$2:A670, A670)=1, IF(COUNTIF(A$2:A$2001, A670)&gt;1, 1, 0), 0)</f>
        <v>0</v>
      </c>
      <c r="M670" t="b">
        <f>VLOOKUP(D670, Products!A$2:F$61, 6, FALSE)</f>
        <v>1</v>
      </c>
      <c r="N670" t="str">
        <f>VLOOKUP(D670, Products!A$2:C$61, 3, FALSE)</f>
        <v>Electronics</v>
      </c>
      <c r="O670" t="str">
        <f>VLOOKUP(C670, Customers!A$2:E$301, 5, FALSE)</f>
        <v>Corporate</v>
      </c>
      <c r="P670">
        <f>VLOOKUP(C670, Customers!A$2:C$301, 3, FALSE)</f>
        <v>51</v>
      </c>
      <c r="Q670" t="str">
        <f>VLOOKUP(E670, Sales_Reps!A$2:C$31, 3, FALSE)</f>
        <v>East</v>
      </c>
      <c r="R670">
        <f>VLOOKUP(D670, Products!A$2:D$61, 4, FALSE)</f>
        <v>2865</v>
      </c>
    </row>
    <row r="671" spans="1:18" x14ac:dyDescent="0.3">
      <c r="A671" s="13" t="s">
        <v>1132</v>
      </c>
      <c r="B671" s="14">
        <v>45393</v>
      </c>
      <c r="C671" s="13" t="s">
        <v>394</v>
      </c>
      <c r="D671" s="13" t="s">
        <v>234</v>
      </c>
      <c r="E671" s="13" t="s">
        <v>154</v>
      </c>
      <c r="F671" s="15">
        <v>4</v>
      </c>
      <c r="G671" s="15">
        <v>3780</v>
      </c>
      <c r="H671" s="15">
        <v>24.6</v>
      </c>
      <c r="I671" s="15">
        <v>11400.48</v>
      </c>
      <c r="J671" s="13" t="s">
        <v>87</v>
      </c>
      <c r="K671" s="13" t="s">
        <v>117</v>
      </c>
      <c r="L671">
        <f>IF(COUNTIF(A$2:A671, A671)=1, IF(COUNTIF(A$2:A$2001, A671)&gt;1, 1, 0), 0)</f>
        <v>0</v>
      </c>
      <c r="M671" t="b">
        <f>VLOOKUP(D671, Products!A$2:F$61, 6, FALSE)</f>
        <v>1</v>
      </c>
      <c r="N671" t="str">
        <f>VLOOKUP(D671, Products!A$2:C$61, 3, FALSE)</f>
        <v>Grocery</v>
      </c>
      <c r="O671" t="str">
        <f>VLOOKUP(C671, Customers!A$2:E$301, 5, FALSE)</f>
        <v>SMB</v>
      </c>
      <c r="P671">
        <f>VLOOKUP(C671, Customers!A$2:C$301, 3, FALSE)</f>
        <v>28</v>
      </c>
      <c r="Q671" t="str">
        <f>VLOOKUP(E671, Sales_Reps!A$2:C$31, 3, FALSE)</f>
        <v>East</v>
      </c>
      <c r="R671">
        <f>VLOOKUP(D671, Products!A$2:D$61, 4, FALSE)</f>
        <v>2436</v>
      </c>
    </row>
    <row r="672" spans="1:18" x14ac:dyDescent="0.3">
      <c r="A672" s="13" t="s">
        <v>1133</v>
      </c>
      <c r="B672" s="14">
        <v>45295</v>
      </c>
      <c r="C672" s="13" t="s">
        <v>835</v>
      </c>
      <c r="D672" s="13" t="s">
        <v>173</v>
      </c>
      <c r="E672" s="13" t="s">
        <v>107</v>
      </c>
      <c r="F672" s="15">
        <v>10</v>
      </c>
      <c r="G672" s="15">
        <v>2720</v>
      </c>
      <c r="H672" s="15">
        <v>12.8</v>
      </c>
      <c r="I672" s="15">
        <v>23718.400000000001</v>
      </c>
      <c r="J672" s="13" t="s">
        <v>87</v>
      </c>
      <c r="K672" s="13" t="s">
        <v>117</v>
      </c>
      <c r="L672">
        <f>IF(COUNTIF(A$2:A672, A672)=1, IF(COUNTIF(A$2:A$2001, A672)&gt;1, 1, 0), 0)</f>
        <v>0</v>
      </c>
      <c r="M672" t="b">
        <f>VLOOKUP(D672, Products!A$2:F$61, 6, FALSE)</f>
        <v>1</v>
      </c>
      <c r="N672" t="str">
        <f>VLOOKUP(D672, Products!A$2:C$61, 3, FALSE)</f>
        <v>Apparel</v>
      </c>
      <c r="O672" t="str">
        <f>VLOOKUP(C672, Customers!A$2:E$301, 5, FALSE)</f>
        <v>Retail</v>
      </c>
      <c r="P672">
        <f>VLOOKUP(C672, Customers!A$2:C$301, 3, FALSE)</f>
        <v>52</v>
      </c>
      <c r="Q672" t="str">
        <f>VLOOKUP(E672, Sales_Reps!A$2:C$31, 3, FALSE)</f>
        <v>North</v>
      </c>
      <c r="R672">
        <f>VLOOKUP(D672, Products!A$2:D$61, 4, FALSE)</f>
        <v>1962</v>
      </c>
    </row>
    <row r="673" spans="1:18" x14ac:dyDescent="0.3">
      <c r="A673" s="13" t="s">
        <v>1134</v>
      </c>
      <c r="B673" s="14">
        <v>45371</v>
      </c>
      <c r="C673" s="13" t="s">
        <v>336</v>
      </c>
      <c r="D673" s="13" t="s">
        <v>408</v>
      </c>
      <c r="E673" s="13" t="s">
        <v>238</v>
      </c>
      <c r="F673" s="15">
        <v>5</v>
      </c>
      <c r="G673" s="15">
        <v>3970</v>
      </c>
      <c r="H673" s="15">
        <v>5.9</v>
      </c>
      <c r="I673" s="15">
        <v>18678.849999999999</v>
      </c>
      <c r="J673" s="13" t="s">
        <v>87</v>
      </c>
      <c r="K673" s="13" t="s">
        <v>112</v>
      </c>
      <c r="L673">
        <f>IF(COUNTIF(A$2:A673, A673)=1, IF(COUNTIF(A$2:A$2001, A673)&gt;1, 1, 0), 0)</f>
        <v>0</v>
      </c>
      <c r="M673" t="b">
        <f>VLOOKUP(D673, Products!A$2:F$61, 6, FALSE)</f>
        <v>1</v>
      </c>
      <c r="N673" t="str">
        <f>VLOOKUP(D673, Products!A$2:C$61, 3, FALSE)</f>
        <v>Electronics</v>
      </c>
      <c r="O673" t="str">
        <f>VLOOKUP(C673, Customers!A$2:E$301, 5, FALSE)</f>
        <v>Retail</v>
      </c>
      <c r="P673">
        <f>VLOOKUP(C673, Customers!A$2:C$301, 3, FALSE)</f>
        <v>49</v>
      </c>
      <c r="Q673" t="str">
        <f>VLOOKUP(E673, Sales_Reps!A$2:C$31, 3, FALSE)</f>
        <v>East</v>
      </c>
      <c r="R673">
        <f>VLOOKUP(D673, Products!A$2:D$61, 4, FALSE)</f>
        <v>2865</v>
      </c>
    </row>
    <row r="674" spans="1:18" x14ac:dyDescent="0.3">
      <c r="A674" s="13" t="s">
        <v>1135</v>
      </c>
      <c r="B674" s="14">
        <v>45601</v>
      </c>
      <c r="C674" s="13" t="s">
        <v>142</v>
      </c>
      <c r="D674" s="13" t="s">
        <v>91</v>
      </c>
      <c r="E674" s="13" t="s">
        <v>273</v>
      </c>
      <c r="F674" s="15">
        <v>3</v>
      </c>
      <c r="G674" s="15">
        <v>820</v>
      </c>
      <c r="H674" s="15">
        <v>19.399999999999999</v>
      </c>
      <c r="I674" s="15">
        <v>1982.76</v>
      </c>
      <c r="J674" s="13" t="s">
        <v>87</v>
      </c>
      <c r="K674" s="13" t="s">
        <v>88</v>
      </c>
      <c r="L674">
        <f>IF(COUNTIF(A$2:A674, A674)=1, IF(COUNTIF(A$2:A$2001, A674)&gt;1, 1, 0), 0)</f>
        <v>0</v>
      </c>
      <c r="M674" t="b">
        <f>VLOOKUP(D674, Products!A$2:F$61, 6, FALSE)</f>
        <v>1</v>
      </c>
      <c r="N674" t="str">
        <f>VLOOKUP(D674, Products!A$2:C$61, 3, FALSE)</f>
        <v>Apparel</v>
      </c>
      <c r="O674" t="str">
        <f>VLOOKUP(C674, Customers!A$2:E$301, 5, FALSE)</f>
        <v>SMB</v>
      </c>
      <c r="P674">
        <f>VLOOKUP(C674, Customers!A$2:C$301, 3, FALSE)</f>
        <v>39</v>
      </c>
      <c r="Q674" t="str">
        <f>VLOOKUP(E674, Sales_Reps!A$2:C$31, 3, FALSE)</f>
        <v>South</v>
      </c>
      <c r="R674">
        <f>VLOOKUP(D674, Products!A$2:D$61, 4, FALSE)</f>
        <v>391</v>
      </c>
    </row>
    <row r="675" spans="1:18" x14ac:dyDescent="0.3">
      <c r="A675" s="13" t="s">
        <v>1136</v>
      </c>
      <c r="B675" s="14">
        <v>45471</v>
      </c>
      <c r="C675" s="13" t="s">
        <v>555</v>
      </c>
      <c r="D675" s="13" t="s">
        <v>292</v>
      </c>
      <c r="E675" s="13" t="s">
        <v>132</v>
      </c>
      <c r="F675" s="15">
        <v>7</v>
      </c>
      <c r="G675" s="15">
        <v>620</v>
      </c>
      <c r="H675" s="15">
        <v>9.9</v>
      </c>
      <c r="I675" s="15">
        <v>3910.34</v>
      </c>
      <c r="J675" s="13" t="s">
        <v>87</v>
      </c>
      <c r="K675" s="13" t="s">
        <v>112</v>
      </c>
      <c r="L675">
        <f>IF(COUNTIF(A$2:A675, A675)=1, IF(COUNTIF(A$2:A$2001, A675)&gt;1, 1, 0), 0)</f>
        <v>0</v>
      </c>
      <c r="M675" t="b">
        <f>VLOOKUP(D675, Products!A$2:F$61, 6, FALSE)</f>
        <v>1</v>
      </c>
      <c r="N675" t="str">
        <f>VLOOKUP(D675, Products!A$2:C$61, 3, FALSE)</f>
        <v>Apparel</v>
      </c>
      <c r="O675" t="str">
        <f>VLOOKUP(C675, Customers!A$2:E$301, 5, FALSE)</f>
        <v>Retail</v>
      </c>
      <c r="P675">
        <f>VLOOKUP(C675, Customers!A$2:C$301, 3, FALSE)</f>
        <v>37</v>
      </c>
      <c r="Q675" t="str">
        <f>VLOOKUP(E675, Sales_Reps!A$2:C$31, 3, FALSE)</f>
        <v>South</v>
      </c>
      <c r="R675">
        <f>VLOOKUP(D675, Products!A$2:D$61, 4, FALSE)</f>
        <v>396</v>
      </c>
    </row>
    <row r="676" spans="1:18" x14ac:dyDescent="0.3">
      <c r="A676" s="13" t="s">
        <v>1137</v>
      </c>
      <c r="B676" s="14">
        <v>45318</v>
      </c>
      <c r="C676" s="13" t="s">
        <v>669</v>
      </c>
      <c r="D676" s="13" t="s">
        <v>386</v>
      </c>
      <c r="E676" s="13" t="s">
        <v>343</v>
      </c>
      <c r="F676" s="15">
        <v>8</v>
      </c>
      <c r="G676" s="15">
        <v>2290</v>
      </c>
      <c r="H676" s="15">
        <v>18.3</v>
      </c>
      <c r="I676" s="15">
        <v>14967.44</v>
      </c>
      <c r="J676" s="13" t="s">
        <v>87</v>
      </c>
      <c r="K676" s="13" t="s">
        <v>133</v>
      </c>
      <c r="L676">
        <f>IF(COUNTIF(A$2:A676, A676)=1, IF(COUNTIF(A$2:A$2001, A676)&gt;1, 1, 0), 0)</f>
        <v>0</v>
      </c>
      <c r="M676" t="b">
        <f>VLOOKUP(D676, Products!A$2:F$61, 6, FALSE)</f>
        <v>1</v>
      </c>
      <c r="N676" t="str">
        <f>VLOOKUP(D676, Products!A$2:C$61, 3, FALSE)</f>
        <v>Beauty</v>
      </c>
      <c r="O676" t="str">
        <f>VLOOKUP(C676, Customers!A$2:E$301, 5, FALSE)</f>
        <v>Retail</v>
      </c>
      <c r="P676">
        <f>VLOOKUP(C676, Customers!A$2:C$301, 3, FALSE)</f>
        <v>31</v>
      </c>
      <c r="Q676" t="str">
        <f>VLOOKUP(E676, Sales_Reps!A$2:C$31, 3, FALSE)</f>
        <v>West</v>
      </c>
      <c r="R676">
        <f>VLOOKUP(D676, Products!A$2:D$61, 4, FALSE)</f>
        <v>1219</v>
      </c>
    </row>
    <row r="677" spans="1:18" x14ac:dyDescent="0.3">
      <c r="A677" s="13" t="s">
        <v>1138</v>
      </c>
      <c r="B677" s="14">
        <v>45364</v>
      </c>
      <c r="C677" s="13" t="s">
        <v>567</v>
      </c>
      <c r="D677" s="13" t="s">
        <v>127</v>
      </c>
      <c r="E677" s="13" t="s">
        <v>111</v>
      </c>
      <c r="F677" s="15">
        <v>3</v>
      </c>
      <c r="G677" s="15">
        <v>970</v>
      </c>
      <c r="H677" s="15">
        <v>18.399999999999999</v>
      </c>
      <c r="I677" s="15">
        <v>2374.56</v>
      </c>
      <c r="J677" s="13" t="s">
        <v>87</v>
      </c>
      <c r="K677" s="13" t="s">
        <v>117</v>
      </c>
      <c r="L677">
        <f>IF(COUNTIF(A$2:A677, A677)=1, IF(COUNTIF(A$2:A$2001, A677)&gt;1, 1, 0), 0)</f>
        <v>0</v>
      </c>
      <c r="M677" t="b">
        <f>VLOOKUP(D677, Products!A$2:F$61, 6, FALSE)</f>
        <v>1</v>
      </c>
      <c r="N677" t="str">
        <f>VLOOKUP(D677, Products!A$2:C$61, 3, FALSE)</f>
        <v>Grocery</v>
      </c>
      <c r="O677" t="str">
        <f>VLOOKUP(C677, Customers!A$2:E$301, 5, FALSE)</f>
        <v>Corporate</v>
      </c>
      <c r="P677">
        <f>VLOOKUP(C677, Customers!A$2:C$301, 3, FALSE)</f>
        <v>41</v>
      </c>
      <c r="Q677" t="str">
        <f>VLOOKUP(E677, Sales_Reps!A$2:C$31, 3, FALSE)</f>
        <v>West</v>
      </c>
      <c r="R677">
        <f>VLOOKUP(D677, Products!A$2:D$61, 4, FALSE)</f>
        <v>434</v>
      </c>
    </row>
    <row r="678" spans="1:18" x14ac:dyDescent="0.3">
      <c r="A678" s="13" t="s">
        <v>1139</v>
      </c>
      <c r="B678" s="14">
        <v>45419</v>
      </c>
      <c r="C678" s="13" t="s">
        <v>968</v>
      </c>
      <c r="D678" s="13" t="s">
        <v>110</v>
      </c>
      <c r="E678" s="13" t="s">
        <v>98</v>
      </c>
      <c r="F678" s="15">
        <v>2</v>
      </c>
      <c r="G678" s="15">
        <v>370</v>
      </c>
      <c r="H678" s="15">
        <v>8.9</v>
      </c>
      <c r="I678" s="15">
        <v>674.14</v>
      </c>
      <c r="J678" s="13" t="s">
        <v>87</v>
      </c>
      <c r="K678" s="13" t="s">
        <v>99</v>
      </c>
      <c r="L678">
        <f>IF(COUNTIF(A$2:A678, A678)=1, IF(COUNTIF(A$2:A$2001, A678)&gt;1, 1, 0), 0)</f>
        <v>0</v>
      </c>
      <c r="M678" t="b">
        <f>VLOOKUP(D678, Products!A$2:F$61, 6, FALSE)</f>
        <v>1</v>
      </c>
      <c r="N678" t="str">
        <f>VLOOKUP(D678, Products!A$2:C$61, 3, FALSE)</f>
        <v>Home</v>
      </c>
      <c r="O678" t="str">
        <f>VLOOKUP(C678, Customers!A$2:E$301, 5, FALSE)</f>
        <v>Retail</v>
      </c>
      <c r="P678">
        <f>VLOOKUP(C678, Customers!A$2:C$301, 3, FALSE)</f>
        <v>47</v>
      </c>
      <c r="Q678" t="str">
        <f>VLOOKUP(E678, Sales_Reps!A$2:C$31, 3, FALSE)</f>
        <v>South</v>
      </c>
      <c r="R678">
        <f>VLOOKUP(D678, Products!A$2:D$61, 4, FALSE)</f>
        <v>288</v>
      </c>
    </row>
    <row r="679" spans="1:18" x14ac:dyDescent="0.3">
      <c r="A679" s="13" t="s">
        <v>1140</v>
      </c>
      <c r="B679" s="14">
        <v>45632</v>
      </c>
      <c r="C679" s="13" t="s">
        <v>725</v>
      </c>
      <c r="D679" s="13" t="s">
        <v>120</v>
      </c>
      <c r="E679" s="13" t="s">
        <v>86</v>
      </c>
      <c r="F679" s="15">
        <v>1</v>
      </c>
      <c r="G679" s="15">
        <v>1430</v>
      </c>
      <c r="H679" s="15">
        <v>5.9</v>
      </c>
      <c r="I679" s="15">
        <v>1345.63</v>
      </c>
      <c r="J679" s="13" t="s">
        <v>140</v>
      </c>
      <c r="K679" s="13" t="s">
        <v>99</v>
      </c>
      <c r="L679">
        <f>IF(COUNTIF(A$2:A679, A679)=1, IF(COUNTIF(A$2:A$2001, A679)&gt;1, 1, 0), 0)</f>
        <v>0</v>
      </c>
      <c r="M679" t="b">
        <f>VLOOKUP(D679, Products!A$2:F$61, 6, FALSE)</f>
        <v>1</v>
      </c>
      <c r="N679" t="str">
        <f>VLOOKUP(D679, Products!A$2:C$61, 3, FALSE)</f>
        <v>Electronics</v>
      </c>
      <c r="O679" t="str">
        <f>VLOOKUP(C679, Customers!A$2:E$301, 5, FALSE)</f>
        <v>SMB</v>
      </c>
      <c r="P679">
        <f>VLOOKUP(C679, Customers!A$2:C$301, 3, FALSE)</f>
        <v>26</v>
      </c>
      <c r="Q679" t="str">
        <f>VLOOKUP(E679, Sales_Reps!A$2:C$31, 3, FALSE)</f>
        <v>North</v>
      </c>
      <c r="R679">
        <f>VLOOKUP(D679, Products!A$2:D$61, 4, FALSE)</f>
        <v>861</v>
      </c>
    </row>
    <row r="680" spans="1:18" x14ac:dyDescent="0.3">
      <c r="A680" s="13" t="s">
        <v>1141</v>
      </c>
      <c r="B680" s="14">
        <v>45494</v>
      </c>
      <c r="C680" s="13" t="s">
        <v>837</v>
      </c>
      <c r="D680" s="13" t="s">
        <v>151</v>
      </c>
      <c r="E680" s="13" t="s">
        <v>170</v>
      </c>
      <c r="F680" s="15">
        <v>2</v>
      </c>
      <c r="G680" s="15">
        <v>2400</v>
      </c>
      <c r="H680" s="15">
        <v>29.1</v>
      </c>
      <c r="I680" s="15">
        <v>3403.2</v>
      </c>
      <c r="J680" s="13" t="s">
        <v>87</v>
      </c>
      <c r="K680" s="13" t="s">
        <v>117</v>
      </c>
      <c r="L680">
        <f>IF(COUNTIF(A$2:A680, A680)=1, IF(COUNTIF(A$2:A$2001, A680)&gt;1, 1, 0), 0)</f>
        <v>0</v>
      </c>
      <c r="M680" t="b">
        <f>VLOOKUP(D680, Products!A$2:F$61, 6, FALSE)</f>
        <v>1</v>
      </c>
      <c r="N680" t="str">
        <f>VLOOKUP(D680, Products!A$2:C$61, 3, FALSE)</f>
        <v>Sports</v>
      </c>
      <c r="O680" t="str">
        <f>VLOOKUP(C680, Customers!A$2:E$301, 5, FALSE)</f>
        <v>Retail</v>
      </c>
      <c r="P680">
        <f>VLOOKUP(C680, Customers!A$2:C$301, 3, FALSE)</f>
        <v>37</v>
      </c>
      <c r="Q680" t="str">
        <f>VLOOKUP(E680, Sales_Reps!A$2:C$31, 3, FALSE)</f>
        <v>West</v>
      </c>
      <c r="R680">
        <f>VLOOKUP(D680, Products!A$2:D$61, 4, FALSE)</f>
        <v>974</v>
      </c>
    </row>
    <row r="681" spans="1:18" x14ac:dyDescent="0.3">
      <c r="A681" s="13" t="s">
        <v>1142</v>
      </c>
      <c r="B681" s="14">
        <v>45337</v>
      </c>
      <c r="C681" s="13" t="s">
        <v>399</v>
      </c>
      <c r="D681" s="13" t="s">
        <v>120</v>
      </c>
      <c r="E681" s="13" t="s">
        <v>273</v>
      </c>
      <c r="F681" s="15">
        <v>9</v>
      </c>
      <c r="G681" s="15">
        <v>1430</v>
      </c>
      <c r="H681" s="15">
        <v>6</v>
      </c>
      <c r="I681" s="15">
        <v>12097.8</v>
      </c>
      <c r="J681" s="13" t="s">
        <v>87</v>
      </c>
      <c r="K681" s="13" t="s">
        <v>99</v>
      </c>
      <c r="L681">
        <f>IF(COUNTIF(A$2:A681, A681)=1, IF(COUNTIF(A$2:A$2001, A681)&gt;1, 1, 0), 0)</f>
        <v>0</v>
      </c>
      <c r="M681" t="b">
        <f>VLOOKUP(D681, Products!A$2:F$61, 6, FALSE)</f>
        <v>1</v>
      </c>
      <c r="N681" t="str">
        <f>VLOOKUP(D681, Products!A$2:C$61, 3, FALSE)</f>
        <v>Electronics</v>
      </c>
      <c r="O681" t="str">
        <f>VLOOKUP(C681, Customers!A$2:E$301, 5, FALSE)</f>
        <v>SMB</v>
      </c>
      <c r="P681">
        <f>VLOOKUP(C681, Customers!A$2:C$301, 3, FALSE)</f>
        <v>53</v>
      </c>
      <c r="Q681" t="str">
        <f>VLOOKUP(E681, Sales_Reps!A$2:C$31, 3, FALSE)</f>
        <v>South</v>
      </c>
      <c r="R681">
        <f>VLOOKUP(D681, Products!A$2:D$61, 4, FALSE)</f>
        <v>861</v>
      </c>
    </row>
    <row r="682" spans="1:18" x14ac:dyDescent="0.3">
      <c r="A682" s="13" t="s">
        <v>1143</v>
      </c>
      <c r="B682" s="14">
        <v>45510</v>
      </c>
      <c r="C682" s="13" t="s">
        <v>595</v>
      </c>
      <c r="D682" s="13" t="s">
        <v>173</v>
      </c>
      <c r="E682" s="13" t="s">
        <v>86</v>
      </c>
      <c r="F682" s="15">
        <v>8</v>
      </c>
      <c r="G682" s="15">
        <v>2720</v>
      </c>
      <c r="H682" s="15">
        <v>25.7</v>
      </c>
      <c r="I682" s="15">
        <v>16167.68</v>
      </c>
      <c r="J682" s="13" t="s">
        <v>87</v>
      </c>
      <c r="K682" s="13" t="s">
        <v>99</v>
      </c>
      <c r="L682">
        <f>IF(COUNTIF(A$2:A682, A682)=1, IF(COUNTIF(A$2:A$2001, A682)&gt;1, 1, 0), 0)</f>
        <v>0</v>
      </c>
      <c r="M682" t="b">
        <f>VLOOKUP(D682, Products!A$2:F$61, 6, FALSE)</f>
        <v>1</v>
      </c>
      <c r="N682" t="str">
        <f>VLOOKUP(D682, Products!A$2:C$61, 3, FALSE)</f>
        <v>Apparel</v>
      </c>
      <c r="O682" t="str">
        <f>VLOOKUP(C682, Customers!A$2:E$301, 5, FALSE)</f>
        <v>SMB</v>
      </c>
      <c r="P682">
        <f>VLOOKUP(C682, Customers!A$2:C$301, 3, FALSE)</f>
        <v>48</v>
      </c>
      <c r="Q682" t="str">
        <f>VLOOKUP(E682, Sales_Reps!A$2:C$31, 3, FALSE)</f>
        <v>North</v>
      </c>
      <c r="R682">
        <f>VLOOKUP(D682, Products!A$2:D$61, 4, FALSE)</f>
        <v>1962</v>
      </c>
    </row>
    <row r="683" spans="1:18" x14ac:dyDescent="0.3">
      <c r="A683" s="13" t="s">
        <v>1144</v>
      </c>
      <c r="B683" s="14">
        <v>45572</v>
      </c>
      <c r="C683" s="13" t="s">
        <v>717</v>
      </c>
      <c r="D683" s="13" t="s">
        <v>515</v>
      </c>
      <c r="E683" s="13" t="s">
        <v>343</v>
      </c>
      <c r="F683" s="15">
        <v>6</v>
      </c>
      <c r="G683" s="15">
        <v>6940</v>
      </c>
      <c r="H683" s="15">
        <v>25.7</v>
      </c>
      <c r="I683" s="15">
        <v>30938.52</v>
      </c>
      <c r="J683" s="13" t="s">
        <v>87</v>
      </c>
      <c r="K683" s="13" t="s">
        <v>94</v>
      </c>
      <c r="L683">
        <f>IF(COUNTIF(A$2:A683, A683)=1, IF(COUNTIF(A$2:A$2001, A683)&gt;1, 1, 0), 0)</f>
        <v>0</v>
      </c>
      <c r="M683" t="b">
        <f>VLOOKUP(D683, Products!A$2:F$61, 6, FALSE)</f>
        <v>1</v>
      </c>
      <c r="N683" t="str">
        <f>VLOOKUP(D683, Products!A$2:C$61, 3, FALSE)</f>
        <v>Sports</v>
      </c>
      <c r="O683" t="str">
        <f>VLOOKUP(C683, Customers!A$2:E$301, 5, FALSE)</f>
        <v>Retail</v>
      </c>
      <c r="P683">
        <f>VLOOKUP(C683, Customers!A$2:C$301, 3, FALSE)</f>
        <v>24</v>
      </c>
      <c r="Q683" t="str">
        <f>VLOOKUP(E683, Sales_Reps!A$2:C$31, 3, FALSE)</f>
        <v>West</v>
      </c>
      <c r="R683">
        <f>VLOOKUP(D683, Products!A$2:D$61, 4, FALSE)</f>
        <v>2827</v>
      </c>
    </row>
    <row r="684" spans="1:18" x14ac:dyDescent="0.3">
      <c r="A684" s="13" t="s">
        <v>1145</v>
      </c>
      <c r="B684" s="14">
        <v>45472</v>
      </c>
      <c r="C684" s="13" t="s">
        <v>768</v>
      </c>
      <c r="D684" s="13" t="s">
        <v>85</v>
      </c>
      <c r="E684" s="13" t="s">
        <v>86</v>
      </c>
      <c r="F684" s="15">
        <v>3</v>
      </c>
      <c r="G684" s="15">
        <v>3620</v>
      </c>
      <c r="H684" s="15">
        <v>29.7</v>
      </c>
      <c r="I684" s="15">
        <v>7634.58</v>
      </c>
      <c r="J684" s="13" t="s">
        <v>87</v>
      </c>
      <c r="K684" s="13" t="s">
        <v>88</v>
      </c>
      <c r="L684">
        <f>IF(COUNTIF(A$2:A684, A684)=1, IF(COUNTIF(A$2:A$2001, A684)&gt;1, 1, 0), 0)</f>
        <v>0</v>
      </c>
      <c r="M684" t="b">
        <f>VLOOKUP(D684, Products!A$2:F$61, 6, FALSE)</f>
        <v>1</v>
      </c>
      <c r="N684" t="str">
        <f>VLOOKUP(D684, Products!A$2:C$61, 3, FALSE)</f>
        <v>Apparel</v>
      </c>
      <c r="O684" t="str">
        <f>VLOOKUP(C684, Customers!A$2:E$301, 5, FALSE)</f>
        <v>Corporate</v>
      </c>
      <c r="P684">
        <f>VLOOKUP(C684, Customers!A$2:C$301, 3, FALSE)</f>
        <v>42</v>
      </c>
      <c r="Q684" t="str">
        <f>VLOOKUP(E684, Sales_Reps!A$2:C$31, 3, FALSE)</f>
        <v>North</v>
      </c>
      <c r="R684">
        <f>VLOOKUP(D684, Products!A$2:D$61, 4, FALSE)</f>
        <v>2509</v>
      </c>
    </row>
    <row r="685" spans="1:18" x14ac:dyDescent="0.3">
      <c r="A685" s="13" t="s">
        <v>1146</v>
      </c>
      <c r="B685" s="14">
        <v>45615</v>
      </c>
      <c r="C685" s="13" t="s">
        <v>378</v>
      </c>
      <c r="D685" s="13" t="s">
        <v>135</v>
      </c>
      <c r="E685" s="13" t="s">
        <v>111</v>
      </c>
      <c r="F685" s="15">
        <v>8</v>
      </c>
      <c r="G685" s="15">
        <v>2640</v>
      </c>
      <c r="H685" s="15">
        <v>24.4</v>
      </c>
      <c r="I685" s="15">
        <v>15966.72</v>
      </c>
      <c r="J685" s="13" t="s">
        <v>87</v>
      </c>
      <c r="K685" s="13" t="s">
        <v>94</v>
      </c>
      <c r="L685">
        <f>IF(COUNTIF(A$2:A685, A685)=1, IF(COUNTIF(A$2:A$2001, A685)&gt;1, 1, 0), 0)</f>
        <v>0</v>
      </c>
      <c r="M685" t="b">
        <f>VLOOKUP(D685, Products!A$2:F$61, 6, FALSE)</f>
        <v>1</v>
      </c>
      <c r="N685" t="str">
        <f>VLOOKUP(D685, Products!A$2:C$61, 3, FALSE)</f>
        <v>Electronics</v>
      </c>
      <c r="O685" t="str">
        <f>VLOOKUP(C685, Customers!A$2:E$301, 5, FALSE)</f>
        <v>SMB</v>
      </c>
      <c r="P685">
        <f>VLOOKUP(C685, Customers!A$2:C$301, 3, FALSE)</f>
        <v>53</v>
      </c>
      <c r="Q685" t="str">
        <f>VLOOKUP(E685, Sales_Reps!A$2:C$31, 3, FALSE)</f>
        <v>West</v>
      </c>
      <c r="R685">
        <f>VLOOKUP(D685, Products!A$2:D$61, 4, FALSE)</f>
        <v>1149</v>
      </c>
    </row>
    <row r="686" spans="1:18" x14ac:dyDescent="0.3">
      <c r="A686" s="13" t="s">
        <v>1147</v>
      </c>
      <c r="B686" s="14">
        <v>45349</v>
      </c>
      <c r="C686" s="13" t="s">
        <v>729</v>
      </c>
      <c r="D686" s="13" t="s">
        <v>124</v>
      </c>
      <c r="E686" s="13" t="s">
        <v>103</v>
      </c>
      <c r="F686" s="15">
        <v>3</v>
      </c>
      <c r="G686" s="15">
        <v>5490</v>
      </c>
      <c r="H686" s="15">
        <v>13.5</v>
      </c>
      <c r="I686" s="15">
        <v>14246.55</v>
      </c>
      <c r="J686" s="13" t="s">
        <v>87</v>
      </c>
      <c r="K686" s="13" t="s">
        <v>112</v>
      </c>
      <c r="L686">
        <f>IF(COUNTIF(A$2:A686, A686)=1, IF(COUNTIF(A$2:A$2001, A686)&gt;1, 1, 0), 0)</f>
        <v>0</v>
      </c>
      <c r="M686" t="b">
        <f>VLOOKUP(D686, Products!A$2:F$61, 6, FALSE)</f>
        <v>1</v>
      </c>
      <c r="N686" t="str">
        <f>VLOOKUP(D686, Products!A$2:C$61, 3, FALSE)</f>
        <v>Home</v>
      </c>
      <c r="O686" t="str">
        <f>VLOOKUP(C686, Customers!A$2:E$301, 5, FALSE)</f>
        <v>Retail</v>
      </c>
      <c r="P686">
        <f>VLOOKUP(C686, Customers!A$2:C$301, 3, FALSE)</f>
        <v>56</v>
      </c>
      <c r="Q686" t="str">
        <f>VLOOKUP(E686, Sales_Reps!A$2:C$31, 3, FALSE)</f>
        <v>North</v>
      </c>
      <c r="R686">
        <f>VLOOKUP(D686, Products!A$2:D$61, 4, FALSE)</f>
        <v>2549</v>
      </c>
    </row>
    <row r="687" spans="1:18" x14ac:dyDescent="0.3">
      <c r="A687" s="13" t="s">
        <v>1148</v>
      </c>
      <c r="B687" s="14">
        <v>45413</v>
      </c>
      <c r="C687" s="13" t="s">
        <v>142</v>
      </c>
      <c r="D687" s="13" t="s">
        <v>443</v>
      </c>
      <c r="E687" s="13" t="s">
        <v>238</v>
      </c>
      <c r="F687" s="15">
        <v>3</v>
      </c>
      <c r="G687" s="15">
        <v>5080</v>
      </c>
      <c r="H687" s="15">
        <v>9.3000000000000007</v>
      </c>
      <c r="I687" s="15">
        <v>13822.68</v>
      </c>
      <c r="J687" s="13" t="s">
        <v>87</v>
      </c>
      <c r="K687" s="13" t="s">
        <v>88</v>
      </c>
      <c r="L687">
        <f>IF(COUNTIF(A$2:A687, A687)=1, IF(COUNTIF(A$2:A$2001, A687)&gt;1, 1, 0), 0)</f>
        <v>0</v>
      </c>
      <c r="M687" t="b">
        <f>VLOOKUP(D687, Products!A$2:F$61, 6, FALSE)</f>
        <v>1</v>
      </c>
      <c r="N687" t="str">
        <f>VLOOKUP(D687, Products!A$2:C$61, 3, FALSE)</f>
        <v>Home</v>
      </c>
      <c r="O687" t="str">
        <f>VLOOKUP(C687, Customers!A$2:E$301, 5, FALSE)</f>
        <v>SMB</v>
      </c>
      <c r="P687">
        <f>VLOOKUP(C687, Customers!A$2:C$301, 3, FALSE)</f>
        <v>39</v>
      </c>
      <c r="Q687" t="str">
        <f>VLOOKUP(E687, Sales_Reps!A$2:C$31, 3, FALSE)</f>
        <v>East</v>
      </c>
      <c r="R687">
        <f>VLOOKUP(D687, Products!A$2:D$61, 4, FALSE)</f>
        <v>2459</v>
      </c>
    </row>
    <row r="688" spans="1:18" x14ac:dyDescent="0.3">
      <c r="A688" s="13" t="s">
        <v>1149</v>
      </c>
      <c r="B688" s="14">
        <v>45515</v>
      </c>
      <c r="C688" s="13" t="s">
        <v>394</v>
      </c>
      <c r="D688" s="13" t="s">
        <v>386</v>
      </c>
      <c r="E688" s="13" t="s">
        <v>170</v>
      </c>
      <c r="F688" s="15">
        <v>4</v>
      </c>
      <c r="G688" s="15">
        <v>2290</v>
      </c>
      <c r="H688" s="15">
        <v>24.4</v>
      </c>
      <c r="I688" s="15">
        <v>6924.96</v>
      </c>
      <c r="J688" s="13" t="s">
        <v>87</v>
      </c>
      <c r="K688" s="13" t="s">
        <v>117</v>
      </c>
      <c r="L688">
        <f>IF(COUNTIF(A$2:A688, A688)=1, IF(COUNTIF(A$2:A$2001, A688)&gt;1, 1, 0), 0)</f>
        <v>0</v>
      </c>
      <c r="M688" t="b">
        <f>VLOOKUP(D688, Products!A$2:F$61, 6, FALSE)</f>
        <v>1</v>
      </c>
      <c r="N688" t="str">
        <f>VLOOKUP(D688, Products!A$2:C$61, 3, FALSE)</f>
        <v>Beauty</v>
      </c>
      <c r="O688" t="str">
        <f>VLOOKUP(C688, Customers!A$2:E$301, 5, FALSE)</f>
        <v>SMB</v>
      </c>
      <c r="P688">
        <f>VLOOKUP(C688, Customers!A$2:C$301, 3, FALSE)</f>
        <v>28</v>
      </c>
      <c r="Q688" t="str">
        <f>VLOOKUP(E688, Sales_Reps!A$2:C$31, 3, FALSE)</f>
        <v>West</v>
      </c>
      <c r="R688">
        <f>VLOOKUP(D688, Products!A$2:D$61, 4, FALSE)</f>
        <v>1219</v>
      </c>
    </row>
    <row r="689" spans="1:18" x14ac:dyDescent="0.3">
      <c r="A689" s="13" t="s">
        <v>1150</v>
      </c>
      <c r="B689" s="14">
        <v>45463</v>
      </c>
      <c r="C689" s="13" t="s">
        <v>413</v>
      </c>
      <c r="D689" s="13" t="s">
        <v>295</v>
      </c>
      <c r="E689" s="13" t="s">
        <v>273</v>
      </c>
      <c r="F689" s="15">
        <v>10</v>
      </c>
      <c r="G689" s="15">
        <v>2030</v>
      </c>
      <c r="H689" s="15">
        <v>13.6</v>
      </c>
      <c r="I689" s="15">
        <v>17539.2</v>
      </c>
      <c r="J689" s="13" t="s">
        <v>93</v>
      </c>
      <c r="K689" s="13" t="s">
        <v>88</v>
      </c>
      <c r="L689">
        <f>IF(COUNTIF(A$2:A689, A689)=1, IF(COUNTIF(A$2:A$2001, A689)&gt;1, 1, 0), 0)</f>
        <v>0</v>
      </c>
      <c r="M689" t="b">
        <f>VLOOKUP(D689, Products!A$2:F$61, 6, FALSE)</f>
        <v>1</v>
      </c>
      <c r="N689" t="str">
        <f>VLOOKUP(D689, Products!A$2:C$61, 3, FALSE)</f>
        <v>Home</v>
      </c>
      <c r="O689" t="str">
        <f>VLOOKUP(C689, Customers!A$2:E$301, 5, FALSE)</f>
        <v>Retail</v>
      </c>
      <c r="P689">
        <f>VLOOKUP(C689, Customers!A$2:C$301, 3, FALSE)</f>
        <v>22</v>
      </c>
      <c r="Q689" t="str">
        <f>VLOOKUP(E689, Sales_Reps!A$2:C$31, 3, FALSE)</f>
        <v>South</v>
      </c>
      <c r="R689">
        <f>VLOOKUP(D689, Products!A$2:D$61, 4, FALSE)</f>
        <v>1143</v>
      </c>
    </row>
    <row r="690" spans="1:18" x14ac:dyDescent="0.3">
      <c r="A690" s="13" t="s">
        <v>1151</v>
      </c>
      <c r="B690" s="14">
        <v>45607</v>
      </c>
      <c r="C690" s="13" t="s">
        <v>565</v>
      </c>
      <c r="D690" s="13" t="s">
        <v>120</v>
      </c>
      <c r="E690" s="13" t="s">
        <v>325</v>
      </c>
      <c r="F690" s="15">
        <v>10</v>
      </c>
      <c r="G690" s="15">
        <v>1430</v>
      </c>
      <c r="H690" s="15">
        <v>16.100000000000001</v>
      </c>
      <c r="I690" s="15">
        <v>11997.7</v>
      </c>
      <c r="J690" s="13" t="s">
        <v>140</v>
      </c>
      <c r="K690" s="13" t="s">
        <v>112</v>
      </c>
      <c r="L690">
        <f>IF(COUNTIF(A$2:A690, A690)=1, IF(COUNTIF(A$2:A$2001, A690)&gt;1, 1, 0), 0)</f>
        <v>0</v>
      </c>
      <c r="M690" t="b">
        <f>VLOOKUP(D690, Products!A$2:F$61, 6, FALSE)</f>
        <v>1</v>
      </c>
      <c r="N690" t="str">
        <f>VLOOKUP(D690, Products!A$2:C$61, 3, FALSE)</f>
        <v>Electronics</v>
      </c>
      <c r="O690" t="str">
        <f>VLOOKUP(C690, Customers!A$2:E$301, 5, FALSE)</f>
        <v>SMB</v>
      </c>
      <c r="P690">
        <f>VLOOKUP(C690, Customers!A$2:C$301, 3, FALSE)</f>
        <v>61</v>
      </c>
      <c r="Q690" t="str">
        <f>VLOOKUP(E690, Sales_Reps!A$2:C$31, 3, FALSE)</f>
        <v>South</v>
      </c>
      <c r="R690">
        <f>VLOOKUP(D690, Products!A$2:D$61, 4, FALSE)</f>
        <v>861</v>
      </c>
    </row>
    <row r="691" spans="1:18" x14ac:dyDescent="0.3">
      <c r="A691" s="13" t="s">
        <v>1152</v>
      </c>
      <c r="B691" s="14">
        <v>45357</v>
      </c>
      <c r="C691" s="13" t="s">
        <v>1062</v>
      </c>
      <c r="D691" s="13" t="s">
        <v>234</v>
      </c>
      <c r="E691" s="13" t="s">
        <v>204</v>
      </c>
      <c r="F691" s="15">
        <v>1</v>
      </c>
      <c r="G691" s="15">
        <v>3780</v>
      </c>
      <c r="H691" s="15">
        <v>22.7</v>
      </c>
      <c r="I691" s="15">
        <v>2921.94</v>
      </c>
      <c r="J691" s="13" t="s">
        <v>87</v>
      </c>
      <c r="K691" s="13" t="s">
        <v>112</v>
      </c>
      <c r="L691">
        <f>IF(COUNTIF(A$2:A691, A691)=1, IF(COUNTIF(A$2:A$2001, A691)&gt;1, 1, 0), 0)</f>
        <v>0</v>
      </c>
      <c r="M691" t="b">
        <f>VLOOKUP(D691, Products!A$2:F$61, 6, FALSE)</f>
        <v>1</v>
      </c>
      <c r="N691" t="str">
        <f>VLOOKUP(D691, Products!A$2:C$61, 3, FALSE)</f>
        <v>Grocery</v>
      </c>
      <c r="O691" t="str">
        <f>VLOOKUP(C691, Customers!A$2:E$301, 5, FALSE)</f>
        <v>SMB</v>
      </c>
      <c r="P691">
        <f>VLOOKUP(C691, Customers!A$2:C$301, 3, FALSE)</f>
        <v>54</v>
      </c>
      <c r="Q691" t="str">
        <f>VLOOKUP(E691, Sales_Reps!A$2:C$31, 3, FALSE)</f>
        <v>South</v>
      </c>
      <c r="R691">
        <f>VLOOKUP(D691, Products!A$2:D$61, 4, FALSE)</f>
        <v>2436</v>
      </c>
    </row>
    <row r="692" spans="1:18" x14ac:dyDescent="0.3">
      <c r="A692" s="13" t="s">
        <v>1153</v>
      </c>
      <c r="B692" s="14">
        <v>45443</v>
      </c>
      <c r="C692" s="13" t="s">
        <v>392</v>
      </c>
      <c r="D692" s="13" t="s">
        <v>106</v>
      </c>
      <c r="E692" s="13" t="s">
        <v>158</v>
      </c>
      <c r="F692" s="15">
        <v>10</v>
      </c>
      <c r="G692" s="15">
        <v>3160</v>
      </c>
      <c r="H692" s="15">
        <v>13.4</v>
      </c>
      <c r="I692" s="15">
        <v>27365.599999999999</v>
      </c>
      <c r="J692" s="13" t="s">
        <v>87</v>
      </c>
      <c r="K692" s="13" t="s">
        <v>112</v>
      </c>
      <c r="L692">
        <f>IF(COUNTIF(A$2:A692, A692)=1, IF(COUNTIF(A$2:A$2001, A692)&gt;1, 1, 0), 0)</f>
        <v>0</v>
      </c>
      <c r="M692" t="b">
        <f>VLOOKUP(D692, Products!A$2:F$61, 6, FALSE)</f>
        <v>1</v>
      </c>
      <c r="N692" t="str">
        <f>VLOOKUP(D692, Products!A$2:C$61, 3, FALSE)</f>
        <v>Apparel</v>
      </c>
      <c r="O692" t="str">
        <f>VLOOKUP(C692, Customers!A$2:E$301, 5, FALSE)</f>
        <v>Retail</v>
      </c>
      <c r="P692">
        <f>VLOOKUP(C692, Customers!A$2:C$301, 3, FALSE)</f>
        <v>50</v>
      </c>
      <c r="Q692" t="str">
        <f>VLOOKUP(E692, Sales_Reps!A$2:C$31, 3, FALSE)</f>
        <v>East</v>
      </c>
      <c r="R692">
        <f>VLOOKUP(D692, Products!A$2:D$61, 4, FALSE)</f>
        <v>1886</v>
      </c>
    </row>
    <row r="693" spans="1:18" x14ac:dyDescent="0.3">
      <c r="A693" s="13" t="s">
        <v>1154</v>
      </c>
      <c r="B693" s="14">
        <v>45422</v>
      </c>
      <c r="C693" s="13" t="s">
        <v>442</v>
      </c>
      <c r="D693" s="13" t="s">
        <v>120</v>
      </c>
      <c r="E693" s="13" t="s">
        <v>148</v>
      </c>
      <c r="F693" s="15">
        <v>2</v>
      </c>
      <c r="G693" s="15">
        <v>1430</v>
      </c>
      <c r="H693" s="15">
        <v>7.4</v>
      </c>
      <c r="I693" s="15">
        <v>2648.36</v>
      </c>
      <c r="J693" s="13" t="s">
        <v>87</v>
      </c>
      <c r="K693" s="13" t="s">
        <v>88</v>
      </c>
      <c r="L693">
        <f>IF(COUNTIF(A$2:A693, A693)=1, IF(COUNTIF(A$2:A$2001, A693)&gt;1, 1, 0), 0)</f>
        <v>0</v>
      </c>
      <c r="M693" t="b">
        <f>VLOOKUP(D693, Products!A$2:F$61, 6, FALSE)</f>
        <v>1</v>
      </c>
      <c r="N693" t="str">
        <f>VLOOKUP(D693, Products!A$2:C$61, 3, FALSE)</f>
        <v>Electronics</v>
      </c>
      <c r="O693" t="str">
        <f>VLOOKUP(C693, Customers!A$2:E$301, 5, FALSE)</f>
        <v>Retail</v>
      </c>
      <c r="P693">
        <f>VLOOKUP(C693, Customers!A$2:C$301, 3, FALSE)</f>
        <v>65</v>
      </c>
      <c r="Q693" t="str">
        <f>VLOOKUP(E693, Sales_Reps!A$2:C$31, 3, FALSE)</f>
        <v>North</v>
      </c>
      <c r="R693">
        <f>VLOOKUP(D693, Products!A$2:D$61, 4, FALSE)</f>
        <v>861</v>
      </c>
    </row>
    <row r="694" spans="1:18" x14ac:dyDescent="0.3">
      <c r="A694" s="13" t="s">
        <v>1155</v>
      </c>
      <c r="B694" s="14">
        <v>45640</v>
      </c>
      <c r="C694" s="13" t="s">
        <v>231</v>
      </c>
      <c r="D694" s="13" t="s">
        <v>106</v>
      </c>
      <c r="E694" s="13" t="s">
        <v>103</v>
      </c>
      <c r="F694" s="15">
        <v>5</v>
      </c>
      <c r="G694" s="15">
        <v>3160</v>
      </c>
      <c r="H694" s="15">
        <v>3.6</v>
      </c>
      <c r="I694" s="15">
        <v>15231.2</v>
      </c>
      <c r="J694" s="13" t="s">
        <v>93</v>
      </c>
      <c r="K694" s="13" t="s">
        <v>117</v>
      </c>
      <c r="L694">
        <f>IF(COUNTIF(A$2:A694, A694)=1, IF(COUNTIF(A$2:A$2001, A694)&gt;1, 1, 0), 0)</f>
        <v>0</v>
      </c>
      <c r="M694" t="b">
        <f>VLOOKUP(D694, Products!A$2:F$61, 6, FALSE)</f>
        <v>1</v>
      </c>
      <c r="N694" t="str">
        <f>VLOOKUP(D694, Products!A$2:C$61, 3, FALSE)</f>
        <v>Apparel</v>
      </c>
      <c r="O694" t="str">
        <f>VLOOKUP(C694, Customers!A$2:E$301, 5, FALSE)</f>
        <v>SMB</v>
      </c>
      <c r="P694">
        <f>VLOOKUP(C694, Customers!A$2:C$301, 3, FALSE)</f>
        <v>64</v>
      </c>
      <c r="Q694" t="str">
        <f>VLOOKUP(E694, Sales_Reps!A$2:C$31, 3, FALSE)</f>
        <v>North</v>
      </c>
      <c r="R694">
        <f>VLOOKUP(D694, Products!A$2:D$61, 4, FALSE)</f>
        <v>1886</v>
      </c>
    </row>
    <row r="695" spans="1:18" x14ac:dyDescent="0.3">
      <c r="A695" s="13" t="s">
        <v>1156</v>
      </c>
      <c r="B695" s="14">
        <v>45521</v>
      </c>
      <c r="C695" s="13" t="s">
        <v>807</v>
      </c>
      <c r="D695" s="13" t="s">
        <v>386</v>
      </c>
      <c r="E695" s="13" t="s">
        <v>139</v>
      </c>
      <c r="F695" s="15">
        <v>2</v>
      </c>
      <c r="G695" s="15">
        <v>2290</v>
      </c>
      <c r="H695" s="15">
        <v>28.2</v>
      </c>
      <c r="I695" s="15">
        <v>3288.44</v>
      </c>
      <c r="J695" s="13" t="s">
        <v>87</v>
      </c>
      <c r="K695" s="13" t="s">
        <v>88</v>
      </c>
      <c r="L695">
        <f>IF(COUNTIF(A$2:A695, A695)=1, IF(COUNTIF(A$2:A$2001, A695)&gt;1, 1, 0), 0)</f>
        <v>0</v>
      </c>
      <c r="M695" t="b">
        <f>VLOOKUP(D695, Products!A$2:F$61, 6, FALSE)</f>
        <v>1</v>
      </c>
      <c r="N695" t="str">
        <f>VLOOKUP(D695, Products!A$2:C$61, 3, FALSE)</f>
        <v>Beauty</v>
      </c>
      <c r="O695" t="str">
        <f>VLOOKUP(C695, Customers!A$2:E$301, 5, FALSE)</f>
        <v>Retail</v>
      </c>
      <c r="P695">
        <f>VLOOKUP(C695, Customers!A$2:C$301, 3, FALSE)</f>
        <v>36</v>
      </c>
      <c r="Q695" t="str">
        <f>VLOOKUP(E695, Sales_Reps!A$2:C$31, 3, FALSE)</f>
        <v>North</v>
      </c>
      <c r="R695">
        <f>VLOOKUP(D695, Products!A$2:D$61, 4, FALSE)</f>
        <v>1219</v>
      </c>
    </row>
    <row r="696" spans="1:18" x14ac:dyDescent="0.3">
      <c r="A696" s="13" t="s">
        <v>1157</v>
      </c>
      <c r="B696" s="14">
        <v>45366</v>
      </c>
      <c r="C696" s="13" t="s">
        <v>738</v>
      </c>
      <c r="D696" s="13" t="s">
        <v>452</v>
      </c>
      <c r="E696" s="13" t="s">
        <v>188</v>
      </c>
      <c r="F696" s="15">
        <v>5</v>
      </c>
      <c r="G696" s="15">
        <v>3450</v>
      </c>
      <c r="H696" s="15">
        <v>18.100000000000001</v>
      </c>
      <c r="I696" s="15">
        <v>14127.75</v>
      </c>
      <c r="J696" s="13" t="s">
        <v>140</v>
      </c>
      <c r="K696" s="13" t="s">
        <v>88</v>
      </c>
      <c r="L696">
        <f>IF(COUNTIF(A$2:A696, A696)=1, IF(COUNTIF(A$2:A$2001, A696)&gt;1, 1, 0), 0)</f>
        <v>0</v>
      </c>
      <c r="M696" t="b">
        <f>VLOOKUP(D696, Products!A$2:F$61, 6, FALSE)</f>
        <v>1</v>
      </c>
      <c r="N696" t="str">
        <f>VLOOKUP(D696, Products!A$2:C$61, 3, FALSE)</f>
        <v>Apparel</v>
      </c>
      <c r="O696" t="str">
        <f>VLOOKUP(C696, Customers!A$2:E$301, 5, FALSE)</f>
        <v>Retail</v>
      </c>
      <c r="P696">
        <f>VLOOKUP(C696, Customers!A$2:C$301, 3, FALSE)</f>
        <v>36</v>
      </c>
      <c r="Q696" t="str">
        <f>VLOOKUP(E696, Sales_Reps!A$2:C$31, 3, FALSE)</f>
        <v>South</v>
      </c>
      <c r="R696">
        <f>VLOOKUP(D696, Products!A$2:D$61, 4, FALSE)</f>
        <v>1748</v>
      </c>
    </row>
    <row r="697" spans="1:18" x14ac:dyDescent="0.3">
      <c r="A697" s="13" t="s">
        <v>1158</v>
      </c>
      <c r="B697" s="14">
        <v>45439</v>
      </c>
      <c r="C697" s="13" t="s">
        <v>217</v>
      </c>
      <c r="D697" s="13" t="s">
        <v>659</v>
      </c>
      <c r="E697" s="13" t="s">
        <v>215</v>
      </c>
      <c r="F697" s="15">
        <v>1</v>
      </c>
      <c r="G697" s="15">
        <v>3560</v>
      </c>
      <c r="H697" s="15">
        <v>18.7</v>
      </c>
      <c r="I697" s="15">
        <v>2894.28</v>
      </c>
      <c r="J697" s="13" t="s">
        <v>87</v>
      </c>
      <c r="K697" s="13" t="s">
        <v>94</v>
      </c>
      <c r="L697">
        <f>IF(COUNTIF(A$2:A697, A697)=1, IF(COUNTIF(A$2:A$2001, A697)&gt;1, 1, 0), 0)</f>
        <v>0</v>
      </c>
      <c r="M697" t="b">
        <f>VLOOKUP(D697, Products!A$2:F$61, 6, FALSE)</f>
        <v>1</v>
      </c>
      <c r="N697" t="str">
        <f>VLOOKUP(D697, Products!A$2:C$61, 3, FALSE)</f>
        <v>Apparel</v>
      </c>
      <c r="O697" t="str">
        <f>VLOOKUP(C697, Customers!A$2:E$301, 5, FALSE)</f>
        <v>Retail</v>
      </c>
      <c r="P697">
        <f>VLOOKUP(C697, Customers!A$2:C$301, 3, FALSE)</f>
        <v>51</v>
      </c>
      <c r="Q697" t="str">
        <f>VLOOKUP(E697, Sales_Reps!A$2:C$31, 3, FALSE)</f>
        <v>North</v>
      </c>
      <c r="R697">
        <f>VLOOKUP(D697, Products!A$2:D$61, 4, FALSE)</f>
        <v>2629</v>
      </c>
    </row>
    <row r="698" spans="1:18" x14ac:dyDescent="0.3">
      <c r="A698" s="13" t="s">
        <v>1159</v>
      </c>
      <c r="B698" s="14">
        <v>45426</v>
      </c>
      <c r="C698" s="13" t="s">
        <v>305</v>
      </c>
      <c r="D698" s="13" t="s">
        <v>151</v>
      </c>
      <c r="E698" s="13" t="s">
        <v>204</v>
      </c>
      <c r="F698" s="15">
        <v>9</v>
      </c>
      <c r="G698" s="15">
        <v>2400</v>
      </c>
      <c r="H698" s="15">
        <v>18.5</v>
      </c>
      <c r="I698" s="15">
        <v>17604</v>
      </c>
      <c r="J698" s="13" t="s">
        <v>87</v>
      </c>
      <c r="K698" s="13" t="s">
        <v>133</v>
      </c>
      <c r="L698">
        <f>IF(COUNTIF(A$2:A698, A698)=1, IF(COUNTIF(A$2:A$2001, A698)&gt;1, 1, 0), 0)</f>
        <v>0</v>
      </c>
      <c r="M698" t="b">
        <f>VLOOKUP(D698, Products!A$2:F$61, 6, FALSE)</f>
        <v>1</v>
      </c>
      <c r="N698" t="str">
        <f>VLOOKUP(D698, Products!A$2:C$61, 3, FALSE)</f>
        <v>Sports</v>
      </c>
      <c r="O698" t="str">
        <f>VLOOKUP(C698, Customers!A$2:E$301, 5, FALSE)</f>
        <v>Corporate</v>
      </c>
      <c r="P698">
        <f>VLOOKUP(C698, Customers!A$2:C$301, 3, FALSE)</f>
        <v>46</v>
      </c>
      <c r="Q698" t="str">
        <f>VLOOKUP(E698, Sales_Reps!A$2:C$31, 3, FALSE)</f>
        <v>South</v>
      </c>
      <c r="R698">
        <f>VLOOKUP(D698, Products!A$2:D$61, 4, FALSE)</f>
        <v>974</v>
      </c>
    </row>
    <row r="699" spans="1:18" x14ac:dyDescent="0.3">
      <c r="A699" s="13" t="s">
        <v>1160</v>
      </c>
      <c r="B699" s="14">
        <v>45415</v>
      </c>
      <c r="C699" s="13" t="s">
        <v>353</v>
      </c>
      <c r="D699" s="13" t="s">
        <v>248</v>
      </c>
      <c r="E699" s="13" t="s">
        <v>154</v>
      </c>
      <c r="F699" s="15">
        <v>9</v>
      </c>
      <c r="G699" s="15">
        <v>3870</v>
      </c>
      <c r="H699" s="15">
        <v>6.9</v>
      </c>
      <c r="I699" s="15">
        <v>32426.73</v>
      </c>
      <c r="J699" s="13" t="s">
        <v>144</v>
      </c>
      <c r="K699" s="13" t="s">
        <v>94</v>
      </c>
      <c r="L699">
        <f>IF(COUNTIF(A$2:A699, A699)=1, IF(COUNTIF(A$2:A$2001, A699)&gt;1, 1, 0), 0)</f>
        <v>0</v>
      </c>
      <c r="M699" t="b">
        <f>VLOOKUP(D699, Products!A$2:F$61, 6, FALSE)</f>
        <v>1</v>
      </c>
      <c r="N699" t="str">
        <f>VLOOKUP(D699, Products!A$2:C$61, 3, FALSE)</f>
        <v>Electronics</v>
      </c>
      <c r="O699" t="str">
        <f>VLOOKUP(C699, Customers!A$2:E$301, 5, FALSE)</f>
        <v>Retail</v>
      </c>
      <c r="P699">
        <f>VLOOKUP(C699, Customers!A$2:C$301, 3, FALSE)</f>
        <v>60</v>
      </c>
      <c r="Q699" t="str">
        <f>VLOOKUP(E699, Sales_Reps!A$2:C$31, 3, FALSE)</f>
        <v>East</v>
      </c>
      <c r="R699">
        <f>VLOOKUP(D699, Products!A$2:D$61, 4, FALSE)</f>
        <v>1559</v>
      </c>
    </row>
    <row r="700" spans="1:18" x14ac:dyDescent="0.3">
      <c r="A700" s="13" t="s">
        <v>1161</v>
      </c>
      <c r="B700" s="14">
        <v>45620</v>
      </c>
      <c r="C700" s="13" t="s">
        <v>705</v>
      </c>
      <c r="D700" s="13" t="s">
        <v>102</v>
      </c>
      <c r="E700" s="13" t="s">
        <v>285</v>
      </c>
      <c r="F700" s="15">
        <v>5</v>
      </c>
      <c r="G700" s="15">
        <v>3660</v>
      </c>
      <c r="H700" s="15">
        <v>11.7</v>
      </c>
      <c r="I700" s="15">
        <v>16158.9</v>
      </c>
      <c r="J700" s="13" t="s">
        <v>87</v>
      </c>
      <c r="K700" s="13" t="s">
        <v>99</v>
      </c>
      <c r="L700">
        <f>IF(COUNTIF(A$2:A700, A700)=1, IF(COUNTIF(A$2:A$2001, A700)&gt;1, 1, 0), 0)</f>
        <v>0</v>
      </c>
      <c r="M700" t="b">
        <f>VLOOKUP(D700, Products!A$2:F$61, 6, FALSE)</f>
        <v>0</v>
      </c>
      <c r="N700" t="str">
        <f>VLOOKUP(D700, Products!A$2:C$61, 3, FALSE)</f>
        <v>Grocery</v>
      </c>
      <c r="O700" t="str">
        <f>VLOOKUP(C700, Customers!A$2:E$301, 5, FALSE)</f>
        <v>Retail</v>
      </c>
      <c r="P700">
        <f>VLOOKUP(C700, Customers!A$2:C$301, 3, FALSE)</f>
        <v>53</v>
      </c>
      <c r="Q700" t="str">
        <f>VLOOKUP(E700, Sales_Reps!A$2:C$31, 3, FALSE)</f>
        <v>East</v>
      </c>
      <c r="R700">
        <f>VLOOKUP(D700, Products!A$2:D$61, 4, FALSE)</f>
        <v>2214</v>
      </c>
    </row>
    <row r="701" spans="1:18" x14ac:dyDescent="0.3">
      <c r="A701" s="13" t="s">
        <v>1162</v>
      </c>
      <c r="B701" s="14">
        <v>45346</v>
      </c>
      <c r="C701" s="13" t="s">
        <v>405</v>
      </c>
      <c r="D701" s="13" t="s">
        <v>164</v>
      </c>
      <c r="E701" s="13" t="s">
        <v>170</v>
      </c>
      <c r="F701" s="15">
        <v>4</v>
      </c>
      <c r="G701" s="15">
        <v>1080</v>
      </c>
      <c r="H701" s="15">
        <v>17.5</v>
      </c>
      <c r="I701" s="15">
        <v>3564</v>
      </c>
      <c r="J701" s="13" t="s">
        <v>87</v>
      </c>
      <c r="K701" s="13" t="s">
        <v>94</v>
      </c>
      <c r="L701">
        <f>IF(COUNTIF(A$2:A701, A701)=1, IF(COUNTIF(A$2:A$2001, A701)&gt;1, 1, 0), 0)</f>
        <v>0</v>
      </c>
      <c r="M701" t="b">
        <f>VLOOKUP(D701, Products!A$2:F$61, 6, FALSE)</f>
        <v>1</v>
      </c>
      <c r="N701" t="str">
        <f>VLOOKUP(D701, Products!A$2:C$61, 3, FALSE)</f>
        <v>Home</v>
      </c>
      <c r="O701" t="str">
        <f>VLOOKUP(C701, Customers!A$2:E$301, 5, FALSE)</f>
        <v>Corporate</v>
      </c>
      <c r="P701">
        <f>VLOOKUP(C701, Customers!A$2:C$301, 3, FALSE)</f>
        <v>24</v>
      </c>
      <c r="Q701" t="str">
        <f>VLOOKUP(E701, Sales_Reps!A$2:C$31, 3, FALSE)</f>
        <v>West</v>
      </c>
      <c r="R701">
        <f>VLOOKUP(D701, Products!A$2:D$61, 4, FALSE)</f>
        <v>519</v>
      </c>
    </row>
    <row r="702" spans="1:18" x14ac:dyDescent="0.3">
      <c r="A702" s="13" t="s">
        <v>1163</v>
      </c>
      <c r="B702" s="14">
        <v>45297</v>
      </c>
      <c r="C702" s="13" t="s">
        <v>835</v>
      </c>
      <c r="D702" s="13" t="s">
        <v>461</v>
      </c>
      <c r="E702" s="13" t="s">
        <v>103</v>
      </c>
      <c r="F702" s="15">
        <v>6</v>
      </c>
      <c r="G702" s="15">
        <v>3780</v>
      </c>
      <c r="H702" s="15">
        <v>27.8</v>
      </c>
      <c r="I702" s="15">
        <v>16374.96</v>
      </c>
      <c r="J702" s="13" t="s">
        <v>87</v>
      </c>
      <c r="K702" s="13" t="s">
        <v>117</v>
      </c>
      <c r="L702">
        <f>IF(COUNTIF(A$2:A702, A702)=1, IF(COUNTIF(A$2:A$2001, A702)&gt;1, 1, 0), 0)</f>
        <v>1</v>
      </c>
      <c r="M702" t="b">
        <f>VLOOKUP(D702, Products!A$2:F$61, 6, FALSE)</f>
        <v>1</v>
      </c>
      <c r="N702" t="str">
        <f>VLOOKUP(D702, Products!A$2:C$61, 3, FALSE)</f>
        <v>Sports</v>
      </c>
      <c r="O702" t="str">
        <f>VLOOKUP(C702, Customers!A$2:E$301, 5, FALSE)</f>
        <v>Retail</v>
      </c>
      <c r="P702">
        <f>VLOOKUP(C702, Customers!A$2:C$301, 3, FALSE)</f>
        <v>52</v>
      </c>
      <c r="Q702" t="str">
        <f>VLOOKUP(E702, Sales_Reps!A$2:C$31, 3, FALSE)</f>
        <v>North</v>
      </c>
      <c r="R702">
        <f>VLOOKUP(D702, Products!A$2:D$61, 4, FALSE)</f>
        <v>1860</v>
      </c>
    </row>
    <row r="703" spans="1:18" x14ac:dyDescent="0.3">
      <c r="A703" s="13" t="s">
        <v>1164</v>
      </c>
      <c r="B703" s="14">
        <v>45521</v>
      </c>
      <c r="C703" s="13" t="s">
        <v>1062</v>
      </c>
      <c r="D703" s="13" t="s">
        <v>167</v>
      </c>
      <c r="E703" s="13" t="s">
        <v>285</v>
      </c>
      <c r="F703" s="15">
        <v>8</v>
      </c>
      <c r="G703" s="15">
        <v>2480</v>
      </c>
      <c r="H703" s="15">
        <v>15.7</v>
      </c>
      <c r="I703" s="15">
        <v>16725.12</v>
      </c>
      <c r="J703" s="13" t="s">
        <v>93</v>
      </c>
      <c r="K703" s="13" t="s">
        <v>112</v>
      </c>
      <c r="L703">
        <f>IF(COUNTIF(A$2:A703, A703)=1, IF(COUNTIF(A$2:A$2001, A703)&gt;1, 1, 0), 0)</f>
        <v>0</v>
      </c>
      <c r="M703" t="b">
        <f>VLOOKUP(D703, Products!A$2:F$61, 6, FALSE)</f>
        <v>1</v>
      </c>
      <c r="N703" t="str">
        <f>VLOOKUP(D703, Products!A$2:C$61, 3, FALSE)</f>
        <v>Apparel</v>
      </c>
      <c r="O703" t="str">
        <f>VLOOKUP(C703, Customers!A$2:E$301, 5, FALSE)</f>
        <v>SMB</v>
      </c>
      <c r="P703">
        <f>VLOOKUP(C703, Customers!A$2:C$301, 3, FALSE)</f>
        <v>54</v>
      </c>
      <c r="Q703" t="str">
        <f>VLOOKUP(E703, Sales_Reps!A$2:C$31, 3, FALSE)</f>
        <v>East</v>
      </c>
      <c r="R703">
        <f>VLOOKUP(D703, Products!A$2:D$61, 4, FALSE)</f>
        <v>1173</v>
      </c>
    </row>
    <row r="704" spans="1:18" x14ac:dyDescent="0.3">
      <c r="A704" s="13" t="s">
        <v>1165</v>
      </c>
      <c r="B704" s="14">
        <v>45409</v>
      </c>
      <c r="C704" s="13" t="s">
        <v>390</v>
      </c>
      <c r="D704" s="13" t="s">
        <v>182</v>
      </c>
      <c r="E704" s="13" t="s">
        <v>98</v>
      </c>
      <c r="F704" s="15">
        <v>10</v>
      </c>
      <c r="G704" s="15">
        <v>1010</v>
      </c>
      <c r="H704" s="15">
        <v>0.1</v>
      </c>
      <c r="I704" s="15">
        <v>10089.9</v>
      </c>
      <c r="J704" s="13" t="s">
        <v>93</v>
      </c>
      <c r="K704" s="13" t="s">
        <v>88</v>
      </c>
      <c r="L704">
        <f>IF(COUNTIF(A$2:A704, A704)=1, IF(COUNTIF(A$2:A$2001, A704)&gt;1, 1, 0), 0)</f>
        <v>0</v>
      </c>
      <c r="M704" t="b">
        <f>VLOOKUP(D704, Products!A$2:F$61, 6, FALSE)</f>
        <v>1</v>
      </c>
      <c r="N704" t="str">
        <f>VLOOKUP(D704, Products!A$2:C$61, 3, FALSE)</f>
        <v>Sports</v>
      </c>
      <c r="O704" t="str">
        <f>VLOOKUP(C704, Customers!A$2:E$301, 5, FALSE)</f>
        <v>SMB</v>
      </c>
      <c r="P704">
        <f>VLOOKUP(C704, Customers!A$2:C$301, 3, FALSE)</f>
        <v>54</v>
      </c>
      <c r="Q704" t="str">
        <f>VLOOKUP(E704, Sales_Reps!A$2:C$31, 3, FALSE)</f>
        <v>South</v>
      </c>
      <c r="R704">
        <f>VLOOKUP(D704, Products!A$2:D$61, 4, FALSE)</f>
        <v>516</v>
      </c>
    </row>
    <row r="705" spans="1:18" x14ac:dyDescent="0.3">
      <c r="A705" s="13" t="s">
        <v>1166</v>
      </c>
      <c r="B705" s="14">
        <v>45406</v>
      </c>
      <c r="C705" s="13" t="s">
        <v>150</v>
      </c>
      <c r="D705" s="13" t="s">
        <v>97</v>
      </c>
      <c r="E705" s="13" t="s">
        <v>188</v>
      </c>
      <c r="F705" s="15">
        <v>3</v>
      </c>
      <c r="G705" s="15">
        <v>470</v>
      </c>
      <c r="H705" s="15">
        <v>1.1000000000000001</v>
      </c>
      <c r="I705" s="15">
        <v>1394.49</v>
      </c>
      <c r="J705" s="13" t="s">
        <v>87</v>
      </c>
      <c r="K705" s="13" t="s">
        <v>88</v>
      </c>
      <c r="L705">
        <f>IF(COUNTIF(A$2:A705, A705)=1, IF(COUNTIF(A$2:A$2001, A705)&gt;1, 1, 0), 0)</f>
        <v>0</v>
      </c>
      <c r="M705" t="b">
        <f>VLOOKUP(D705, Products!A$2:F$61, 6, FALSE)</f>
        <v>0</v>
      </c>
      <c r="N705" t="str">
        <f>VLOOKUP(D705, Products!A$2:C$61, 3, FALSE)</f>
        <v>Sports</v>
      </c>
      <c r="O705" t="str">
        <f>VLOOKUP(C705, Customers!A$2:E$301, 5, FALSE)</f>
        <v>Retail</v>
      </c>
      <c r="P705">
        <f>VLOOKUP(C705, Customers!A$2:C$301, 3, FALSE)</f>
        <v>63</v>
      </c>
      <c r="Q705" t="str">
        <f>VLOOKUP(E705, Sales_Reps!A$2:C$31, 3, FALSE)</f>
        <v>South</v>
      </c>
      <c r="R705">
        <f>VLOOKUP(D705, Products!A$2:D$61, 4, FALSE)</f>
        <v>302</v>
      </c>
    </row>
    <row r="706" spans="1:18" x14ac:dyDescent="0.3">
      <c r="A706" s="13" t="s">
        <v>1167</v>
      </c>
      <c r="B706" s="14">
        <v>45474</v>
      </c>
      <c r="C706" s="13" t="s">
        <v>714</v>
      </c>
      <c r="D706" s="13" t="s">
        <v>131</v>
      </c>
      <c r="E706" s="13" t="s">
        <v>121</v>
      </c>
      <c r="F706" s="15">
        <v>4</v>
      </c>
      <c r="G706" s="15">
        <v>2270</v>
      </c>
      <c r="H706" s="15">
        <v>17.100000000000001</v>
      </c>
      <c r="I706" s="15">
        <v>7527.32</v>
      </c>
      <c r="J706" s="13" t="s">
        <v>87</v>
      </c>
      <c r="K706" s="13" t="s">
        <v>99</v>
      </c>
      <c r="L706">
        <f>IF(COUNTIF(A$2:A706, A706)=1, IF(COUNTIF(A$2:A$2001, A706)&gt;1, 1, 0), 0)</f>
        <v>0</v>
      </c>
      <c r="M706" t="b">
        <f>VLOOKUP(D706, Products!A$2:F$61, 6, FALSE)</f>
        <v>1</v>
      </c>
      <c r="N706" t="str">
        <f>VLOOKUP(D706, Products!A$2:C$61, 3, FALSE)</f>
        <v>Grocery</v>
      </c>
      <c r="O706" t="str">
        <f>VLOOKUP(C706, Customers!A$2:E$301, 5, FALSE)</f>
        <v>Retail</v>
      </c>
      <c r="P706">
        <f>VLOOKUP(C706, Customers!A$2:C$301, 3, FALSE)</f>
        <v>24</v>
      </c>
      <c r="Q706" t="str">
        <f>VLOOKUP(E706, Sales_Reps!A$2:C$31, 3, FALSE)</f>
        <v>East</v>
      </c>
      <c r="R706">
        <f>VLOOKUP(D706, Products!A$2:D$61, 4, FALSE)</f>
        <v>1203</v>
      </c>
    </row>
    <row r="707" spans="1:18" x14ac:dyDescent="0.3">
      <c r="A707" s="13" t="s">
        <v>1168</v>
      </c>
      <c r="B707" s="14">
        <v>45588</v>
      </c>
      <c r="C707" s="13" t="s">
        <v>223</v>
      </c>
      <c r="D707" s="13" t="s">
        <v>200</v>
      </c>
      <c r="E707" s="13" t="s">
        <v>132</v>
      </c>
      <c r="F707" s="15">
        <v>7</v>
      </c>
      <c r="G707" s="15">
        <v>2760</v>
      </c>
      <c r="H707" s="15">
        <v>17.100000000000001</v>
      </c>
      <c r="I707" s="15">
        <v>16016.28</v>
      </c>
      <c r="J707" s="13" t="s">
        <v>87</v>
      </c>
      <c r="K707" s="13" t="s">
        <v>99</v>
      </c>
      <c r="L707">
        <f>IF(COUNTIF(A$2:A707, A707)=1, IF(COUNTIF(A$2:A$2001, A707)&gt;1, 1, 0), 0)</f>
        <v>0</v>
      </c>
      <c r="M707" t="b">
        <f>VLOOKUP(D707, Products!A$2:F$61, 6, FALSE)</f>
        <v>1</v>
      </c>
      <c r="N707" t="str">
        <f>VLOOKUP(D707, Products!A$2:C$61, 3, FALSE)</f>
        <v>Grocery</v>
      </c>
      <c r="O707" t="str">
        <f>VLOOKUP(C707, Customers!A$2:E$301, 5, FALSE)</f>
        <v>Retail</v>
      </c>
      <c r="P707">
        <f>VLOOKUP(C707, Customers!A$2:C$301, 3, FALSE)</f>
        <v>53</v>
      </c>
      <c r="Q707" t="str">
        <f>VLOOKUP(E707, Sales_Reps!A$2:C$31, 3, FALSE)</f>
        <v>South</v>
      </c>
      <c r="R707">
        <f>VLOOKUP(D707, Products!A$2:D$61, 4, FALSE)</f>
        <v>1435</v>
      </c>
    </row>
    <row r="708" spans="1:18" x14ac:dyDescent="0.3">
      <c r="A708" s="13" t="s">
        <v>1169</v>
      </c>
      <c r="B708" s="14">
        <v>45530</v>
      </c>
      <c r="C708" s="13" t="s">
        <v>1047</v>
      </c>
      <c r="D708" s="13" t="s">
        <v>161</v>
      </c>
      <c r="E708" s="13" t="s">
        <v>107</v>
      </c>
      <c r="F708" s="15">
        <v>6</v>
      </c>
      <c r="G708" s="15">
        <v>3450</v>
      </c>
      <c r="H708" s="15">
        <v>6.6</v>
      </c>
      <c r="I708" s="15">
        <v>19333.8</v>
      </c>
      <c r="J708" s="13" t="s">
        <v>144</v>
      </c>
      <c r="K708" s="13" t="s">
        <v>133</v>
      </c>
      <c r="L708">
        <f>IF(COUNTIF(A$2:A708, A708)=1, IF(COUNTIF(A$2:A$2001, A708)&gt;1, 1, 0), 0)</f>
        <v>0</v>
      </c>
      <c r="M708" t="b">
        <f>VLOOKUP(D708, Products!A$2:F$61, 6, FALSE)</f>
        <v>1</v>
      </c>
      <c r="N708" t="str">
        <f>VLOOKUP(D708, Products!A$2:C$61, 3, FALSE)</f>
        <v>Sports</v>
      </c>
      <c r="O708" t="str">
        <f>VLOOKUP(C708, Customers!A$2:E$301, 5, FALSE)</f>
        <v>Retail</v>
      </c>
      <c r="P708">
        <f>VLOOKUP(C708, Customers!A$2:C$301, 3, FALSE)</f>
        <v>41</v>
      </c>
      <c r="Q708" t="str">
        <f>VLOOKUP(E708, Sales_Reps!A$2:C$31, 3, FALSE)</f>
        <v>North</v>
      </c>
      <c r="R708">
        <f>VLOOKUP(D708, Products!A$2:D$61, 4, FALSE)</f>
        <v>2467</v>
      </c>
    </row>
    <row r="709" spans="1:18" x14ac:dyDescent="0.3">
      <c r="A709" s="13" t="s">
        <v>1170</v>
      </c>
      <c r="B709" s="14">
        <v>45630</v>
      </c>
      <c r="C709" s="13" t="s">
        <v>592</v>
      </c>
      <c r="D709" s="13" t="s">
        <v>102</v>
      </c>
      <c r="E709" s="13" t="s">
        <v>86</v>
      </c>
      <c r="F709" s="15">
        <v>8</v>
      </c>
      <c r="G709" s="15">
        <v>3660</v>
      </c>
      <c r="H709" s="15">
        <v>7.2</v>
      </c>
      <c r="I709" s="15">
        <v>27171.84</v>
      </c>
      <c r="J709" s="13" t="s">
        <v>87</v>
      </c>
      <c r="K709" s="13" t="s">
        <v>133</v>
      </c>
      <c r="L709">
        <f>IF(COUNTIF(A$2:A709, A709)=1, IF(COUNTIF(A$2:A$2001, A709)&gt;1, 1, 0), 0)</f>
        <v>0</v>
      </c>
      <c r="M709" t="b">
        <f>VLOOKUP(D709, Products!A$2:F$61, 6, FALSE)</f>
        <v>0</v>
      </c>
      <c r="N709" t="str">
        <f>VLOOKUP(D709, Products!A$2:C$61, 3, FALSE)</f>
        <v>Grocery</v>
      </c>
      <c r="O709" t="str">
        <f>VLOOKUP(C709, Customers!A$2:E$301, 5, FALSE)</f>
        <v>Retail</v>
      </c>
      <c r="P709">
        <f>VLOOKUP(C709, Customers!A$2:C$301, 3, FALSE)</f>
        <v>22</v>
      </c>
      <c r="Q709" t="str">
        <f>VLOOKUP(E709, Sales_Reps!A$2:C$31, 3, FALSE)</f>
        <v>North</v>
      </c>
      <c r="R709">
        <f>VLOOKUP(D709, Products!A$2:D$61, 4, FALSE)</f>
        <v>2214</v>
      </c>
    </row>
    <row r="710" spans="1:18" x14ac:dyDescent="0.3">
      <c r="A710" s="13" t="s">
        <v>1171</v>
      </c>
      <c r="B710" s="14">
        <v>45551</v>
      </c>
      <c r="C710" s="13" t="s">
        <v>1172</v>
      </c>
      <c r="D710" s="13" t="s">
        <v>267</v>
      </c>
      <c r="E710" s="13" t="s">
        <v>170</v>
      </c>
      <c r="F710" s="15">
        <v>4</v>
      </c>
      <c r="G710" s="15">
        <v>1220</v>
      </c>
      <c r="H710" s="15">
        <v>24.3</v>
      </c>
      <c r="I710" s="15">
        <v>3694.16</v>
      </c>
      <c r="J710" s="13" t="s">
        <v>140</v>
      </c>
      <c r="K710" s="13" t="s">
        <v>88</v>
      </c>
      <c r="L710">
        <f>IF(COUNTIF(A$2:A710, A710)=1, IF(COUNTIF(A$2:A$2001, A710)&gt;1, 1, 0), 0)</f>
        <v>0</v>
      </c>
      <c r="M710" t="b">
        <f>VLOOKUP(D710, Products!A$2:F$61, 6, FALSE)</f>
        <v>1</v>
      </c>
      <c r="N710" t="str">
        <f>VLOOKUP(D710, Products!A$2:C$61, 3, FALSE)</f>
        <v>Electronics</v>
      </c>
      <c r="O710" t="str">
        <f>VLOOKUP(C710, Customers!A$2:E$301, 5, FALSE)</f>
        <v>Retail</v>
      </c>
      <c r="P710">
        <f>VLOOKUP(C710, Customers!A$2:C$301, 3, FALSE)</f>
        <v>39</v>
      </c>
      <c r="Q710" t="str">
        <f>VLOOKUP(E710, Sales_Reps!A$2:C$31, 3, FALSE)</f>
        <v>West</v>
      </c>
      <c r="R710">
        <f>VLOOKUP(D710, Products!A$2:D$61, 4, FALSE)</f>
        <v>517</v>
      </c>
    </row>
    <row r="711" spans="1:18" x14ac:dyDescent="0.3">
      <c r="A711" s="13" t="s">
        <v>1173</v>
      </c>
      <c r="B711" s="14">
        <v>45610</v>
      </c>
      <c r="C711" s="13" t="s">
        <v>883</v>
      </c>
      <c r="D711" s="13" t="s">
        <v>360</v>
      </c>
      <c r="E711" s="13" t="s">
        <v>86</v>
      </c>
      <c r="F711" s="15">
        <v>2</v>
      </c>
      <c r="G711" s="15">
        <v>5410</v>
      </c>
      <c r="H711" s="15">
        <v>0.9</v>
      </c>
      <c r="I711" s="15">
        <v>10722.62</v>
      </c>
      <c r="J711" s="13" t="s">
        <v>93</v>
      </c>
      <c r="K711" s="13" t="s">
        <v>133</v>
      </c>
      <c r="L711">
        <f>IF(COUNTIF(A$2:A711, A711)=1, IF(COUNTIF(A$2:A$2001, A711)&gt;1, 1, 0), 0)</f>
        <v>0</v>
      </c>
      <c r="M711" t="b">
        <f>VLOOKUP(D711, Products!A$2:F$61, 6, FALSE)</f>
        <v>1</v>
      </c>
      <c r="N711" t="str">
        <f>VLOOKUP(D711, Products!A$2:C$61, 3, FALSE)</f>
        <v>Sports</v>
      </c>
      <c r="O711" t="str">
        <f>VLOOKUP(C711, Customers!A$2:E$301, 5, FALSE)</f>
        <v>SMB</v>
      </c>
      <c r="P711">
        <f>VLOOKUP(C711, Customers!A$2:C$301, 3, FALSE)</f>
        <v>28</v>
      </c>
      <c r="Q711" t="str">
        <f>VLOOKUP(E711, Sales_Reps!A$2:C$31, 3, FALSE)</f>
        <v>North</v>
      </c>
      <c r="R711">
        <f>VLOOKUP(D711, Products!A$2:D$61, 4, FALSE)</f>
        <v>2265</v>
      </c>
    </row>
    <row r="712" spans="1:18" x14ac:dyDescent="0.3">
      <c r="A712" s="13" t="s">
        <v>1174</v>
      </c>
      <c r="B712" s="14">
        <v>45322</v>
      </c>
      <c r="C712" s="13" t="s">
        <v>413</v>
      </c>
      <c r="D712" s="13" t="s">
        <v>295</v>
      </c>
      <c r="E712" s="13" t="s">
        <v>204</v>
      </c>
      <c r="F712" s="15">
        <v>5</v>
      </c>
      <c r="G712" s="15">
        <v>2030</v>
      </c>
      <c r="H712" s="15">
        <v>25.2</v>
      </c>
      <c r="I712" s="15">
        <v>7592.2</v>
      </c>
      <c r="J712" s="13" t="s">
        <v>87</v>
      </c>
      <c r="K712" s="13" t="s">
        <v>88</v>
      </c>
      <c r="L712">
        <f>IF(COUNTIF(A$2:A712, A712)=1, IF(COUNTIF(A$2:A$2001, A712)&gt;1, 1, 0), 0)</f>
        <v>0</v>
      </c>
      <c r="M712" t="b">
        <f>VLOOKUP(D712, Products!A$2:F$61, 6, FALSE)</f>
        <v>1</v>
      </c>
      <c r="N712" t="str">
        <f>VLOOKUP(D712, Products!A$2:C$61, 3, FALSE)</f>
        <v>Home</v>
      </c>
      <c r="O712" t="str">
        <f>VLOOKUP(C712, Customers!A$2:E$301, 5, FALSE)</f>
        <v>Retail</v>
      </c>
      <c r="P712">
        <f>VLOOKUP(C712, Customers!A$2:C$301, 3, FALSE)</f>
        <v>22</v>
      </c>
      <c r="Q712" t="str">
        <f>VLOOKUP(E712, Sales_Reps!A$2:C$31, 3, FALSE)</f>
        <v>South</v>
      </c>
      <c r="R712">
        <f>VLOOKUP(D712, Products!A$2:D$61, 4, FALSE)</f>
        <v>1143</v>
      </c>
    </row>
    <row r="713" spans="1:18" x14ac:dyDescent="0.3">
      <c r="A713" s="13" t="s">
        <v>1175</v>
      </c>
      <c r="B713" s="14">
        <v>45363</v>
      </c>
      <c r="C713" s="13" t="s">
        <v>585</v>
      </c>
      <c r="D713" s="13" t="s">
        <v>267</v>
      </c>
      <c r="E713" s="13" t="s">
        <v>325</v>
      </c>
      <c r="F713" s="15">
        <v>5</v>
      </c>
      <c r="G713" s="15">
        <v>1220</v>
      </c>
      <c r="H713" s="15">
        <v>2.6</v>
      </c>
      <c r="I713" s="15">
        <v>5941.4</v>
      </c>
      <c r="J713" s="13" t="s">
        <v>87</v>
      </c>
      <c r="K713" s="13" t="s">
        <v>94</v>
      </c>
      <c r="L713">
        <f>IF(COUNTIF(A$2:A713, A713)=1, IF(COUNTIF(A$2:A$2001, A713)&gt;1, 1, 0), 0)</f>
        <v>0</v>
      </c>
      <c r="M713" t="b">
        <f>VLOOKUP(D713, Products!A$2:F$61, 6, FALSE)</f>
        <v>1</v>
      </c>
      <c r="N713" t="str">
        <f>VLOOKUP(D713, Products!A$2:C$61, 3, FALSE)</f>
        <v>Electronics</v>
      </c>
      <c r="O713" t="str">
        <f>VLOOKUP(C713, Customers!A$2:E$301, 5, FALSE)</f>
        <v>Retail</v>
      </c>
      <c r="P713">
        <f>VLOOKUP(C713, Customers!A$2:C$301, 3, FALSE)</f>
        <v>26</v>
      </c>
      <c r="Q713" t="str">
        <f>VLOOKUP(E713, Sales_Reps!A$2:C$31, 3, FALSE)</f>
        <v>South</v>
      </c>
      <c r="R713">
        <f>VLOOKUP(D713, Products!A$2:D$61, 4, FALSE)</f>
        <v>517</v>
      </c>
    </row>
    <row r="714" spans="1:18" x14ac:dyDescent="0.3">
      <c r="A714" s="13" t="s">
        <v>1176</v>
      </c>
      <c r="B714" s="14">
        <v>45600</v>
      </c>
      <c r="C714" s="13" t="s">
        <v>524</v>
      </c>
      <c r="D714" s="13" t="s">
        <v>279</v>
      </c>
      <c r="E714" s="13" t="s">
        <v>103</v>
      </c>
      <c r="F714" s="15">
        <v>4</v>
      </c>
      <c r="G714" s="15">
        <v>2660</v>
      </c>
      <c r="H714" s="15">
        <v>19.100000000000001</v>
      </c>
      <c r="I714" s="15">
        <v>8607.76</v>
      </c>
      <c r="J714" s="13" t="s">
        <v>144</v>
      </c>
      <c r="K714" s="13" t="s">
        <v>112</v>
      </c>
      <c r="L714">
        <f>IF(COUNTIF(A$2:A714, A714)=1, IF(COUNTIF(A$2:A$2001, A714)&gt;1, 1, 0), 0)</f>
        <v>0</v>
      </c>
      <c r="M714" t="b">
        <f>VLOOKUP(D714, Products!A$2:F$61, 6, FALSE)</f>
        <v>0</v>
      </c>
      <c r="N714" t="str">
        <f>VLOOKUP(D714, Products!A$2:C$61, 3, FALSE)</f>
        <v>Electronics</v>
      </c>
      <c r="O714" t="str">
        <f>VLOOKUP(C714, Customers!A$2:E$301, 5, FALSE)</f>
        <v>Corporate</v>
      </c>
      <c r="P714">
        <f>VLOOKUP(C714, Customers!A$2:C$301, 3, FALSE)</f>
        <v>55</v>
      </c>
      <c r="Q714" t="str">
        <f>VLOOKUP(E714, Sales_Reps!A$2:C$31, 3, FALSE)</f>
        <v>North</v>
      </c>
      <c r="R714">
        <f>VLOOKUP(D714, Products!A$2:D$61, 4, FALSE)</f>
        <v>1259</v>
      </c>
    </row>
    <row r="715" spans="1:18" x14ac:dyDescent="0.3">
      <c r="A715" s="13" t="s">
        <v>1177</v>
      </c>
      <c r="B715" s="14">
        <v>45351</v>
      </c>
      <c r="C715" s="13" t="s">
        <v>610</v>
      </c>
      <c r="D715" s="13" t="s">
        <v>264</v>
      </c>
      <c r="E715" s="13" t="s">
        <v>346</v>
      </c>
      <c r="F715" s="15">
        <v>3</v>
      </c>
      <c r="G715" s="15">
        <v>4070</v>
      </c>
      <c r="H715" s="15">
        <v>25.2</v>
      </c>
      <c r="I715" s="15">
        <v>9133.08</v>
      </c>
      <c r="J715" s="13" t="s">
        <v>87</v>
      </c>
      <c r="K715" s="13" t="s">
        <v>117</v>
      </c>
      <c r="L715">
        <f>IF(COUNTIF(A$2:A715, A715)=1, IF(COUNTIF(A$2:A$2001, A715)&gt;1, 1, 0), 0)</f>
        <v>0</v>
      </c>
      <c r="M715" t="b">
        <f>VLOOKUP(D715, Products!A$2:F$61, 6, FALSE)</f>
        <v>1</v>
      </c>
      <c r="N715" t="str">
        <f>VLOOKUP(D715, Products!A$2:C$61, 3, FALSE)</f>
        <v>Grocery</v>
      </c>
      <c r="O715" t="str">
        <f>VLOOKUP(C715, Customers!A$2:E$301, 5, FALSE)</f>
        <v>SMB</v>
      </c>
      <c r="P715">
        <f>VLOOKUP(C715, Customers!A$2:C$301, 3, FALSE)</f>
        <v>42</v>
      </c>
      <c r="Q715" t="str">
        <f>VLOOKUP(E715, Sales_Reps!A$2:C$31, 3, FALSE)</f>
        <v>South</v>
      </c>
      <c r="R715">
        <f>VLOOKUP(D715, Products!A$2:D$61, 4, FALSE)</f>
        <v>2027</v>
      </c>
    </row>
    <row r="716" spans="1:18" x14ac:dyDescent="0.3">
      <c r="A716" s="13" t="s">
        <v>1178</v>
      </c>
      <c r="B716" s="14">
        <v>45461</v>
      </c>
      <c r="C716" s="13" t="s">
        <v>669</v>
      </c>
      <c r="D716" s="13" t="s">
        <v>380</v>
      </c>
      <c r="E716" s="13" t="s">
        <v>98</v>
      </c>
      <c r="F716" s="15">
        <v>10</v>
      </c>
      <c r="G716" s="15">
        <v>960</v>
      </c>
      <c r="H716" s="15">
        <v>0.3</v>
      </c>
      <c r="I716" s="15">
        <v>9571.2000000000007</v>
      </c>
      <c r="J716" s="13" t="s">
        <v>87</v>
      </c>
      <c r="K716" s="13" t="s">
        <v>133</v>
      </c>
      <c r="L716">
        <f>IF(COUNTIF(A$2:A716, A716)=1, IF(COUNTIF(A$2:A$2001, A716)&gt;1, 1, 0), 0)</f>
        <v>0</v>
      </c>
      <c r="M716" t="b">
        <f>VLOOKUP(D716, Products!A$2:F$61, 6, FALSE)</f>
        <v>1</v>
      </c>
      <c r="N716" t="str">
        <f>VLOOKUP(D716, Products!A$2:C$61, 3, FALSE)</f>
        <v>Beauty</v>
      </c>
      <c r="O716" t="str">
        <f>VLOOKUP(C716, Customers!A$2:E$301, 5, FALSE)</f>
        <v>Retail</v>
      </c>
      <c r="P716">
        <f>VLOOKUP(C716, Customers!A$2:C$301, 3, FALSE)</f>
        <v>31</v>
      </c>
      <c r="Q716" t="str">
        <f>VLOOKUP(E716, Sales_Reps!A$2:C$31, 3, FALSE)</f>
        <v>South</v>
      </c>
      <c r="R716">
        <f>VLOOKUP(D716, Products!A$2:D$61, 4, FALSE)</f>
        <v>675</v>
      </c>
    </row>
    <row r="717" spans="1:18" x14ac:dyDescent="0.3">
      <c r="A717" s="13" t="s">
        <v>1179</v>
      </c>
      <c r="B717" s="14">
        <v>45431</v>
      </c>
      <c r="C717" s="13" t="s">
        <v>1180</v>
      </c>
      <c r="D717" s="13" t="s">
        <v>226</v>
      </c>
      <c r="E717" s="13" t="s">
        <v>229</v>
      </c>
      <c r="F717" s="15">
        <v>2</v>
      </c>
      <c r="G717" s="15">
        <v>3730</v>
      </c>
      <c r="H717" s="15">
        <v>29.9</v>
      </c>
      <c r="I717" s="15">
        <v>5229.46</v>
      </c>
      <c r="J717" s="13" t="s">
        <v>87</v>
      </c>
      <c r="K717" s="13" t="s">
        <v>94</v>
      </c>
      <c r="L717">
        <f>IF(COUNTIF(A$2:A717, A717)=1, IF(COUNTIF(A$2:A$2001, A717)&gt;1, 1, 0), 0)</f>
        <v>0</v>
      </c>
      <c r="M717" t="b">
        <f>VLOOKUP(D717, Products!A$2:F$61, 6, FALSE)</f>
        <v>1</v>
      </c>
      <c r="N717" t="str">
        <f>VLOOKUP(D717, Products!A$2:C$61, 3, FALSE)</f>
        <v>Home</v>
      </c>
      <c r="O717" t="str">
        <f>VLOOKUP(C717, Customers!A$2:E$301, 5, FALSE)</f>
        <v>Corporate</v>
      </c>
      <c r="P717">
        <f>VLOOKUP(C717, Customers!A$2:C$301, 3, FALSE)</f>
        <v>49</v>
      </c>
      <c r="Q717" t="str">
        <f>VLOOKUP(E717, Sales_Reps!A$2:C$31, 3, FALSE)</f>
        <v>West</v>
      </c>
      <c r="R717">
        <f>VLOOKUP(D717, Products!A$2:D$61, 4, FALSE)</f>
        <v>2135</v>
      </c>
    </row>
    <row r="718" spans="1:18" x14ac:dyDescent="0.3">
      <c r="A718" s="13" t="s">
        <v>1181</v>
      </c>
      <c r="B718" s="14">
        <v>45592</v>
      </c>
      <c r="C718" s="13" t="s">
        <v>369</v>
      </c>
      <c r="D718" s="13" t="s">
        <v>115</v>
      </c>
      <c r="E718" s="13" t="s">
        <v>139</v>
      </c>
      <c r="F718" s="15">
        <v>9</v>
      </c>
      <c r="G718" s="15">
        <v>960</v>
      </c>
      <c r="H718" s="15">
        <v>1.9</v>
      </c>
      <c r="I718" s="15">
        <v>8475.84</v>
      </c>
      <c r="J718" s="13" t="s">
        <v>87</v>
      </c>
      <c r="K718" s="13" t="s">
        <v>94</v>
      </c>
      <c r="L718">
        <f>IF(COUNTIF(A$2:A718, A718)=1, IF(COUNTIF(A$2:A$2001, A718)&gt;1, 1, 0), 0)</f>
        <v>0</v>
      </c>
      <c r="M718" t="b">
        <f>VLOOKUP(D718, Products!A$2:F$61, 6, FALSE)</f>
        <v>1</v>
      </c>
      <c r="N718" t="str">
        <f>VLOOKUP(D718, Products!A$2:C$61, 3, FALSE)</f>
        <v>Sports</v>
      </c>
      <c r="O718" t="str">
        <f>VLOOKUP(C718, Customers!A$2:E$301, 5, FALSE)</f>
        <v>SMB</v>
      </c>
      <c r="P718">
        <f>VLOOKUP(C718, Customers!A$2:C$301, 3, FALSE)</f>
        <v>62</v>
      </c>
      <c r="Q718" t="str">
        <f>VLOOKUP(E718, Sales_Reps!A$2:C$31, 3, FALSE)</f>
        <v>North</v>
      </c>
      <c r="R718">
        <f>VLOOKUP(D718, Products!A$2:D$61, 4, FALSE)</f>
        <v>705</v>
      </c>
    </row>
    <row r="719" spans="1:18" x14ac:dyDescent="0.3">
      <c r="A719" s="13" t="s">
        <v>1182</v>
      </c>
      <c r="B719" s="14">
        <v>45454</v>
      </c>
      <c r="C719" s="13" t="s">
        <v>146</v>
      </c>
      <c r="D719" s="13" t="s">
        <v>452</v>
      </c>
      <c r="E719" s="13" t="s">
        <v>139</v>
      </c>
      <c r="F719" s="15">
        <v>2</v>
      </c>
      <c r="G719" s="15">
        <v>3450</v>
      </c>
      <c r="H719" s="15">
        <v>22.9</v>
      </c>
      <c r="I719" s="15">
        <v>5319.9</v>
      </c>
      <c r="J719" s="13" t="s">
        <v>93</v>
      </c>
      <c r="K719" s="13" t="s">
        <v>88</v>
      </c>
      <c r="L719">
        <f>IF(COUNTIF(A$2:A719, A719)=1, IF(COUNTIF(A$2:A$2001, A719)&gt;1, 1, 0), 0)</f>
        <v>0</v>
      </c>
      <c r="M719" t="b">
        <f>VLOOKUP(D719, Products!A$2:F$61, 6, FALSE)</f>
        <v>1</v>
      </c>
      <c r="N719" t="str">
        <f>VLOOKUP(D719, Products!A$2:C$61, 3, FALSE)</f>
        <v>Apparel</v>
      </c>
      <c r="O719" t="str">
        <f>VLOOKUP(C719, Customers!A$2:E$301, 5, FALSE)</f>
        <v>Retail</v>
      </c>
      <c r="P719">
        <f>VLOOKUP(C719, Customers!A$2:C$301, 3, FALSE)</f>
        <v>38</v>
      </c>
      <c r="Q719" t="str">
        <f>VLOOKUP(E719, Sales_Reps!A$2:C$31, 3, FALSE)</f>
        <v>North</v>
      </c>
      <c r="R719">
        <f>VLOOKUP(D719, Products!A$2:D$61, 4, FALSE)</f>
        <v>1748</v>
      </c>
    </row>
    <row r="720" spans="1:18" x14ac:dyDescent="0.3">
      <c r="A720" s="13" t="s">
        <v>1183</v>
      </c>
      <c r="B720" s="14">
        <v>45616</v>
      </c>
      <c r="C720" s="13" t="s">
        <v>841</v>
      </c>
      <c r="D720" s="13" t="s">
        <v>360</v>
      </c>
      <c r="E720" s="13" t="s">
        <v>132</v>
      </c>
      <c r="F720" s="15">
        <v>3</v>
      </c>
      <c r="G720" s="15">
        <v>5410</v>
      </c>
      <c r="H720" s="15">
        <v>15.5</v>
      </c>
      <c r="I720" s="15">
        <v>13714.35</v>
      </c>
      <c r="J720" s="13" t="s">
        <v>87</v>
      </c>
      <c r="K720" s="13" t="s">
        <v>117</v>
      </c>
      <c r="L720">
        <f>IF(COUNTIF(A$2:A720, A720)=1, IF(COUNTIF(A$2:A$2001, A720)&gt;1, 1, 0), 0)</f>
        <v>0</v>
      </c>
      <c r="M720" t="b">
        <f>VLOOKUP(D720, Products!A$2:F$61, 6, FALSE)</f>
        <v>1</v>
      </c>
      <c r="N720" t="str">
        <f>VLOOKUP(D720, Products!A$2:C$61, 3, FALSE)</f>
        <v>Sports</v>
      </c>
      <c r="O720" t="str">
        <f>VLOOKUP(C720, Customers!A$2:E$301, 5, FALSE)</f>
        <v>Corporate</v>
      </c>
      <c r="P720">
        <f>VLOOKUP(C720, Customers!A$2:C$301, 3, FALSE)</f>
        <v>41</v>
      </c>
      <c r="Q720" t="str">
        <f>VLOOKUP(E720, Sales_Reps!A$2:C$31, 3, FALSE)</f>
        <v>South</v>
      </c>
      <c r="R720">
        <f>VLOOKUP(D720, Products!A$2:D$61, 4, FALSE)</f>
        <v>2265</v>
      </c>
    </row>
    <row r="721" spans="1:18" x14ac:dyDescent="0.3">
      <c r="A721" s="13" t="s">
        <v>1184</v>
      </c>
      <c r="B721" s="14">
        <v>45448</v>
      </c>
      <c r="C721" s="13" t="s">
        <v>501</v>
      </c>
      <c r="D721" s="13" t="s">
        <v>179</v>
      </c>
      <c r="E721" s="13" t="s">
        <v>121</v>
      </c>
      <c r="F721" s="15">
        <v>8</v>
      </c>
      <c r="G721" s="15">
        <v>3350</v>
      </c>
      <c r="H721" s="15">
        <v>18.399999999999999</v>
      </c>
      <c r="I721" s="15">
        <v>21868.799999999999</v>
      </c>
      <c r="J721" s="13" t="s">
        <v>87</v>
      </c>
      <c r="K721" s="13" t="s">
        <v>133</v>
      </c>
      <c r="L721">
        <f>IF(COUNTIF(A$2:A721, A721)=1, IF(COUNTIF(A$2:A$2001, A721)&gt;1, 1, 0), 0)</f>
        <v>0</v>
      </c>
      <c r="M721" t="b">
        <f>VLOOKUP(D721, Products!A$2:F$61, 6, FALSE)</f>
        <v>1</v>
      </c>
      <c r="N721" t="str">
        <f>VLOOKUP(D721, Products!A$2:C$61, 3, FALSE)</f>
        <v>Beauty</v>
      </c>
      <c r="O721" t="str">
        <f>VLOOKUP(C721, Customers!A$2:E$301, 5, FALSE)</f>
        <v>SMB</v>
      </c>
      <c r="P721">
        <f>VLOOKUP(C721, Customers!A$2:C$301, 3, FALSE)</f>
        <v>65</v>
      </c>
      <c r="Q721" t="str">
        <f>VLOOKUP(E721, Sales_Reps!A$2:C$31, 3, FALSE)</f>
        <v>East</v>
      </c>
      <c r="R721">
        <f>VLOOKUP(D721, Products!A$2:D$61, 4, FALSE)</f>
        <v>1728</v>
      </c>
    </row>
    <row r="722" spans="1:18" x14ac:dyDescent="0.3">
      <c r="A722" s="13" t="s">
        <v>1185</v>
      </c>
      <c r="B722" s="14">
        <v>45611</v>
      </c>
      <c r="C722" s="13" t="s">
        <v>223</v>
      </c>
      <c r="D722" s="13" t="s">
        <v>173</v>
      </c>
      <c r="E722" s="13" t="s">
        <v>107</v>
      </c>
      <c r="F722" s="15">
        <v>5</v>
      </c>
      <c r="G722" s="15">
        <v>2720</v>
      </c>
      <c r="H722" s="15">
        <v>17.3</v>
      </c>
      <c r="I722" s="15">
        <v>11247.2</v>
      </c>
      <c r="J722" s="13" t="s">
        <v>140</v>
      </c>
      <c r="K722" s="13" t="s">
        <v>99</v>
      </c>
      <c r="L722">
        <f>IF(COUNTIF(A$2:A722, A722)=1, IF(COUNTIF(A$2:A$2001, A722)&gt;1, 1, 0), 0)</f>
        <v>0</v>
      </c>
      <c r="M722" t="b">
        <f>VLOOKUP(D722, Products!A$2:F$61, 6, FALSE)</f>
        <v>1</v>
      </c>
      <c r="N722" t="str">
        <f>VLOOKUP(D722, Products!A$2:C$61, 3, FALSE)</f>
        <v>Apparel</v>
      </c>
      <c r="O722" t="str">
        <f>VLOOKUP(C722, Customers!A$2:E$301, 5, FALSE)</f>
        <v>Retail</v>
      </c>
      <c r="P722">
        <f>VLOOKUP(C722, Customers!A$2:C$301, 3, FALSE)</f>
        <v>53</v>
      </c>
      <c r="Q722" t="str">
        <f>VLOOKUP(E722, Sales_Reps!A$2:C$31, 3, FALSE)</f>
        <v>North</v>
      </c>
      <c r="R722">
        <f>VLOOKUP(D722, Products!A$2:D$61, 4, FALSE)</f>
        <v>1962</v>
      </c>
    </row>
    <row r="723" spans="1:18" x14ac:dyDescent="0.3">
      <c r="A723" s="13" t="s">
        <v>1186</v>
      </c>
      <c r="B723" s="14">
        <v>45403</v>
      </c>
      <c r="C723" s="13" t="s">
        <v>114</v>
      </c>
      <c r="D723" s="13" t="s">
        <v>102</v>
      </c>
      <c r="E723" s="13" t="s">
        <v>238</v>
      </c>
      <c r="F723" s="15">
        <v>8</v>
      </c>
      <c r="G723" s="15">
        <v>3660</v>
      </c>
      <c r="H723" s="15">
        <v>28.8</v>
      </c>
      <c r="I723" s="15">
        <v>20847.36</v>
      </c>
      <c r="J723" s="13" t="s">
        <v>87</v>
      </c>
      <c r="K723" s="13" t="s">
        <v>117</v>
      </c>
      <c r="L723">
        <f>IF(COUNTIF(A$2:A723, A723)=1, IF(COUNTIF(A$2:A$2001, A723)&gt;1, 1, 0), 0)</f>
        <v>0</v>
      </c>
      <c r="M723" t="b">
        <f>VLOOKUP(D723, Products!A$2:F$61, 6, FALSE)</f>
        <v>0</v>
      </c>
      <c r="N723" t="str">
        <f>VLOOKUP(D723, Products!A$2:C$61, 3, FALSE)</f>
        <v>Grocery</v>
      </c>
      <c r="O723" t="str">
        <f>VLOOKUP(C723, Customers!A$2:E$301, 5, FALSE)</f>
        <v>Retail</v>
      </c>
      <c r="P723">
        <f>VLOOKUP(C723, Customers!A$2:C$301, 3, FALSE)</f>
        <v>27</v>
      </c>
      <c r="Q723" t="str">
        <f>VLOOKUP(E723, Sales_Reps!A$2:C$31, 3, FALSE)</f>
        <v>East</v>
      </c>
      <c r="R723">
        <f>VLOOKUP(D723, Products!A$2:D$61, 4, FALSE)</f>
        <v>2214</v>
      </c>
    </row>
    <row r="724" spans="1:18" x14ac:dyDescent="0.3">
      <c r="A724" s="13" t="s">
        <v>1187</v>
      </c>
      <c r="B724" s="14">
        <v>45530</v>
      </c>
      <c r="C724" s="13" t="s">
        <v>582</v>
      </c>
      <c r="D724" s="13" t="s">
        <v>282</v>
      </c>
      <c r="E724" s="13" t="s">
        <v>252</v>
      </c>
      <c r="F724" s="15">
        <v>6</v>
      </c>
      <c r="G724" s="15">
        <v>300</v>
      </c>
      <c r="H724" s="15">
        <v>23.9</v>
      </c>
      <c r="I724" s="15">
        <v>1369.8</v>
      </c>
      <c r="J724" s="13" t="s">
        <v>140</v>
      </c>
      <c r="K724" s="13" t="s">
        <v>94</v>
      </c>
      <c r="L724">
        <f>IF(COUNTIF(A$2:A724, A724)=1, IF(COUNTIF(A$2:A$2001, A724)&gt;1, 1, 0), 0)</f>
        <v>0</v>
      </c>
      <c r="M724" t="b">
        <f>VLOOKUP(D724, Products!A$2:F$61, 6, FALSE)</f>
        <v>1</v>
      </c>
      <c r="N724" t="str">
        <f>VLOOKUP(D724, Products!A$2:C$61, 3, FALSE)</f>
        <v>Electronics</v>
      </c>
      <c r="O724" t="str">
        <f>VLOOKUP(C724, Customers!A$2:E$301, 5, FALSE)</f>
        <v>SMB</v>
      </c>
      <c r="P724">
        <f>VLOOKUP(C724, Customers!A$2:C$301, 3, FALSE)</f>
        <v>59</v>
      </c>
      <c r="Q724" t="str">
        <f>VLOOKUP(E724, Sales_Reps!A$2:C$31, 3, FALSE)</f>
        <v>South</v>
      </c>
      <c r="R724">
        <f>VLOOKUP(D724, Products!A$2:D$61, 4, FALSE)</f>
        <v>128</v>
      </c>
    </row>
    <row r="725" spans="1:18" x14ac:dyDescent="0.3">
      <c r="A725" s="13" t="s">
        <v>1188</v>
      </c>
      <c r="B725" s="14">
        <v>45548</v>
      </c>
      <c r="C725" s="13" t="s">
        <v>244</v>
      </c>
      <c r="D725" s="13" t="s">
        <v>386</v>
      </c>
      <c r="E725" s="13" t="s">
        <v>201</v>
      </c>
      <c r="F725" s="15">
        <v>3</v>
      </c>
      <c r="G725" s="15">
        <v>2290</v>
      </c>
      <c r="H725" s="15">
        <v>2.4</v>
      </c>
      <c r="I725" s="15">
        <v>6705.12</v>
      </c>
      <c r="J725" s="13" t="s">
        <v>87</v>
      </c>
      <c r="K725" s="13" t="s">
        <v>94</v>
      </c>
      <c r="L725">
        <f>IF(COUNTIF(A$2:A725, A725)=1, IF(COUNTIF(A$2:A$2001, A725)&gt;1, 1, 0), 0)</f>
        <v>0</v>
      </c>
      <c r="M725" t="b">
        <f>VLOOKUP(D725, Products!A$2:F$61, 6, FALSE)</f>
        <v>1</v>
      </c>
      <c r="N725" t="str">
        <f>VLOOKUP(D725, Products!A$2:C$61, 3, FALSE)</f>
        <v>Beauty</v>
      </c>
      <c r="O725" t="str">
        <f>VLOOKUP(C725, Customers!A$2:E$301, 5, FALSE)</f>
        <v>Corporate</v>
      </c>
      <c r="P725">
        <f>VLOOKUP(C725, Customers!A$2:C$301, 3, FALSE)</f>
        <v>52</v>
      </c>
      <c r="Q725" t="str">
        <f>VLOOKUP(E725, Sales_Reps!A$2:C$31, 3, FALSE)</f>
        <v>West</v>
      </c>
      <c r="R725">
        <f>VLOOKUP(D725, Products!A$2:D$61, 4, FALSE)</f>
        <v>1219</v>
      </c>
    </row>
    <row r="726" spans="1:18" x14ac:dyDescent="0.3">
      <c r="A726" s="13" t="s">
        <v>1189</v>
      </c>
      <c r="B726" s="14">
        <v>45403</v>
      </c>
      <c r="C726" s="13" t="s">
        <v>986</v>
      </c>
      <c r="D726" s="13" t="s">
        <v>184</v>
      </c>
      <c r="E726" s="13" t="s">
        <v>98</v>
      </c>
      <c r="F726" s="15">
        <v>6</v>
      </c>
      <c r="G726" s="15">
        <v>4880</v>
      </c>
      <c r="H726" s="15">
        <v>11.1</v>
      </c>
      <c r="I726" s="15">
        <v>26029.919999999998</v>
      </c>
      <c r="J726" s="13" t="s">
        <v>93</v>
      </c>
      <c r="K726" s="13" t="s">
        <v>94</v>
      </c>
      <c r="L726">
        <f>IF(COUNTIF(A$2:A726, A726)=1, IF(COUNTIF(A$2:A$2001, A726)&gt;1, 1, 0), 0)</f>
        <v>0</v>
      </c>
      <c r="M726" t="b">
        <f>VLOOKUP(D726, Products!A$2:F$61, 6, FALSE)</f>
        <v>1</v>
      </c>
      <c r="N726" t="str">
        <f>VLOOKUP(D726, Products!A$2:C$61, 3, FALSE)</f>
        <v>Beauty</v>
      </c>
      <c r="O726" t="str">
        <f>VLOOKUP(C726, Customers!A$2:E$301, 5, FALSE)</f>
        <v>Corporate</v>
      </c>
      <c r="P726">
        <f>VLOOKUP(C726, Customers!A$2:C$301, 3, FALSE)</f>
        <v>52</v>
      </c>
      <c r="Q726" t="str">
        <f>VLOOKUP(E726, Sales_Reps!A$2:C$31, 3, FALSE)</f>
        <v>South</v>
      </c>
      <c r="R726">
        <f>VLOOKUP(D726, Products!A$2:D$61, 4, FALSE)</f>
        <v>2768</v>
      </c>
    </row>
    <row r="727" spans="1:18" x14ac:dyDescent="0.3">
      <c r="A727" s="13" t="s">
        <v>1190</v>
      </c>
      <c r="B727" s="14">
        <v>45562</v>
      </c>
      <c r="C727" s="13" t="s">
        <v>1191</v>
      </c>
      <c r="D727" s="13" t="s">
        <v>282</v>
      </c>
      <c r="E727" s="13" t="s">
        <v>86</v>
      </c>
      <c r="F727" s="15">
        <v>5</v>
      </c>
      <c r="G727" s="15">
        <v>300</v>
      </c>
      <c r="H727" s="15">
        <v>19.399999999999999</v>
      </c>
      <c r="I727" s="15">
        <v>1209</v>
      </c>
      <c r="J727" s="13" t="s">
        <v>87</v>
      </c>
      <c r="K727" s="13" t="s">
        <v>117</v>
      </c>
      <c r="L727">
        <f>IF(COUNTIF(A$2:A727, A727)=1, IF(COUNTIF(A$2:A$2001, A727)&gt;1, 1, 0), 0)</f>
        <v>0</v>
      </c>
      <c r="M727" t="b">
        <f>VLOOKUP(D727, Products!A$2:F$61, 6, FALSE)</f>
        <v>1</v>
      </c>
      <c r="N727" t="str">
        <f>VLOOKUP(D727, Products!A$2:C$61, 3, FALSE)</f>
        <v>Electronics</v>
      </c>
      <c r="O727" t="str">
        <f>VLOOKUP(C727, Customers!A$2:E$301, 5, FALSE)</f>
        <v>Retail</v>
      </c>
      <c r="P727">
        <f>VLOOKUP(C727, Customers!A$2:C$301, 3, FALSE)</f>
        <v>36</v>
      </c>
      <c r="Q727" t="str">
        <f>VLOOKUP(E727, Sales_Reps!A$2:C$31, 3, FALSE)</f>
        <v>North</v>
      </c>
      <c r="R727">
        <f>VLOOKUP(D727, Products!A$2:D$61, 4, FALSE)</f>
        <v>128</v>
      </c>
    </row>
    <row r="728" spans="1:18" x14ac:dyDescent="0.3">
      <c r="A728" s="13" t="s">
        <v>1192</v>
      </c>
      <c r="B728" s="14">
        <v>45635</v>
      </c>
      <c r="C728" s="13" t="s">
        <v>1193</v>
      </c>
      <c r="D728" s="13" t="s">
        <v>279</v>
      </c>
      <c r="E728" s="13" t="s">
        <v>170</v>
      </c>
      <c r="F728" s="15">
        <v>3</v>
      </c>
      <c r="G728" s="15">
        <v>2660</v>
      </c>
      <c r="H728" s="15">
        <v>28.5</v>
      </c>
      <c r="I728" s="15">
        <v>5705.7</v>
      </c>
      <c r="J728" s="13" t="s">
        <v>93</v>
      </c>
      <c r="K728" s="13" t="s">
        <v>133</v>
      </c>
      <c r="L728">
        <f>IF(COUNTIF(A$2:A728, A728)=1, IF(COUNTIF(A$2:A$2001, A728)&gt;1, 1, 0), 0)</f>
        <v>0</v>
      </c>
      <c r="M728" t="b">
        <f>VLOOKUP(D728, Products!A$2:F$61, 6, FALSE)</f>
        <v>0</v>
      </c>
      <c r="N728" t="str">
        <f>VLOOKUP(D728, Products!A$2:C$61, 3, FALSE)</f>
        <v>Electronics</v>
      </c>
      <c r="O728" t="str">
        <f>VLOOKUP(C728, Customers!A$2:E$301, 5, FALSE)</f>
        <v>SMB</v>
      </c>
      <c r="P728">
        <f>VLOOKUP(C728, Customers!A$2:C$301, 3, FALSE)</f>
        <v>25</v>
      </c>
      <c r="Q728" t="str">
        <f>VLOOKUP(E728, Sales_Reps!A$2:C$31, 3, FALSE)</f>
        <v>West</v>
      </c>
      <c r="R728">
        <f>VLOOKUP(D728, Products!A$2:D$61, 4, FALSE)</f>
        <v>1259</v>
      </c>
    </row>
    <row r="729" spans="1:18" x14ac:dyDescent="0.3">
      <c r="A729" s="13" t="s">
        <v>1194</v>
      </c>
      <c r="B729" s="14">
        <v>45434</v>
      </c>
      <c r="C729" s="13" t="s">
        <v>835</v>
      </c>
      <c r="D729" s="13" t="s">
        <v>502</v>
      </c>
      <c r="E729" s="13" t="s">
        <v>116</v>
      </c>
      <c r="F729" s="15">
        <v>7</v>
      </c>
      <c r="G729" s="15">
        <v>1090</v>
      </c>
      <c r="H729" s="15">
        <v>10.3</v>
      </c>
      <c r="I729" s="15">
        <v>6844.11</v>
      </c>
      <c r="J729" s="13" t="s">
        <v>87</v>
      </c>
      <c r="K729" s="13" t="s">
        <v>117</v>
      </c>
      <c r="L729">
        <f>IF(COUNTIF(A$2:A729, A729)=1, IF(COUNTIF(A$2:A$2001, A729)&gt;1, 1, 0), 0)</f>
        <v>0</v>
      </c>
      <c r="M729" t="b">
        <f>VLOOKUP(D729, Products!A$2:F$61, 6, FALSE)</f>
        <v>1</v>
      </c>
      <c r="N729" t="str">
        <f>VLOOKUP(D729, Products!A$2:C$61, 3, FALSE)</f>
        <v>Home</v>
      </c>
      <c r="O729" t="str">
        <f>VLOOKUP(C729, Customers!A$2:E$301, 5, FALSE)</f>
        <v>Retail</v>
      </c>
      <c r="P729">
        <f>VLOOKUP(C729, Customers!A$2:C$301, 3, FALSE)</f>
        <v>52</v>
      </c>
      <c r="Q729" t="str">
        <f>VLOOKUP(E729, Sales_Reps!A$2:C$31, 3, FALSE)</f>
        <v>West</v>
      </c>
      <c r="R729">
        <f>VLOOKUP(D729, Products!A$2:D$61, 4, FALSE)</f>
        <v>464</v>
      </c>
    </row>
    <row r="730" spans="1:18" x14ac:dyDescent="0.3">
      <c r="A730" s="13" t="s">
        <v>1195</v>
      </c>
      <c r="B730" s="14">
        <v>45350</v>
      </c>
      <c r="C730" s="13" t="s">
        <v>487</v>
      </c>
      <c r="D730" s="13" t="s">
        <v>120</v>
      </c>
      <c r="E730" s="13" t="s">
        <v>325</v>
      </c>
      <c r="F730" s="15">
        <v>9</v>
      </c>
      <c r="G730" s="15">
        <v>1430</v>
      </c>
      <c r="H730" s="15">
        <v>12.1</v>
      </c>
      <c r="I730" s="15">
        <v>11312.73</v>
      </c>
      <c r="J730" s="13" t="s">
        <v>140</v>
      </c>
      <c r="K730" s="13" t="s">
        <v>88</v>
      </c>
      <c r="L730">
        <f>IF(COUNTIF(A$2:A730, A730)=1, IF(COUNTIF(A$2:A$2001, A730)&gt;1, 1, 0), 0)</f>
        <v>0</v>
      </c>
      <c r="M730" t="b">
        <f>VLOOKUP(D730, Products!A$2:F$61, 6, FALSE)</f>
        <v>1</v>
      </c>
      <c r="N730" t="str">
        <f>VLOOKUP(D730, Products!A$2:C$61, 3, FALSE)</f>
        <v>Electronics</v>
      </c>
      <c r="O730" t="str">
        <f>VLOOKUP(C730, Customers!A$2:E$301, 5, FALSE)</f>
        <v>Corporate</v>
      </c>
      <c r="P730">
        <f>VLOOKUP(C730, Customers!A$2:C$301, 3, FALSE)</f>
        <v>29</v>
      </c>
      <c r="Q730" t="str">
        <f>VLOOKUP(E730, Sales_Reps!A$2:C$31, 3, FALSE)</f>
        <v>South</v>
      </c>
      <c r="R730">
        <f>VLOOKUP(D730, Products!A$2:D$61, 4, FALSE)</f>
        <v>861</v>
      </c>
    </row>
    <row r="731" spans="1:18" x14ac:dyDescent="0.3">
      <c r="A731" s="13" t="s">
        <v>1196</v>
      </c>
      <c r="B731" s="14">
        <v>45344</v>
      </c>
      <c r="C731" s="13" t="s">
        <v>225</v>
      </c>
      <c r="D731" s="13" t="s">
        <v>135</v>
      </c>
      <c r="E731" s="13" t="s">
        <v>92</v>
      </c>
      <c r="F731" s="15">
        <v>5</v>
      </c>
      <c r="G731" s="15">
        <v>2640</v>
      </c>
      <c r="H731" s="15">
        <v>26.8</v>
      </c>
      <c r="I731" s="15">
        <v>9662.4</v>
      </c>
      <c r="J731" s="13" t="s">
        <v>87</v>
      </c>
      <c r="K731" s="13" t="s">
        <v>94</v>
      </c>
      <c r="L731">
        <f>IF(COUNTIF(A$2:A731, A731)=1, IF(COUNTIF(A$2:A$2001, A731)&gt;1, 1, 0), 0)</f>
        <v>0</v>
      </c>
      <c r="M731" t="b">
        <f>VLOOKUP(D731, Products!A$2:F$61, 6, FALSE)</f>
        <v>1</v>
      </c>
      <c r="N731" t="str">
        <f>VLOOKUP(D731, Products!A$2:C$61, 3, FALSE)</f>
        <v>Electronics</v>
      </c>
      <c r="O731" t="str">
        <f>VLOOKUP(C731, Customers!A$2:E$301, 5, FALSE)</f>
        <v>Retail</v>
      </c>
      <c r="P731">
        <f>VLOOKUP(C731, Customers!A$2:C$301, 3, FALSE)</f>
        <v>37</v>
      </c>
      <c r="Q731" t="str">
        <f>VLOOKUP(E731, Sales_Reps!A$2:C$31, 3, FALSE)</f>
        <v>North</v>
      </c>
      <c r="R731">
        <f>VLOOKUP(D731, Products!A$2:D$61, 4, FALSE)</f>
        <v>1149</v>
      </c>
    </row>
    <row r="732" spans="1:18" x14ac:dyDescent="0.3">
      <c r="A732" s="13" t="s">
        <v>1197</v>
      </c>
      <c r="B732" s="14">
        <v>45498</v>
      </c>
      <c r="C732" s="13" t="s">
        <v>703</v>
      </c>
      <c r="D732" s="13" t="s">
        <v>173</v>
      </c>
      <c r="E732" s="13" t="s">
        <v>215</v>
      </c>
      <c r="F732" s="15">
        <v>8</v>
      </c>
      <c r="G732" s="15">
        <v>2720</v>
      </c>
      <c r="H732" s="15">
        <v>17.5</v>
      </c>
      <c r="I732" s="15">
        <v>17952</v>
      </c>
      <c r="J732" s="13" t="s">
        <v>87</v>
      </c>
      <c r="K732" s="13" t="s">
        <v>88</v>
      </c>
      <c r="L732">
        <f>IF(COUNTIF(A$2:A732, A732)=1, IF(COUNTIF(A$2:A$2001, A732)&gt;1, 1, 0), 0)</f>
        <v>0</v>
      </c>
      <c r="M732" t="b">
        <f>VLOOKUP(D732, Products!A$2:F$61, 6, FALSE)</f>
        <v>1</v>
      </c>
      <c r="N732" t="str">
        <f>VLOOKUP(D732, Products!A$2:C$61, 3, FALSE)</f>
        <v>Apparel</v>
      </c>
      <c r="O732" t="str">
        <f>VLOOKUP(C732, Customers!A$2:E$301, 5, FALSE)</f>
        <v>Corporate</v>
      </c>
      <c r="P732">
        <f>VLOOKUP(C732, Customers!A$2:C$301, 3, FALSE)</f>
        <v>52</v>
      </c>
      <c r="Q732" t="str">
        <f>VLOOKUP(E732, Sales_Reps!A$2:C$31, 3, FALSE)</f>
        <v>North</v>
      </c>
      <c r="R732">
        <f>VLOOKUP(D732, Products!A$2:D$61, 4, FALSE)</f>
        <v>1962</v>
      </c>
    </row>
    <row r="733" spans="1:18" x14ac:dyDescent="0.3">
      <c r="A733" s="13" t="s">
        <v>1198</v>
      </c>
      <c r="B733" s="14">
        <v>45520</v>
      </c>
      <c r="C733" s="13" t="s">
        <v>482</v>
      </c>
      <c r="D733" s="13" t="s">
        <v>237</v>
      </c>
      <c r="E733" s="13" t="s">
        <v>346</v>
      </c>
      <c r="F733" s="15">
        <v>9</v>
      </c>
      <c r="G733" s="15">
        <v>3640</v>
      </c>
      <c r="H733" s="15">
        <v>3.6</v>
      </c>
      <c r="I733" s="15">
        <v>31580.639999999999</v>
      </c>
      <c r="J733" s="13" t="s">
        <v>87</v>
      </c>
      <c r="K733" s="13" t="s">
        <v>133</v>
      </c>
      <c r="L733">
        <f>IF(COUNTIF(A$2:A733, A733)=1, IF(COUNTIF(A$2:A$2001, A733)&gt;1, 1, 0), 0)</f>
        <v>0</v>
      </c>
      <c r="M733" t="b">
        <f>VLOOKUP(D733, Products!A$2:F$61, 6, FALSE)</f>
        <v>1</v>
      </c>
      <c r="N733" t="str">
        <f>VLOOKUP(D733, Products!A$2:C$61, 3, FALSE)</f>
        <v>Apparel</v>
      </c>
      <c r="O733" t="str">
        <f>VLOOKUP(C733, Customers!A$2:E$301, 5, FALSE)</f>
        <v>Corporate</v>
      </c>
      <c r="P733">
        <f>VLOOKUP(C733, Customers!A$2:C$301, 3, FALSE)</f>
        <v>52</v>
      </c>
      <c r="Q733" t="str">
        <f>VLOOKUP(E733, Sales_Reps!A$2:C$31, 3, FALSE)</f>
        <v>South</v>
      </c>
      <c r="R733">
        <f>VLOOKUP(D733, Products!A$2:D$61, 4, FALSE)</f>
        <v>2611</v>
      </c>
    </row>
    <row r="734" spans="1:18" x14ac:dyDescent="0.3">
      <c r="A734" s="13" t="s">
        <v>1199</v>
      </c>
      <c r="B734" s="14">
        <v>45554</v>
      </c>
      <c r="C734" s="13" t="s">
        <v>1200</v>
      </c>
      <c r="D734" s="13" t="s">
        <v>241</v>
      </c>
      <c r="E734" s="13" t="s">
        <v>158</v>
      </c>
      <c r="F734" s="15">
        <v>7</v>
      </c>
      <c r="G734" s="15">
        <v>6080</v>
      </c>
      <c r="H734" s="15">
        <v>23.6</v>
      </c>
      <c r="I734" s="15">
        <v>32515.84</v>
      </c>
      <c r="J734" s="13" t="s">
        <v>87</v>
      </c>
      <c r="K734" s="13" t="s">
        <v>112</v>
      </c>
      <c r="L734">
        <f>IF(COUNTIF(A$2:A734, A734)=1, IF(COUNTIF(A$2:A$2001, A734)&gt;1, 1, 0), 0)</f>
        <v>0</v>
      </c>
      <c r="M734" t="b">
        <f>VLOOKUP(D734, Products!A$2:F$61, 6, FALSE)</f>
        <v>1</v>
      </c>
      <c r="N734" t="str">
        <f>VLOOKUP(D734, Products!A$2:C$61, 3, FALSE)</f>
        <v>Beauty</v>
      </c>
      <c r="O734" t="e">
        <f>VLOOKUP(C734, Customers!A$2:E$301, 5, FALSE)</f>
        <v>#N/A</v>
      </c>
      <c r="P734" t="e">
        <f>VLOOKUP(C734, Customers!A$2:C$301, 3, FALSE)</f>
        <v>#N/A</v>
      </c>
      <c r="Q734" t="str">
        <f>VLOOKUP(E734, Sales_Reps!A$2:C$31, 3, FALSE)</f>
        <v>East</v>
      </c>
      <c r="R734">
        <f>VLOOKUP(D734, Products!A$2:D$61, 4, FALSE)</f>
        <v>2617</v>
      </c>
    </row>
    <row r="735" spans="1:18" x14ac:dyDescent="0.3">
      <c r="A735" s="13" t="s">
        <v>1201</v>
      </c>
      <c r="B735" s="14">
        <v>45584</v>
      </c>
      <c r="C735" s="13" t="s">
        <v>662</v>
      </c>
      <c r="D735" s="13" t="s">
        <v>364</v>
      </c>
      <c r="E735" s="13" t="s">
        <v>188</v>
      </c>
      <c r="F735" s="15">
        <v>7</v>
      </c>
      <c r="G735" s="15">
        <v>5330</v>
      </c>
      <c r="H735" s="15">
        <v>19.7</v>
      </c>
      <c r="I735" s="15">
        <v>29959.93</v>
      </c>
      <c r="J735" s="13" t="s">
        <v>140</v>
      </c>
      <c r="K735" s="13" t="s">
        <v>94</v>
      </c>
      <c r="L735">
        <f>IF(COUNTIF(A$2:A735, A735)=1, IF(COUNTIF(A$2:A$2001, A735)&gt;1, 1, 0), 0)</f>
        <v>0</v>
      </c>
      <c r="M735" t="b">
        <f>VLOOKUP(D735, Products!A$2:F$61, 6, FALSE)</f>
        <v>1</v>
      </c>
      <c r="N735" t="str">
        <f>VLOOKUP(D735, Products!A$2:C$61, 3, FALSE)</f>
        <v>Electronics</v>
      </c>
      <c r="O735" t="str">
        <f>VLOOKUP(C735, Customers!A$2:E$301, 5, FALSE)</f>
        <v>Corporate</v>
      </c>
      <c r="P735">
        <f>VLOOKUP(C735, Customers!A$2:C$301, 3, FALSE)</f>
        <v>41</v>
      </c>
      <c r="Q735" t="str">
        <f>VLOOKUP(E735, Sales_Reps!A$2:C$31, 3, FALSE)</f>
        <v>South</v>
      </c>
      <c r="R735">
        <f>VLOOKUP(D735, Products!A$2:D$61, 4, FALSE)</f>
        <v>2405</v>
      </c>
    </row>
    <row r="736" spans="1:18" x14ac:dyDescent="0.3">
      <c r="A736" s="13" t="s">
        <v>1202</v>
      </c>
      <c r="B736" s="14">
        <v>45593</v>
      </c>
      <c r="C736" s="13" t="s">
        <v>512</v>
      </c>
      <c r="D736" s="13" t="s">
        <v>270</v>
      </c>
      <c r="E736" s="13" t="s">
        <v>116</v>
      </c>
      <c r="F736" s="15">
        <v>5</v>
      </c>
      <c r="G736" s="15">
        <v>4610</v>
      </c>
      <c r="H736" s="15">
        <v>3.6</v>
      </c>
      <c r="I736" s="15">
        <v>22220.2</v>
      </c>
      <c r="J736" s="13" t="s">
        <v>87</v>
      </c>
      <c r="K736" s="13" t="s">
        <v>133</v>
      </c>
      <c r="L736">
        <f>IF(COUNTIF(A$2:A736, A736)=1, IF(COUNTIF(A$2:A$2001, A736)&gt;1, 1, 0), 0)</f>
        <v>0</v>
      </c>
      <c r="M736" t="b">
        <f>VLOOKUP(D736, Products!A$2:F$61, 6, FALSE)</f>
        <v>1</v>
      </c>
      <c r="N736" t="str">
        <f>VLOOKUP(D736, Products!A$2:C$61, 3, FALSE)</f>
        <v>Home</v>
      </c>
      <c r="O736" t="str">
        <f>VLOOKUP(C736, Customers!A$2:E$301, 5, FALSE)</f>
        <v>Retail</v>
      </c>
      <c r="P736">
        <f>VLOOKUP(C736, Customers!A$2:C$301, 3, FALSE)</f>
        <v>61</v>
      </c>
      <c r="Q736" t="str">
        <f>VLOOKUP(E736, Sales_Reps!A$2:C$31, 3, FALSE)</f>
        <v>West</v>
      </c>
      <c r="R736">
        <f>VLOOKUP(D736, Products!A$2:D$61, 4, FALSE)</f>
        <v>1850</v>
      </c>
    </row>
    <row r="737" spans="1:18" x14ac:dyDescent="0.3">
      <c r="A737" s="13" t="s">
        <v>1203</v>
      </c>
      <c r="B737" s="14">
        <v>45302</v>
      </c>
      <c r="C737" s="13" t="s">
        <v>807</v>
      </c>
      <c r="D737" s="13" t="s">
        <v>364</v>
      </c>
      <c r="E737" s="13" t="s">
        <v>170</v>
      </c>
      <c r="F737" s="15">
        <v>9</v>
      </c>
      <c r="G737" s="15">
        <v>5330</v>
      </c>
      <c r="H737" s="15">
        <v>22.9</v>
      </c>
      <c r="I737" s="15">
        <v>36984.870000000003</v>
      </c>
      <c r="J737" s="13" t="s">
        <v>87</v>
      </c>
      <c r="K737" s="13" t="s">
        <v>88</v>
      </c>
      <c r="L737">
        <f>IF(COUNTIF(A$2:A737, A737)=1, IF(COUNTIF(A$2:A$2001, A737)&gt;1, 1, 0), 0)</f>
        <v>0</v>
      </c>
      <c r="M737" t="b">
        <f>VLOOKUP(D737, Products!A$2:F$61, 6, FALSE)</f>
        <v>1</v>
      </c>
      <c r="N737" t="str">
        <f>VLOOKUP(D737, Products!A$2:C$61, 3, FALSE)</f>
        <v>Electronics</v>
      </c>
      <c r="O737" t="str">
        <f>VLOOKUP(C737, Customers!A$2:E$301, 5, FALSE)</f>
        <v>Retail</v>
      </c>
      <c r="P737">
        <f>VLOOKUP(C737, Customers!A$2:C$301, 3, FALSE)</f>
        <v>36</v>
      </c>
      <c r="Q737" t="str">
        <f>VLOOKUP(E737, Sales_Reps!A$2:C$31, 3, FALSE)</f>
        <v>West</v>
      </c>
      <c r="R737">
        <f>VLOOKUP(D737, Products!A$2:D$61, 4, FALSE)</f>
        <v>2405</v>
      </c>
    </row>
    <row r="738" spans="1:18" x14ac:dyDescent="0.3">
      <c r="A738" s="13" t="s">
        <v>1204</v>
      </c>
      <c r="B738" s="14">
        <v>45440</v>
      </c>
      <c r="C738" s="13" t="s">
        <v>485</v>
      </c>
      <c r="D738" s="13" t="s">
        <v>241</v>
      </c>
      <c r="E738" s="13" t="s">
        <v>303</v>
      </c>
      <c r="F738" s="15">
        <v>5</v>
      </c>
      <c r="G738" s="15">
        <v>6080</v>
      </c>
      <c r="H738" s="15">
        <v>6</v>
      </c>
      <c r="I738" s="15">
        <v>28576</v>
      </c>
      <c r="J738" s="13" t="s">
        <v>144</v>
      </c>
      <c r="K738" s="13" t="s">
        <v>88</v>
      </c>
      <c r="L738">
        <f>IF(COUNTIF(A$2:A738, A738)=1, IF(COUNTIF(A$2:A$2001, A738)&gt;1, 1, 0), 0)</f>
        <v>0</v>
      </c>
      <c r="M738" t="b">
        <f>VLOOKUP(D738, Products!A$2:F$61, 6, FALSE)</f>
        <v>1</v>
      </c>
      <c r="N738" t="str">
        <f>VLOOKUP(D738, Products!A$2:C$61, 3, FALSE)</f>
        <v>Beauty</v>
      </c>
      <c r="O738" t="str">
        <f>VLOOKUP(C738, Customers!A$2:E$301, 5, FALSE)</f>
        <v>Retail</v>
      </c>
      <c r="P738">
        <f>VLOOKUP(C738, Customers!A$2:C$301, 3, FALSE)</f>
        <v>49</v>
      </c>
      <c r="Q738" t="str">
        <f>VLOOKUP(E738, Sales_Reps!A$2:C$31, 3, FALSE)</f>
        <v>East</v>
      </c>
      <c r="R738">
        <f>VLOOKUP(D738, Products!A$2:D$61, 4, FALSE)</f>
        <v>2617</v>
      </c>
    </row>
    <row r="739" spans="1:18" x14ac:dyDescent="0.3">
      <c r="A739" s="13" t="s">
        <v>1205</v>
      </c>
      <c r="B739" s="14">
        <v>45299</v>
      </c>
      <c r="C739" s="13" t="s">
        <v>712</v>
      </c>
      <c r="D739" s="13" t="s">
        <v>237</v>
      </c>
      <c r="E739" s="13" t="s">
        <v>238</v>
      </c>
      <c r="F739" s="15">
        <v>7</v>
      </c>
      <c r="G739" s="15">
        <v>3640</v>
      </c>
      <c r="H739" s="15">
        <v>5.5</v>
      </c>
      <c r="I739" s="15">
        <v>24078.6</v>
      </c>
      <c r="J739" s="13" t="s">
        <v>87</v>
      </c>
      <c r="K739" s="13" t="s">
        <v>112</v>
      </c>
      <c r="L739">
        <f>IF(COUNTIF(A$2:A739, A739)=1, IF(COUNTIF(A$2:A$2001, A739)&gt;1, 1, 0), 0)</f>
        <v>0</v>
      </c>
      <c r="M739" t="b">
        <f>VLOOKUP(D739, Products!A$2:F$61, 6, FALSE)</f>
        <v>1</v>
      </c>
      <c r="N739" t="str">
        <f>VLOOKUP(D739, Products!A$2:C$61, 3, FALSE)</f>
        <v>Apparel</v>
      </c>
      <c r="O739" t="str">
        <f>VLOOKUP(C739, Customers!A$2:E$301, 5, FALSE)</f>
        <v>Corporate</v>
      </c>
      <c r="P739">
        <f>VLOOKUP(C739, Customers!A$2:C$301, 3, FALSE)</f>
        <v>51</v>
      </c>
      <c r="Q739" t="str">
        <f>VLOOKUP(E739, Sales_Reps!A$2:C$31, 3, FALSE)</f>
        <v>East</v>
      </c>
      <c r="R739">
        <f>VLOOKUP(D739, Products!A$2:D$61, 4, FALSE)</f>
        <v>2611</v>
      </c>
    </row>
    <row r="740" spans="1:18" x14ac:dyDescent="0.3">
      <c r="A740" s="13" t="s">
        <v>1206</v>
      </c>
      <c r="B740" s="14">
        <v>45336</v>
      </c>
      <c r="C740" s="13" t="s">
        <v>472</v>
      </c>
      <c r="D740" s="13" t="s">
        <v>279</v>
      </c>
      <c r="E740" s="13" t="s">
        <v>252</v>
      </c>
      <c r="F740" s="15">
        <v>1</v>
      </c>
      <c r="G740" s="15">
        <v>2660</v>
      </c>
      <c r="H740" s="15">
        <v>6.1</v>
      </c>
      <c r="I740" s="15">
        <v>2497.7399999999998</v>
      </c>
      <c r="J740" s="13" t="s">
        <v>140</v>
      </c>
      <c r="K740" s="13" t="s">
        <v>94</v>
      </c>
      <c r="L740">
        <f>IF(COUNTIF(A$2:A740, A740)=1, IF(COUNTIF(A$2:A$2001, A740)&gt;1, 1, 0), 0)</f>
        <v>0</v>
      </c>
      <c r="M740" t="b">
        <f>VLOOKUP(D740, Products!A$2:F$61, 6, FALSE)</f>
        <v>0</v>
      </c>
      <c r="N740" t="str">
        <f>VLOOKUP(D740, Products!A$2:C$61, 3, FALSE)</f>
        <v>Electronics</v>
      </c>
      <c r="O740" t="str">
        <f>VLOOKUP(C740, Customers!A$2:E$301, 5, FALSE)</f>
        <v>Corporate</v>
      </c>
      <c r="P740">
        <f>VLOOKUP(C740, Customers!A$2:C$301, 3, FALSE)</f>
        <v>35</v>
      </c>
      <c r="Q740" t="str">
        <f>VLOOKUP(E740, Sales_Reps!A$2:C$31, 3, FALSE)</f>
        <v>South</v>
      </c>
      <c r="R740">
        <f>VLOOKUP(D740, Products!A$2:D$61, 4, FALSE)</f>
        <v>1259</v>
      </c>
    </row>
    <row r="741" spans="1:18" x14ac:dyDescent="0.3">
      <c r="A741" s="13" t="s">
        <v>1207</v>
      </c>
      <c r="B741" s="14">
        <v>45300</v>
      </c>
      <c r="C741" s="13" t="s">
        <v>233</v>
      </c>
      <c r="D741" s="13" t="s">
        <v>179</v>
      </c>
      <c r="E741" s="13" t="s">
        <v>188</v>
      </c>
      <c r="F741" s="15">
        <v>8</v>
      </c>
      <c r="G741" s="15">
        <v>3350</v>
      </c>
      <c r="H741" s="15">
        <v>19.5</v>
      </c>
      <c r="I741" s="15">
        <v>21574</v>
      </c>
      <c r="J741" s="13" t="s">
        <v>87</v>
      </c>
      <c r="K741" s="13" t="s">
        <v>88</v>
      </c>
      <c r="L741">
        <f>IF(COUNTIF(A$2:A741, A741)=1, IF(COUNTIF(A$2:A$2001, A741)&gt;1, 1, 0), 0)</f>
        <v>0</v>
      </c>
      <c r="M741" t="b">
        <f>VLOOKUP(D741, Products!A$2:F$61, 6, FALSE)</f>
        <v>1</v>
      </c>
      <c r="N741" t="str">
        <f>VLOOKUP(D741, Products!A$2:C$61, 3, FALSE)</f>
        <v>Beauty</v>
      </c>
      <c r="O741" t="str">
        <f>VLOOKUP(C741, Customers!A$2:E$301, 5, FALSE)</f>
        <v>SMB</v>
      </c>
      <c r="P741">
        <f>VLOOKUP(C741, Customers!A$2:C$301, 3, FALSE)</f>
        <v>29</v>
      </c>
      <c r="Q741" t="str">
        <f>VLOOKUP(E741, Sales_Reps!A$2:C$31, 3, FALSE)</f>
        <v>South</v>
      </c>
      <c r="R741">
        <f>VLOOKUP(D741, Products!A$2:D$61, 4, FALSE)</f>
        <v>1728</v>
      </c>
    </row>
    <row r="742" spans="1:18" x14ac:dyDescent="0.3">
      <c r="A742" s="13" t="s">
        <v>1208</v>
      </c>
      <c r="B742" s="14">
        <v>45648</v>
      </c>
      <c r="C742" s="13" t="s">
        <v>84</v>
      </c>
      <c r="D742" s="13" t="s">
        <v>270</v>
      </c>
      <c r="E742" s="13" t="s">
        <v>121</v>
      </c>
      <c r="F742" s="15">
        <v>4</v>
      </c>
      <c r="G742" s="15">
        <v>4610</v>
      </c>
      <c r="H742" s="15">
        <v>24</v>
      </c>
      <c r="I742" s="15">
        <v>14014.4</v>
      </c>
      <c r="J742" s="13" t="s">
        <v>87</v>
      </c>
      <c r="K742" s="13" t="s">
        <v>88</v>
      </c>
      <c r="L742">
        <f>IF(COUNTIF(A$2:A742, A742)=1, IF(COUNTIF(A$2:A$2001, A742)&gt;1, 1, 0), 0)</f>
        <v>0</v>
      </c>
      <c r="M742" t="b">
        <f>VLOOKUP(D742, Products!A$2:F$61, 6, FALSE)</f>
        <v>1</v>
      </c>
      <c r="N742" t="str">
        <f>VLOOKUP(D742, Products!A$2:C$61, 3, FALSE)</f>
        <v>Home</v>
      </c>
      <c r="O742" t="str">
        <f>VLOOKUP(C742, Customers!A$2:E$301, 5, FALSE)</f>
        <v>SMB</v>
      </c>
      <c r="P742">
        <f>VLOOKUP(C742, Customers!A$2:C$301, 3, FALSE)</f>
        <v>44</v>
      </c>
      <c r="Q742" t="str">
        <f>VLOOKUP(E742, Sales_Reps!A$2:C$31, 3, FALSE)</f>
        <v>East</v>
      </c>
      <c r="R742">
        <f>VLOOKUP(D742, Products!A$2:D$61, 4, FALSE)</f>
        <v>1850</v>
      </c>
    </row>
    <row r="743" spans="1:18" x14ac:dyDescent="0.3">
      <c r="A743" s="13" t="s">
        <v>1209</v>
      </c>
      <c r="B743" s="14">
        <v>45293</v>
      </c>
      <c r="C743" s="13" t="s">
        <v>580</v>
      </c>
      <c r="D743" s="13" t="s">
        <v>195</v>
      </c>
      <c r="E743" s="13" t="s">
        <v>98</v>
      </c>
      <c r="F743" s="15">
        <v>7</v>
      </c>
      <c r="G743" s="15">
        <v>2860</v>
      </c>
      <c r="H743" s="15">
        <v>23.2</v>
      </c>
      <c r="I743" s="15">
        <v>15375.36</v>
      </c>
      <c r="J743" s="13" t="s">
        <v>87</v>
      </c>
      <c r="K743" s="13" t="s">
        <v>88</v>
      </c>
      <c r="L743">
        <f>IF(COUNTIF(A$2:A743, A743)=1, IF(COUNTIF(A$2:A$2001, A743)&gt;1, 1, 0), 0)</f>
        <v>0</v>
      </c>
      <c r="M743" t="b">
        <f>VLOOKUP(D743, Products!A$2:F$61, 6, FALSE)</f>
        <v>1</v>
      </c>
      <c r="N743" t="str">
        <f>VLOOKUP(D743, Products!A$2:C$61, 3, FALSE)</f>
        <v>Sports</v>
      </c>
      <c r="O743" t="str">
        <f>VLOOKUP(C743, Customers!A$2:E$301, 5, FALSE)</f>
        <v>Corporate</v>
      </c>
      <c r="P743">
        <f>VLOOKUP(C743, Customers!A$2:C$301, 3, FALSE)</f>
        <v>40</v>
      </c>
      <c r="Q743" t="str">
        <f>VLOOKUP(E743, Sales_Reps!A$2:C$31, 3, FALSE)</f>
        <v>South</v>
      </c>
      <c r="R743">
        <f>VLOOKUP(D743, Products!A$2:D$61, 4, FALSE)</f>
        <v>2028</v>
      </c>
    </row>
    <row r="744" spans="1:18" x14ac:dyDescent="0.3">
      <c r="A744" s="13" t="s">
        <v>1210</v>
      </c>
      <c r="B744" s="14">
        <v>45644</v>
      </c>
      <c r="C744" s="13" t="s">
        <v>807</v>
      </c>
      <c r="D744" s="13" t="s">
        <v>179</v>
      </c>
      <c r="E744" s="13" t="s">
        <v>252</v>
      </c>
      <c r="F744" s="15">
        <v>7</v>
      </c>
      <c r="G744" s="15">
        <v>3350</v>
      </c>
      <c r="H744" s="15">
        <v>10.6</v>
      </c>
      <c r="I744" s="15">
        <v>20964.3</v>
      </c>
      <c r="J744" s="13" t="s">
        <v>93</v>
      </c>
      <c r="K744" s="13" t="s">
        <v>88</v>
      </c>
      <c r="L744">
        <f>IF(COUNTIF(A$2:A744, A744)=1, IF(COUNTIF(A$2:A$2001, A744)&gt;1, 1, 0), 0)</f>
        <v>0</v>
      </c>
      <c r="M744" t="b">
        <f>VLOOKUP(D744, Products!A$2:F$61, 6, FALSE)</f>
        <v>1</v>
      </c>
      <c r="N744" t="str">
        <f>VLOOKUP(D744, Products!A$2:C$61, 3, FALSE)</f>
        <v>Beauty</v>
      </c>
      <c r="O744" t="str">
        <f>VLOOKUP(C744, Customers!A$2:E$301, 5, FALSE)</f>
        <v>Retail</v>
      </c>
      <c r="P744">
        <f>VLOOKUP(C744, Customers!A$2:C$301, 3, FALSE)</f>
        <v>36</v>
      </c>
      <c r="Q744" t="str">
        <f>VLOOKUP(E744, Sales_Reps!A$2:C$31, 3, FALSE)</f>
        <v>South</v>
      </c>
      <c r="R744">
        <f>VLOOKUP(D744, Products!A$2:D$61, 4, FALSE)</f>
        <v>1728</v>
      </c>
    </row>
    <row r="745" spans="1:18" x14ac:dyDescent="0.3">
      <c r="A745" s="13" t="s">
        <v>1211</v>
      </c>
      <c r="B745" s="14">
        <v>45589</v>
      </c>
      <c r="C745" s="13" t="s">
        <v>328</v>
      </c>
      <c r="D745" s="13" t="s">
        <v>338</v>
      </c>
      <c r="E745" s="13" t="s">
        <v>128</v>
      </c>
      <c r="F745" s="15">
        <v>5</v>
      </c>
      <c r="G745" s="15">
        <v>2210</v>
      </c>
      <c r="H745" s="15">
        <v>12.1</v>
      </c>
      <c r="I745" s="15">
        <v>9712.9500000000007</v>
      </c>
      <c r="J745" s="13" t="s">
        <v>87</v>
      </c>
      <c r="K745" s="13" t="s">
        <v>94</v>
      </c>
      <c r="L745">
        <f>IF(COUNTIF(A$2:A745, A745)=1, IF(COUNTIF(A$2:A$2001, A745)&gt;1, 1, 0), 0)</f>
        <v>0</v>
      </c>
      <c r="M745" t="b">
        <f>VLOOKUP(D745, Products!A$2:F$61, 6, FALSE)</f>
        <v>1</v>
      </c>
      <c r="N745" t="str">
        <f>VLOOKUP(D745, Products!A$2:C$61, 3, FALSE)</f>
        <v>Grocery</v>
      </c>
      <c r="O745" t="str">
        <f>VLOOKUP(C745, Customers!A$2:E$301, 5, FALSE)</f>
        <v>Retail</v>
      </c>
      <c r="P745">
        <f>VLOOKUP(C745, Customers!A$2:C$301, 3, FALSE)</f>
        <v>28</v>
      </c>
      <c r="Q745" t="str">
        <f>VLOOKUP(E745, Sales_Reps!A$2:C$31, 3, FALSE)</f>
        <v>West</v>
      </c>
      <c r="R745">
        <f>VLOOKUP(D745, Products!A$2:D$61, 4, FALSE)</f>
        <v>1010</v>
      </c>
    </row>
    <row r="746" spans="1:18" x14ac:dyDescent="0.3">
      <c r="A746" s="13" t="s">
        <v>1212</v>
      </c>
      <c r="B746" s="14">
        <v>45329</v>
      </c>
      <c r="C746" s="13" t="s">
        <v>460</v>
      </c>
      <c r="D746" s="13" t="s">
        <v>157</v>
      </c>
      <c r="E746" s="13" t="s">
        <v>252</v>
      </c>
      <c r="F746" s="15">
        <v>1</v>
      </c>
      <c r="G746" s="15">
        <v>3450</v>
      </c>
      <c r="H746" s="15">
        <v>19.100000000000001</v>
      </c>
      <c r="I746" s="15">
        <v>2791.05</v>
      </c>
      <c r="J746" s="13" t="s">
        <v>93</v>
      </c>
      <c r="K746" s="13" t="s">
        <v>88</v>
      </c>
      <c r="L746">
        <f>IF(COUNTIF(A$2:A746, A746)=1, IF(COUNTIF(A$2:A$2001, A746)&gt;1, 1, 0), 0)</f>
        <v>0</v>
      </c>
      <c r="M746" t="b">
        <f>VLOOKUP(D746, Products!A$2:F$61, 6, FALSE)</f>
        <v>1</v>
      </c>
      <c r="N746" t="str">
        <f>VLOOKUP(D746, Products!A$2:C$61, 3, FALSE)</f>
        <v>Beauty</v>
      </c>
      <c r="O746" t="str">
        <f>VLOOKUP(C746, Customers!A$2:E$301, 5, FALSE)</f>
        <v>Corporate</v>
      </c>
      <c r="P746">
        <f>VLOOKUP(C746, Customers!A$2:C$301, 3, FALSE)</f>
        <v>37</v>
      </c>
      <c r="Q746" t="str">
        <f>VLOOKUP(E746, Sales_Reps!A$2:C$31, 3, FALSE)</f>
        <v>South</v>
      </c>
      <c r="R746">
        <f>VLOOKUP(D746, Products!A$2:D$61, 4, FALSE)</f>
        <v>2420</v>
      </c>
    </row>
    <row r="747" spans="1:18" x14ac:dyDescent="0.3">
      <c r="A747" s="13" t="s">
        <v>1213</v>
      </c>
      <c r="B747" s="14">
        <v>45587</v>
      </c>
      <c r="C747" s="13" t="s">
        <v>539</v>
      </c>
      <c r="D747" s="13" t="s">
        <v>191</v>
      </c>
      <c r="E747" s="13" t="s">
        <v>128</v>
      </c>
      <c r="F747" s="15">
        <v>5</v>
      </c>
      <c r="G747" s="15">
        <v>5100</v>
      </c>
      <c r="H747" s="15">
        <v>2.8</v>
      </c>
      <c r="I747" s="15">
        <v>24786</v>
      </c>
      <c r="J747" s="13" t="s">
        <v>87</v>
      </c>
      <c r="K747" s="13" t="s">
        <v>133</v>
      </c>
      <c r="L747">
        <f>IF(COUNTIF(A$2:A747, A747)=1, IF(COUNTIF(A$2:A$2001, A747)&gt;1, 1, 0), 0)</f>
        <v>0</v>
      </c>
      <c r="M747" t="b">
        <f>VLOOKUP(D747, Products!A$2:F$61, 6, FALSE)</f>
        <v>1</v>
      </c>
      <c r="N747" t="str">
        <f>VLOOKUP(D747, Products!A$2:C$61, 3, FALSE)</f>
        <v>Beauty</v>
      </c>
      <c r="O747" t="str">
        <f>VLOOKUP(C747, Customers!A$2:E$301, 5, FALSE)</f>
        <v>Retail</v>
      </c>
      <c r="P747">
        <f>VLOOKUP(C747, Customers!A$2:C$301, 3, FALSE)</f>
        <v>38</v>
      </c>
      <c r="Q747" t="str">
        <f>VLOOKUP(E747, Sales_Reps!A$2:C$31, 3, FALSE)</f>
        <v>West</v>
      </c>
      <c r="R747">
        <f>VLOOKUP(D747, Products!A$2:D$61, 4, FALSE)</f>
        <v>2237</v>
      </c>
    </row>
    <row r="748" spans="1:18" x14ac:dyDescent="0.3">
      <c r="A748" s="13" t="s">
        <v>1214</v>
      </c>
      <c r="B748" s="14">
        <v>45423</v>
      </c>
      <c r="C748" s="13" t="s">
        <v>299</v>
      </c>
      <c r="D748" s="13" t="s">
        <v>191</v>
      </c>
      <c r="E748" s="13" t="s">
        <v>148</v>
      </c>
      <c r="F748" s="15">
        <v>9</v>
      </c>
      <c r="G748" s="15">
        <v>5100</v>
      </c>
      <c r="H748" s="15">
        <v>24.4</v>
      </c>
      <c r="I748" s="15">
        <v>34700.400000000001</v>
      </c>
      <c r="J748" s="13" t="s">
        <v>87</v>
      </c>
      <c r="K748" s="13" t="s">
        <v>133</v>
      </c>
      <c r="L748">
        <f>IF(COUNTIF(A$2:A748, A748)=1, IF(COUNTIF(A$2:A$2001, A748)&gt;1, 1, 0), 0)</f>
        <v>0</v>
      </c>
      <c r="M748" t="b">
        <f>VLOOKUP(D748, Products!A$2:F$61, 6, FALSE)</f>
        <v>1</v>
      </c>
      <c r="N748" t="str">
        <f>VLOOKUP(D748, Products!A$2:C$61, 3, FALSE)</f>
        <v>Beauty</v>
      </c>
      <c r="O748" t="str">
        <f>VLOOKUP(C748, Customers!A$2:E$301, 5, FALSE)</f>
        <v>Retail</v>
      </c>
      <c r="P748">
        <f>VLOOKUP(C748, Customers!A$2:C$301, 3, FALSE)</f>
        <v>29</v>
      </c>
      <c r="Q748" t="str">
        <f>VLOOKUP(E748, Sales_Reps!A$2:C$31, 3, FALSE)</f>
        <v>North</v>
      </c>
      <c r="R748">
        <f>VLOOKUP(D748, Products!A$2:D$61, 4, FALSE)</f>
        <v>2237</v>
      </c>
    </row>
    <row r="749" spans="1:18" x14ac:dyDescent="0.3">
      <c r="A749" s="13" t="s">
        <v>1215</v>
      </c>
      <c r="B749" s="14">
        <v>45568</v>
      </c>
      <c r="C749" s="13" t="s">
        <v>301</v>
      </c>
      <c r="D749" s="13" t="s">
        <v>203</v>
      </c>
      <c r="E749" s="13" t="s">
        <v>103</v>
      </c>
      <c r="F749" s="15">
        <v>9</v>
      </c>
      <c r="G749" s="15">
        <v>660</v>
      </c>
      <c r="H749" s="15">
        <v>19.8</v>
      </c>
      <c r="I749" s="15">
        <v>4763.88</v>
      </c>
      <c r="J749" s="13" t="s">
        <v>87</v>
      </c>
      <c r="K749" s="13" t="s">
        <v>94</v>
      </c>
      <c r="L749">
        <f>IF(COUNTIF(A$2:A749, A749)=1, IF(COUNTIF(A$2:A$2001, A749)&gt;1, 1, 0), 0)</f>
        <v>0</v>
      </c>
      <c r="M749" t="b">
        <f>VLOOKUP(D749, Products!A$2:F$61, 6, FALSE)</f>
        <v>1</v>
      </c>
      <c r="N749" t="str">
        <f>VLOOKUP(D749, Products!A$2:C$61, 3, FALSE)</f>
        <v>Home</v>
      </c>
      <c r="O749" t="str">
        <f>VLOOKUP(C749, Customers!A$2:E$301, 5, FALSE)</f>
        <v>Retail</v>
      </c>
      <c r="P749">
        <f>VLOOKUP(C749, Customers!A$2:C$301, 3, FALSE)</f>
        <v>41</v>
      </c>
      <c r="Q749" t="str">
        <f>VLOOKUP(E749, Sales_Reps!A$2:C$31, 3, FALSE)</f>
        <v>North</v>
      </c>
      <c r="R749">
        <f>VLOOKUP(D749, Products!A$2:D$61, 4, FALSE)</f>
        <v>329</v>
      </c>
    </row>
    <row r="750" spans="1:18" x14ac:dyDescent="0.3">
      <c r="A750" s="13" t="s">
        <v>1216</v>
      </c>
      <c r="B750" s="14">
        <v>45549</v>
      </c>
      <c r="C750" s="13" t="s">
        <v>1217</v>
      </c>
      <c r="D750" s="13" t="s">
        <v>264</v>
      </c>
      <c r="E750" s="13" t="s">
        <v>103</v>
      </c>
      <c r="F750" s="15">
        <v>3</v>
      </c>
      <c r="G750" s="15">
        <v>4070</v>
      </c>
      <c r="H750" s="15">
        <v>27.1</v>
      </c>
      <c r="I750" s="15">
        <v>8901.09</v>
      </c>
      <c r="J750" s="13" t="s">
        <v>87</v>
      </c>
      <c r="K750" s="13" t="s">
        <v>112</v>
      </c>
      <c r="L750">
        <f>IF(COUNTIF(A$2:A750, A750)=1, IF(COUNTIF(A$2:A$2001, A750)&gt;1, 1, 0), 0)</f>
        <v>0</v>
      </c>
      <c r="M750" t="b">
        <f>VLOOKUP(D750, Products!A$2:F$61, 6, FALSE)</f>
        <v>1</v>
      </c>
      <c r="N750" t="str">
        <f>VLOOKUP(D750, Products!A$2:C$61, 3, FALSE)</f>
        <v>Grocery</v>
      </c>
      <c r="O750" t="str">
        <f>VLOOKUP(C750, Customers!A$2:E$301, 5, FALSE)</f>
        <v>Retail</v>
      </c>
      <c r="P750">
        <f>VLOOKUP(C750, Customers!A$2:C$301, 3, FALSE)</f>
        <v>44</v>
      </c>
      <c r="Q750" t="str">
        <f>VLOOKUP(E750, Sales_Reps!A$2:C$31, 3, FALSE)</f>
        <v>North</v>
      </c>
      <c r="R750">
        <f>VLOOKUP(D750, Products!A$2:D$61, 4, FALSE)</f>
        <v>2027</v>
      </c>
    </row>
    <row r="751" spans="1:18" x14ac:dyDescent="0.3">
      <c r="A751" s="13" t="s">
        <v>1218</v>
      </c>
      <c r="B751" s="14">
        <v>45504</v>
      </c>
      <c r="C751" s="13" t="s">
        <v>350</v>
      </c>
      <c r="D751" s="13" t="s">
        <v>355</v>
      </c>
      <c r="E751" s="13" t="s">
        <v>86</v>
      </c>
      <c r="F751" s="15">
        <v>2</v>
      </c>
      <c r="G751" s="15">
        <v>2510</v>
      </c>
      <c r="H751" s="15">
        <v>29.1</v>
      </c>
      <c r="I751" s="15">
        <v>3559.18</v>
      </c>
      <c r="J751" s="13" t="s">
        <v>87</v>
      </c>
      <c r="K751" s="13" t="s">
        <v>112</v>
      </c>
      <c r="L751">
        <f>IF(COUNTIF(A$2:A751, A751)=1, IF(COUNTIF(A$2:A$2001, A751)&gt;1, 1, 0), 0)</f>
        <v>0</v>
      </c>
      <c r="M751" t="b">
        <f>VLOOKUP(D751, Products!A$2:F$61, 6, FALSE)</f>
        <v>0</v>
      </c>
      <c r="N751" t="str">
        <f>VLOOKUP(D751, Products!A$2:C$61, 3, FALSE)</f>
        <v>Apparel</v>
      </c>
      <c r="O751" t="str">
        <f>VLOOKUP(C751, Customers!A$2:E$301, 5, FALSE)</f>
        <v>SMB</v>
      </c>
      <c r="P751">
        <f>VLOOKUP(C751, Customers!A$2:C$301, 3, FALSE)</f>
        <v>22</v>
      </c>
      <c r="Q751" t="str">
        <f>VLOOKUP(E751, Sales_Reps!A$2:C$31, 3, FALSE)</f>
        <v>North</v>
      </c>
      <c r="R751">
        <f>VLOOKUP(D751, Products!A$2:D$61, 4, FALSE)</f>
        <v>1075</v>
      </c>
    </row>
    <row r="752" spans="1:18" x14ac:dyDescent="0.3">
      <c r="A752" s="13" t="s">
        <v>1219</v>
      </c>
      <c r="B752" s="14">
        <v>45449</v>
      </c>
      <c r="C752" s="13" t="s">
        <v>233</v>
      </c>
      <c r="D752" s="13" t="s">
        <v>143</v>
      </c>
      <c r="E752" s="13" t="s">
        <v>170</v>
      </c>
      <c r="F752" s="15">
        <v>4</v>
      </c>
      <c r="G752" s="15">
        <v>3250</v>
      </c>
      <c r="H752" s="15">
        <v>21.1</v>
      </c>
      <c r="I752" s="15">
        <v>10257</v>
      </c>
      <c r="J752" s="13" t="s">
        <v>87</v>
      </c>
      <c r="K752" s="13" t="s">
        <v>88</v>
      </c>
      <c r="L752">
        <f>IF(COUNTIF(A$2:A752, A752)=1, IF(COUNTIF(A$2:A$2001, A752)&gt;1, 1, 0), 0)</f>
        <v>0</v>
      </c>
      <c r="M752" t="b">
        <f>VLOOKUP(D752, Products!A$2:F$61, 6, FALSE)</f>
        <v>1</v>
      </c>
      <c r="N752" t="str">
        <f>VLOOKUP(D752, Products!A$2:C$61, 3, FALSE)</f>
        <v>Home</v>
      </c>
      <c r="O752" t="str">
        <f>VLOOKUP(C752, Customers!A$2:E$301, 5, FALSE)</f>
        <v>SMB</v>
      </c>
      <c r="P752">
        <f>VLOOKUP(C752, Customers!A$2:C$301, 3, FALSE)</f>
        <v>29</v>
      </c>
      <c r="Q752" t="str">
        <f>VLOOKUP(E752, Sales_Reps!A$2:C$31, 3, FALSE)</f>
        <v>West</v>
      </c>
      <c r="R752">
        <f>VLOOKUP(D752, Products!A$2:D$61, 4, FALSE)</f>
        <v>1556</v>
      </c>
    </row>
    <row r="753" spans="1:18" x14ac:dyDescent="0.3">
      <c r="A753" s="13" t="s">
        <v>1220</v>
      </c>
      <c r="B753" s="14">
        <v>45600</v>
      </c>
      <c r="C753" s="13" t="s">
        <v>599</v>
      </c>
      <c r="D753" s="13" t="s">
        <v>110</v>
      </c>
      <c r="E753" s="13" t="s">
        <v>92</v>
      </c>
      <c r="F753" s="15">
        <v>3</v>
      </c>
      <c r="G753" s="15">
        <v>370</v>
      </c>
      <c r="H753" s="15">
        <v>7.7</v>
      </c>
      <c r="I753" s="15">
        <v>1024.53</v>
      </c>
      <c r="J753" s="13" t="s">
        <v>87</v>
      </c>
      <c r="K753" s="13" t="s">
        <v>117</v>
      </c>
      <c r="L753">
        <f>IF(COUNTIF(A$2:A753, A753)=1, IF(COUNTIF(A$2:A$2001, A753)&gt;1, 1, 0), 0)</f>
        <v>0</v>
      </c>
      <c r="M753" t="b">
        <f>VLOOKUP(D753, Products!A$2:F$61, 6, FALSE)</f>
        <v>1</v>
      </c>
      <c r="N753" t="str">
        <f>VLOOKUP(D753, Products!A$2:C$61, 3, FALSE)</f>
        <v>Home</v>
      </c>
      <c r="O753" t="str">
        <f>VLOOKUP(C753, Customers!A$2:E$301, 5, FALSE)</f>
        <v>Corporate</v>
      </c>
      <c r="P753">
        <f>VLOOKUP(C753, Customers!A$2:C$301, 3, FALSE)</f>
        <v>26</v>
      </c>
      <c r="Q753" t="str">
        <f>VLOOKUP(E753, Sales_Reps!A$2:C$31, 3, FALSE)</f>
        <v>North</v>
      </c>
      <c r="R753">
        <f>VLOOKUP(D753, Products!A$2:D$61, 4, FALSE)</f>
        <v>288</v>
      </c>
    </row>
    <row r="754" spans="1:18" x14ac:dyDescent="0.3">
      <c r="A754" s="13" t="s">
        <v>1221</v>
      </c>
      <c r="B754" s="14">
        <v>45479</v>
      </c>
      <c r="C754" s="13" t="s">
        <v>977</v>
      </c>
      <c r="D754" s="13" t="s">
        <v>91</v>
      </c>
      <c r="E754" s="13" t="s">
        <v>103</v>
      </c>
      <c r="F754" s="15">
        <v>10</v>
      </c>
      <c r="G754" s="15">
        <v>820</v>
      </c>
      <c r="H754" s="15">
        <v>3.5</v>
      </c>
      <c r="I754" s="15">
        <v>7913</v>
      </c>
      <c r="J754" s="13" t="s">
        <v>87</v>
      </c>
      <c r="K754" s="13" t="s">
        <v>88</v>
      </c>
      <c r="L754">
        <f>IF(COUNTIF(A$2:A754, A754)=1, IF(COUNTIF(A$2:A$2001, A754)&gt;1, 1, 0), 0)</f>
        <v>0</v>
      </c>
      <c r="M754" t="b">
        <f>VLOOKUP(D754, Products!A$2:F$61, 6, FALSE)</f>
        <v>1</v>
      </c>
      <c r="N754" t="str">
        <f>VLOOKUP(D754, Products!A$2:C$61, 3, FALSE)</f>
        <v>Apparel</v>
      </c>
      <c r="O754" t="str">
        <f>VLOOKUP(C754, Customers!A$2:E$301, 5, FALSE)</f>
        <v>Corporate</v>
      </c>
      <c r="P754">
        <f>VLOOKUP(C754, Customers!A$2:C$301, 3, FALSE)</f>
        <v>29</v>
      </c>
      <c r="Q754" t="str">
        <f>VLOOKUP(E754, Sales_Reps!A$2:C$31, 3, FALSE)</f>
        <v>North</v>
      </c>
      <c r="R754">
        <f>VLOOKUP(D754, Products!A$2:D$61, 4, FALSE)</f>
        <v>391</v>
      </c>
    </row>
    <row r="755" spans="1:18" x14ac:dyDescent="0.3">
      <c r="A755" s="13" t="s">
        <v>1222</v>
      </c>
      <c r="B755" s="14">
        <v>45531</v>
      </c>
      <c r="C755" s="13" t="s">
        <v>429</v>
      </c>
      <c r="D755" s="13" t="s">
        <v>264</v>
      </c>
      <c r="E755" s="13" t="s">
        <v>229</v>
      </c>
      <c r="F755" s="15">
        <v>4</v>
      </c>
      <c r="G755" s="15">
        <v>4070</v>
      </c>
      <c r="H755" s="15">
        <v>23.8</v>
      </c>
      <c r="I755" s="15">
        <v>12405.36</v>
      </c>
      <c r="J755" s="13" t="s">
        <v>87</v>
      </c>
      <c r="K755" s="13" t="s">
        <v>117</v>
      </c>
      <c r="L755">
        <f>IF(COUNTIF(A$2:A755, A755)=1, IF(COUNTIF(A$2:A$2001, A755)&gt;1, 1, 0), 0)</f>
        <v>0</v>
      </c>
      <c r="M755" t="b">
        <f>VLOOKUP(D755, Products!A$2:F$61, 6, FALSE)</f>
        <v>1</v>
      </c>
      <c r="N755" t="str">
        <f>VLOOKUP(D755, Products!A$2:C$61, 3, FALSE)</f>
        <v>Grocery</v>
      </c>
      <c r="O755" t="str">
        <f>VLOOKUP(C755, Customers!A$2:E$301, 5, FALSE)</f>
        <v>Retail</v>
      </c>
      <c r="P755">
        <f>VLOOKUP(C755, Customers!A$2:C$301, 3, FALSE)</f>
        <v>55</v>
      </c>
      <c r="Q755" t="str">
        <f>VLOOKUP(E755, Sales_Reps!A$2:C$31, 3, FALSE)</f>
        <v>West</v>
      </c>
      <c r="R755">
        <f>VLOOKUP(D755, Products!A$2:D$61, 4, FALSE)</f>
        <v>2027</v>
      </c>
    </row>
    <row r="756" spans="1:18" x14ac:dyDescent="0.3">
      <c r="A756" s="13" t="s">
        <v>1223</v>
      </c>
      <c r="B756" s="14">
        <v>45356</v>
      </c>
      <c r="C756" s="13" t="s">
        <v>759</v>
      </c>
      <c r="D756" s="13" t="s">
        <v>367</v>
      </c>
      <c r="E756" s="13" t="s">
        <v>273</v>
      </c>
      <c r="F756" s="15">
        <v>1</v>
      </c>
      <c r="G756" s="15">
        <v>2380</v>
      </c>
      <c r="H756" s="15">
        <v>19.600000000000001</v>
      </c>
      <c r="I756" s="15">
        <v>1913.52</v>
      </c>
      <c r="J756" s="13" t="s">
        <v>140</v>
      </c>
      <c r="K756" s="13" t="s">
        <v>117</v>
      </c>
      <c r="L756">
        <f>IF(COUNTIF(A$2:A756, A756)=1, IF(COUNTIF(A$2:A$2001, A756)&gt;1, 1, 0), 0)</f>
        <v>0</v>
      </c>
      <c r="M756" t="b">
        <f>VLOOKUP(D756, Products!A$2:F$61, 6, FALSE)</f>
        <v>1</v>
      </c>
      <c r="N756" t="str">
        <f>VLOOKUP(D756, Products!A$2:C$61, 3, FALSE)</f>
        <v>Grocery</v>
      </c>
      <c r="O756" t="str">
        <f>VLOOKUP(C756, Customers!A$2:E$301, 5, FALSE)</f>
        <v>Retail</v>
      </c>
      <c r="P756">
        <f>VLOOKUP(C756, Customers!A$2:C$301, 3, FALSE)</f>
        <v>29</v>
      </c>
      <c r="Q756" t="str">
        <f>VLOOKUP(E756, Sales_Reps!A$2:C$31, 3, FALSE)</f>
        <v>South</v>
      </c>
      <c r="R756">
        <f>VLOOKUP(D756, Products!A$2:D$61, 4, FALSE)</f>
        <v>1182</v>
      </c>
    </row>
    <row r="757" spans="1:18" x14ac:dyDescent="0.3">
      <c r="A757" s="13" t="s">
        <v>1224</v>
      </c>
      <c r="B757" s="14">
        <v>45553</v>
      </c>
      <c r="C757" s="13" t="s">
        <v>948</v>
      </c>
      <c r="D757" s="13" t="s">
        <v>124</v>
      </c>
      <c r="E757" s="13" t="s">
        <v>170</v>
      </c>
      <c r="F757" s="15">
        <v>3</v>
      </c>
      <c r="G757" s="15">
        <v>5490</v>
      </c>
      <c r="H757" s="15">
        <v>2.5</v>
      </c>
      <c r="I757" s="15">
        <v>16058.25</v>
      </c>
      <c r="J757" s="13" t="s">
        <v>87</v>
      </c>
      <c r="K757" s="13" t="s">
        <v>88</v>
      </c>
      <c r="L757">
        <f>IF(COUNTIF(A$2:A757, A757)=1, IF(COUNTIF(A$2:A$2001, A757)&gt;1, 1, 0), 0)</f>
        <v>0</v>
      </c>
      <c r="M757" t="b">
        <f>VLOOKUP(D757, Products!A$2:F$61, 6, FALSE)</f>
        <v>1</v>
      </c>
      <c r="N757" t="str">
        <f>VLOOKUP(D757, Products!A$2:C$61, 3, FALSE)</f>
        <v>Home</v>
      </c>
      <c r="O757" t="str">
        <f>VLOOKUP(C757, Customers!A$2:E$301, 5, FALSE)</f>
        <v>Retail</v>
      </c>
      <c r="P757">
        <f>VLOOKUP(C757, Customers!A$2:C$301, 3, FALSE)</f>
        <v>65</v>
      </c>
      <c r="Q757" t="str">
        <f>VLOOKUP(E757, Sales_Reps!A$2:C$31, 3, FALSE)</f>
        <v>West</v>
      </c>
      <c r="R757">
        <f>VLOOKUP(D757, Products!A$2:D$61, 4, FALSE)</f>
        <v>2549</v>
      </c>
    </row>
    <row r="758" spans="1:18" x14ac:dyDescent="0.3">
      <c r="A758" s="13" t="s">
        <v>1225</v>
      </c>
      <c r="B758" s="14">
        <v>45492</v>
      </c>
      <c r="C758" s="13" t="s">
        <v>336</v>
      </c>
      <c r="D758" s="13" t="s">
        <v>237</v>
      </c>
      <c r="E758" s="13" t="s">
        <v>343</v>
      </c>
      <c r="F758" s="15">
        <v>3</v>
      </c>
      <c r="G758" s="15">
        <v>3640</v>
      </c>
      <c r="H758" s="15">
        <v>23.3</v>
      </c>
      <c r="I758" s="15">
        <v>8375.64</v>
      </c>
      <c r="J758" s="13" t="s">
        <v>87</v>
      </c>
      <c r="K758" s="13" t="s">
        <v>112</v>
      </c>
      <c r="L758">
        <f>IF(COUNTIF(A$2:A758, A758)=1, IF(COUNTIF(A$2:A$2001, A758)&gt;1, 1, 0), 0)</f>
        <v>0</v>
      </c>
      <c r="M758" t="b">
        <f>VLOOKUP(D758, Products!A$2:F$61, 6, FALSE)</f>
        <v>1</v>
      </c>
      <c r="N758" t="str">
        <f>VLOOKUP(D758, Products!A$2:C$61, 3, FALSE)</f>
        <v>Apparel</v>
      </c>
      <c r="O758" t="str">
        <f>VLOOKUP(C758, Customers!A$2:E$301, 5, FALSE)</f>
        <v>Retail</v>
      </c>
      <c r="P758">
        <f>VLOOKUP(C758, Customers!A$2:C$301, 3, FALSE)</f>
        <v>49</v>
      </c>
      <c r="Q758" t="str">
        <f>VLOOKUP(E758, Sales_Reps!A$2:C$31, 3, FALSE)</f>
        <v>West</v>
      </c>
      <c r="R758">
        <f>VLOOKUP(D758, Products!A$2:D$61, 4, FALSE)</f>
        <v>2611</v>
      </c>
    </row>
    <row r="759" spans="1:18" x14ac:dyDescent="0.3">
      <c r="A759" s="13" t="s">
        <v>1226</v>
      </c>
      <c r="B759" s="14">
        <v>45388</v>
      </c>
      <c r="C759" s="13" t="s">
        <v>405</v>
      </c>
      <c r="D759" s="13" t="s">
        <v>270</v>
      </c>
      <c r="E759" s="13" t="s">
        <v>303</v>
      </c>
      <c r="F759" s="15">
        <v>2</v>
      </c>
      <c r="G759" s="15">
        <v>4610</v>
      </c>
      <c r="H759" s="15">
        <v>5</v>
      </c>
      <c r="I759" s="15">
        <v>8759</v>
      </c>
      <c r="J759" s="13" t="s">
        <v>93</v>
      </c>
      <c r="K759" s="13" t="s">
        <v>94</v>
      </c>
      <c r="L759">
        <f>IF(COUNTIF(A$2:A759, A759)=1, IF(COUNTIF(A$2:A$2001, A759)&gt;1, 1, 0), 0)</f>
        <v>0</v>
      </c>
      <c r="M759" t="b">
        <f>VLOOKUP(D759, Products!A$2:F$61, 6, FALSE)</f>
        <v>1</v>
      </c>
      <c r="N759" t="str">
        <f>VLOOKUP(D759, Products!A$2:C$61, 3, FALSE)</f>
        <v>Home</v>
      </c>
      <c r="O759" t="str">
        <f>VLOOKUP(C759, Customers!A$2:E$301, 5, FALSE)</f>
        <v>Corporate</v>
      </c>
      <c r="P759">
        <f>VLOOKUP(C759, Customers!A$2:C$301, 3, FALSE)</f>
        <v>24</v>
      </c>
      <c r="Q759" t="str">
        <f>VLOOKUP(E759, Sales_Reps!A$2:C$31, 3, FALSE)</f>
        <v>East</v>
      </c>
      <c r="R759">
        <f>VLOOKUP(D759, Products!A$2:D$61, 4, FALSE)</f>
        <v>1850</v>
      </c>
    </row>
    <row r="760" spans="1:18" x14ac:dyDescent="0.3">
      <c r="A760" s="13" t="s">
        <v>1227</v>
      </c>
      <c r="B760" s="14">
        <v>45369</v>
      </c>
      <c r="C760" s="13" t="s">
        <v>507</v>
      </c>
      <c r="D760" s="13" t="s">
        <v>151</v>
      </c>
      <c r="E760" s="13" t="s">
        <v>215</v>
      </c>
      <c r="F760" s="15">
        <v>8</v>
      </c>
      <c r="G760" s="15">
        <v>2400</v>
      </c>
      <c r="H760" s="15">
        <v>10</v>
      </c>
      <c r="I760" s="15">
        <v>17280</v>
      </c>
      <c r="J760" s="13" t="s">
        <v>93</v>
      </c>
      <c r="K760" s="13" t="s">
        <v>88</v>
      </c>
      <c r="L760">
        <f>IF(COUNTIF(A$2:A760, A760)=1, IF(COUNTIF(A$2:A$2001, A760)&gt;1, 1, 0), 0)</f>
        <v>0</v>
      </c>
      <c r="M760" t="b">
        <f>VLOOKUP(D760, Products!A$2:F$61, 6, FALSE)</f>
        <v>1</v>
      </c>
      <c r="N760" t="str">
        <f>VLOOKUP(D760, Products!A$2:C$61, 3, FALSE)</f>
        <v>Sports</v>
      </c>
      <c r="O760" t="str">
        <f>VLOOKUP(C760, Customers!A$2:E$301, 5, FALSE)</f>
        <v>Retail</v>
      </c>
      <c r="P760">
        <f>VLOOKUP(C760, Customers!A$2:C$301, 3, FALSE)</f>
        <v>59</v>
      </c>
      <c r="Q760" t="str">
        <f>VLOOKUP(E760, Sales_Reps!A$2:C$31, 3, FALSE)</f>
        <v>North</v>
      </c>
      <c r="R760">
        <f>VLOOKUP(D760, Products!A$2:D$61, 4, FALSE)</f>
        <v>974</v>
      </c>
    </row>
    <row r="761" spans="1:18" x14ac:dyDescent="0.3">
      <c r="A761" s="13" t="s">
        <v>1228</v>
      </c>
      <c r="B761" s="14">
        <v>45597</v>
      </c>
      <c r="C761" s="13" t="s">
        <v>397</v>
      </c>
      <c r="D761" s="13" t="s">
        <v>179</v>
      </c>
      <c r="E761" s="13" t="s">
        <v>297</v>
      </c>
      <c r="F761" s="15">
        <v>7</v>
      </c>
      <c r="G761" s="15">
        <v>3350</v>
      </c>
      <c r="H761" s="15">
        <v>23.7</v>
      </c>
      <c r="I761" s="15">
        <v>17892.349999999999</v>
      </c>
      <c r="J761" s="13" t="s">
        <v>87</v>
      </c>
      <c r="K761" s="13" t="s">
        <v>99</v>
      </c>
      <c r="L761">
        <f>IF(COUNTIF(A$2:A761, A761)=1, IF(COUNTIF(A$2:A$2001, A761)&gt;1, 1, 0), 0)</f>
        <v>0</v>
      </c>
      <c r="M761" t="b">
        <f>VLOOKUP(D761, Products!A$2:F$61, 6, FALSE)</f>
        <v>1</v>
      </c>
      <c r="N761" t="str">
        <f>VLOOKUP(D761, Products!A$2:C$61, 3, FALSE)</f>
        <v>Beauty</v>
      </c>
      <c r="O761" t="str">
        <f>VLOOKUP(C761, Customers!A$2:E$301, 5, FALSE)</f>
        <v>Retail</v>
      </c>
      <c r="P761">
        <f>VLOOKUP(C761, Customers!A$2:C$301, 3, FALSE)</f>
        <v>30</v>
      </c>
      <c r="Q761" t="str">
        <f>VLOOKUP(E761, Sales_Reps!A$2:C$31, 3, FALSE)</f>
        <v>North</v>
      </c>
      <c r="R761">
        <f>VLOOKUP(D761, Products!A$2:D$61, 4, FALSE)</f>
        <v>1728</v>
      </c>
    </row>
    <row r="762" spans="1:18" x14ac:dyDescent="0.3">
      <c r="A762" s="13" t="s">
        <v>1229</v>
      </c>
      <c r="B762" s="14">
        <v>45611</v>
      </c>
      <c r="C762" s="13" t="s">
        <v>655</v>
      </c>
      <c r="D762" s="13" t="s">
        <v>237</v>
      </c>
      <c r="E762" s="13" t="s">
        <v>325</v>
      </c>
      <c r="F762" s="15">
        <v>4</v>
      </c>
      <c r="G762" s="15">
        <v>3640</v>
      </c>
      <c r="H762" s="15">
        <v>9.3000000000000007</v>
      </c>
      <c r="I762" s="15">
        <v>13205.92</v>
      </c>
      <c r="J762" s="13" t="s">
        <v>140</v>
      </c>
      <c r="K762" s="13" t="s">
        <v>133</v>
      </c>
      <c r="L762">
        <f>IF(COUNTIF(A$2:A762, A762)=1, IF(COUNTIF(A$2:A$2001, A762)&gt;1, 1, 0), 0)</f>
        <v>0</v>
      </c>
      <c r="M762" t="b">
        <f>VLOOKUP(D762, Products!A$2:F$61, 6, FALSE)</f>
        <v>1</v>
      </c>
      <c r="N762" t="str">
        <f>VLOOKUP(D762, Products!A$2:C$61, 3, FALSE)</f>
        <v>Apparel</v>
      </c>
      <c r="O762" t="str">
        <f>VLOOKUP(C762, Customers!A$2:E$301, 5, FALSE)</f>
        <v>Retail</v>
      </c>
      <c r="P762">
        <f>VLOOKUP(C762, Customers!A$2:C$301, 3, FALSE)</f>
        <v>27</v>
      </c>
      <c r="Q762" t="str">
        <f>VLOOKUP(E762, Sales_Reps!A$2:C$31, 3, FALSE)</f>
        <v>South</v>
      </c>
      <c r="R762">
        <f>VLOOKUP(D762, Products!A$2:D$61, 4, FALSE)</f>
        <v>2611</v>
      </c>
    </row>
    <row r="763" spans="1:18" x14ac:dyDescent="0.3">
      <c r="A763" s="13" t="s">
        <v>1230</v>
      </c>
      <c r="B763" s="14">
        <v>45579</v>
      </c>
      <c r="C763" s="13" t="s">
        <v>1231</v>
      </c>
      <c r="D763" s="13" t="s">
        <v>237</v>
      </c>
      <c r="E763" s="13" t="s">
        <v>128</v>
      </c>
      <c r="F763" s="15">
        <v>9</v>
      </c>
      <c r="G763" s="15">
        <v>3640</v>
      </c>
      <c r="H763" s="15">
        <v>13.1</v>
      </c>
      <c r="I763" s="15">
        <v>28468.44</v>
      </c>
      <c r="J763" s="13" t="s">
        <v>93</v>
      </c>
      <c r="K763" s="13" t="s">
        <v>88</v>
      </c>
      <c r="L763">
        <f>IF(COUNTIF(A$2:A763, A763)=1, IF(COUNTIF(A$2:A$2001, A763)&gt;1, 1, 0), 0)</f>
        <v>0</v>
      </c>
      <c r="M763" t="b">
        <f>VLOOKUP(D763, Products!A$2:F$61, 6, FALSE)</f>
        <v>1</v>
      </c>
      <c r="N763" t="str">
        <f>VLOOKUP(D763, Products!A$2:C$61, 3, FALSE)</f>
        <v>Apparel</v>
      </c>
      <c r="O763" t="str">
        <f>VLOOKUP(C763, Customers!A$2:E$301, 5, FALSE)</f>
        <v>Retail</v>
      </c>
      <c r="P763">
        <f>VLOOKUP(C763, Customers!A$2:C$301, 3, FALSE)</f>
        <v>42</v>
      </c>
      <c r="Q763" t="str">
        <f>VLOOKUP(E763, Sales_Reps!A$2:C$31, 3, FALSE)</f>
        <v>West</v>
      </c>
      <c r="R763">
        <f>VLOOKUP(D763, Products!A$2:D$61, 4, FALSE)</f>
        <v>2611</v>
      </c>
    </row>
    <row r="764" spans="1:18" x14ac:dyDescent="0.3">
      <c r="A764" s="13" t="s">
        <v>1232</v>
      </c>
      <c r="B764" s="14">
        <v>45634</v>
      </c>
      <c r="C764" s="13" t="s">
        <v>172</v>
      </c>
      <c r="D764" s="13" t="s">
        <v>295</v>
      </c>
      <c r="E764" s="13" t="s">
        <v>98</v>
      </c>
      <c r="F764" s="15">
        <v>2</v>
      </c>
      <c r="G764" s="15">
        <v>2030</v>
      </c>
      <c r="H764" s="15">
        <v>12.2</v>
      </c>
      <c r="I764" s="15">
        <v>3564.68</v>
      </c>
      <c r="J764" s="13" t="s">
        <v>87</v>
      </c>
      <c r="K764" s="13" t="s">
        <v>88</v>
      </c>
      <c r="L764">
        <f>IF(COUNTIF(A$2:A764, A764)=1, IF(COUNTIF(A$2:A$2001, A764)&gt;1, 1, 0), 0)</f>
        <v>0</v>
      </c>
      <c r="M764" t="b">
        <f>VLOOKUP(D764, Products!A$2:F$61, 6, FALSE)</f>
        <v>1</v>
      </c>
      <c r="N764" t="str">
        <f>VLOOKUP(D764, Products!A$2:C$61, 3, FALSE)</f>
        <v>Home</v>
      </c>
      <c r="O764" t="str">
        <f>VLOOKUP(C764, Customers!A$2:E$301, 5, FALSE)</f>
        <v>Retail</v>
      </c>
      <c r="P764">
        <f>VLOOKUP(C764, Customers!A$2:C$301, 3, FALSE)</f>
        <v>50</v>
      </c>
      <c r="Q764" t="str">
        <f>VLOOKUP(E764, Sales_Reps!A$2:C$31, 3, FALSE)</f>
        <v>South</v>
      </c>
      <c r="R764">
        <f>VLOOKUP(D764, Products!A$2:D$61, 4, FALSE)</f>
        <v>1143</v>
      </c>
    </row>
    <row r="765" spans="1:18" x14ac:dyDescent="0.3">
      <c r="A765" s="13" t="s">
        <v>1233</v>
      </c>
      <c r="B765" s="14">
        <v>45471</v>
      </c>
      <c r="C765" s="13" t="s">
        <v>1234</v>
      </c>
      <c r="D765" s="13" t="s">
        <v>106</v>
      </c>
      <c r="E765" s="13" t="s">
        <v>297</v>
      </c>
      <c r="F765" s="15">
        <v>4</v>
      </c>
      <c r="G765" s="15">
        <v>3160</v>
      </c>
      <c r="H765" s="15">
        <v>7.5</v>
      </c>
      <c r="I765" s="15">
        <v>11692</v>
      </c>
      <c r="J765" s="13" t="s">
        <v>87</v>
      </c>
      <c r="K765" s="13" t="s">
        <v>112</v>
      </c>
      <c r="L765">
        <f>IF(COUNTIF(A$2:A765, A765)=1, IF(COUNTIF(A$2:A$2001, A765)&gt;1, 1, 0), 0)</f>
        <v>0</v>
      </c>
      <c r="M765" t="b">
        <f>VLOOKUP(D765, Products!A$2:F$61, 6, FALSE)</f>
        <v>1</v>
      </c>
      <c r="N765" t="str">
        <f>VLOOKUP(D765, Products!A$2:C$61, 3, FALSE)</f>
        <v>Apparel</v>
      </c>
      <c r="O765" t="str">
        <f>VLOOKUP(C765, Customers!A$2:E$301, 5, FALSE)</f>
        <v>Retail</v>
      </c>
      <c r="P765">
        <f>VLOOKUP(C765, Customers!A$2:C$301, 3, FALSE)</f>
        <v>29</v>
      </c>
      <c r="Q765" t="str">
        <f>VLOOKUP(E765, Sales_Reps!A$2:C$31, 3, FALSE)</f>
        <v>North</v>
      </c>
      <c r="R765">
        <f>VLOOKUP(D765, Products!A$2:D$61, 4, FALSE)</f>
        <v>1886</v>
      </c>
    </row>
    <row r="766" spans="1:18" x14ac:dyDescent="0.3">
      <c r="A766" s="13" t="s">
        <v>1235</v>
      </c>
      <c r="B766" s="14">
        <v>45327</v>
      </c>
      <c r="C766" s="13" t="s">
        <v>764</v>
      </c>
      <c r="D766" s="13" t="s">
        <v>264</v>
      </c>
      <c r="E766" s="13" t="s">
        <v>229</v>
      </c>
      <c r="F766" s="15">
        <v>10</v>
      </c>
      <c r="G766" s="15">
        <v>4070</v>
      </c>
      <c r="H766" s="15">
        <v>8.3000000000000007</v>
      </c>
      <c r="I766" s="15">
        <v>37321.9</v>
      </c>
      <c r="J766" s="13" t="s">
        <v>87</v>
      </c>
      <c r="K766" s="13" t="s">
        <v>94</v>
      </c>
      <c r="L766">
        <f>IF(COUNTIF(A$2:A766, A766)=1, IF(COUNTIF(A$2:A$2001, A766)&gt;1, 1, 0), 0)</f>
        <v>0</v>
      </c>
      <c r="M766" t="b">
        <f>VLOOKUP(D766, Products!A$2:F$61, 6, FALSE)</f>
        <v>1</v>
      </c>
      <c r="N766" t="str">
        <f>VLOOKUP(D766, Products!A$2:C$61, 3, FALSE)</f>
        <v>Grocery</v>
      </c>
      <c r="O766" t="str">
        <f>VLOOKUP(C766, Customers!A$2:E$301, 5, FALSE)</f>
        <v>SMB</v>
      </c>
      <c r="P766">
        <f>VLOOKUP(C766, Customers!A$2:C$301, 3, FALSE)</f>
        <v>26</v>
      </c>
      <c r="Q766" t="str">
        <f>VLOOKUP(E766, Sales_Reps!A$2:C$31, 3, FALSE)</f>
        <v>West</v>
      </c>
      <c r="R766">
        <f>VLOOKUP(D766, Products!A$2:D$61, 4, FALSE)</f>
        <v>2027</v>
      </c>
    </row>
    <row r="767" spans="1:18" x14ac:dyDescent="0.3">
      <c r="A767" s="13" t="s">
        <v>1236</v>
      </c>
      <c r="B767" s="14">
        <v>45343</v>
      </c>
      <c r="C767" s="13" t="s">
        <v>626</v>
      </c>
      <c r="D767" s="13" t="s">
        <v>351</v>
      </c>
      <c r="E767" s="13" t="s">
        <v>116</v>
      </c>
      <c r="F767" s="15">
        <v>8</v>
      </c>
      <c r="G767" s="15">
        <v>4060</v>
      </c>
      <c r="H767" s="15">
        <v>8.5</v>
      </c>
      <c r="I767" s="15">
        <v>29719.200000000001</v>
      </c>
      <c r="J767" s="13" t="s">
        <v>87</v>
      </c>
      <c r="K767" s="13" t="s">
        <v>99</v>
      </c>
      <c r="L767">
        <f>IF(COUNTIF(A$2:A767, A767)=1, IF(COUNTIF(A$2:A$2001, A767)&gt;1, 1, 0), 0)</f>
        <v>0</v>
      </c>
      <c r="M767" t="b">
        <f>VLOOKUP(D767, Products!A$2:F$61, 6, FALSE)</f>
        <v>1</v>
      </c>
      <c r="N767" t="str">
        <f>VLOOKUP(D767, Products!A$2:C$61, 3, FALSE)</f>
        <v>Grocery</v>
      </c>
      <c r="O767" t="str">
        <f>VLOOKUP(C767, Customers!A$2:E$301, 5, FALSE)</f>
        <v>Retail</v>
      </c>
      <c r="P767">
        <f>VLOOKUP(C767, Customers!A$2:C$301, 3, FALSE)</f>
        <v>40</v>
      </c>
      <c r="Q767" t="str">
        <f>VLOOKUP(E767, Sales_Reps!A$2:C$31, 3, FALSE)</f>
        <v>West</v>
      </c>
      <c r="R767">
        <f>VLOOKUP(D767, Products!A$2:D$61, 4, FALSE)</f>
        <v>2911</v>
      </c>
    </row>
    <row r="768" spans="1:18" x14ac:dyDescent="0.3">
      <c r="A768" s="13" t="s">
        <v>1237</v>
      </c>
      <c r="B768" s="14">
        <v>45334</v>
      </c>
      <c r="C768" s="13" t="s">
        <v>729</v>
      </c>
      <c r="D768" s="13" t="s">
        <v>115</v>
      </c>
      <c r="E768" s="13" t="s">
        <v>303</v>
      </c>
      <c r="F768" s="15">
        <v>8</v>
      </c>
      <c r="G768" s="15">
        <v>960</v>
      </c>
      <c r="H768" s="15">
        <v>8.6999999999999993</v>
      </c>
      <c r="I768" s="15">
        <v>7011.84</v>
      </c>
      <c r="J768" s="13" t="s">
        <v>87</v>
      </c>
      <c r="K768" s="13" t="s">
        <v>112</v>
      </c>
      <c r="L768">
        <f>IF(COUNTIF(A$2:A768, A768)=1, IF(COUNTIF(A$2:A$2001, A768)&gt;1, 1, 0), 0)</f>
        <v>0</v>
      </c>
      <c r="M768" t="b">
        <f>VLOOKUP(D768, Products!A$2:F$61, 6, FALSE)</f>
        <v>1</v>
      </c>
      <c r="N768" t="str">
        <f>VLOOKUP(D768, Products!A$2:C$61, 3, FALSE)</f>
        <v>Sports</v>
      </c>
      <c r="O768" t="str">
        <f>VLOOKUP(C768, Customers!A$2:E$301, 5, FALSE)</f>
        <v>Retail</v>
      </c>
      <c r="P768">
        <f>VLOOKUP(C768, Customers!A$2:C$301, 3, FALSE)</f>
        <v>56</v>
      </c>
      <c r="Q768" t="str">
        <f>VLOOKUP(E768, Sales_Reps!A$2:C$31, 3, FALSE)</f>
        <v>East</v>
      </c>
      <c r="R768">
        <f>VLOOKUP(D768, Products!A$2:D$61, 4, FALSE)</f>
        <v>705</v>
      </c>
    </row>
    <row r="769" spans="1:18" x14ac:dyDescent="0.3">
      <c r="A769" s="13" t="s">
        <v>1238</v>
      </c>
      <c r="B769" s="14">
        <v>45306</v>
      </c>
      <c r="C769" s="13" t="s">
        <v>676</v>
      </c>
      <c r="D769" s="13" t="s">
        <v>245</v>
      </c>
      <c r="E769" s="13" t="s">
        <v>343</v>
      </c>
      <c r="F769" s="15">
        <v>2</v>
      </c>
      <c r="G769" s="15">
        <v>2270</v>
      </c>
      <c r="H769" s="15">
        <v>10.199999999999999</v>
      </c>
      <c r="I769" s="15">
        <v>4076.92</v>
      </c>
      <c r="J769" s="13" t="s">
        <v>87</v>
      </c>
      <c r="K769" s="13" t="s">
        <v>88</v>
      </c>
      <c r="L769">
        <f>IF(COUNTIF(A$2:A769, A769)=1, IF(COUNTIF(A$2:A$2001, A769)&gt;1, 1, 0), 0)</f>
        <v>0</v>
      </c>
      <c r="M769" t="b">
        <f>VLOOKUP(D769, Products!A$2:F$61, 6, FALSE)</f>
        <v>1</v>
      </c>
      <c r="N769" t="str">
        <f>VLOOKUP(D769, Products!A$2:C$61, 3, FALSE)</f>
        <v>Grocery</v>
      </c>
      <c r="O769" t="str">
        <f>VLOOKUP(C769, Customers!A$2:E$301, 5, FALSE)</f>
        <v>SMB</v>
      </c>
      <c r="P769">
        <f>VLOOKUP(C769, Customers!A$2:C$301, 3, FALSE)</f>
        <v>35</v>
      </c>
      <c r="Q769" t="str">
        <f>VLOOKUP(E769, Sales_Reps!A$2:C$31, 3, FALSE)</f>
        <v>West</v>
      </c>
      <c r="R769">
        <f>VLOOKUP(D769, Products!A$2:D$61, 4, FALSE)</f>
        <v>1412</v>
      </c>
    </row>
    <row r="770" spans="1:18" x14ac:dyDescent="0.3">
      <c r="A770" s="13" t="s">
        <v>1239</v>
      </c>
      <c r="B770" s="14">
        <v>45296</v>
      </c>
      <c r="C770" s="13" t="s">
        <v>299</v>
      </c>
      <c r="D770" s="13" t="s">
        <v>234</v>
      </c>
      <c r="E770" s="13" t="s">
        <v>86</v>
      </c>
      <c r="F770" s="15">
        <v>1</v>
      </c>
      <c r="G770" s="15">
        <v>3780</v>
      </c>
      <c r="H770" s="15">
        <v>15.3</v>
      </c>
      <c r="I770" s="15">
        <v>3201.66</v>
      </c>
      <c r="J770" s="13" t="s">
        <v>140</v>
      </c>
      <c r="K770" s="13" t="s">
        <v>133</v>
      </c>
      <c r="L770">
        <f>IF(COUNTIF(A$2:A770, A770)=1, IF(COUNTIF(A$2:A$2001, A770)&gt;1, 1, 0), 0)</f>
        <v>0</v>
      </c>
      <c r="M770" t="b">
        <f>VLOOKUP(D770, Products!A$2:F$61, 6, FALSE)</f>
        <v>1</v>
      </c>
      <c r="N770" t="str">
        <f>VLOOKUP(D770, Products!A$2:C$61, 3, FALSE)</f>
        <v>Grocery</v>
      </c>
      <c r="O770" t="str">
        <f>VLOOKUP(C770, Customers!A$2:E$301, 5, FALSE)</f>
        <v>Retail</v>
      </c>
      <c r="P770">
        <f>VLOOKUP(C770, Customers!A$2:C$301, 3, FALSE)</f>
        <v>29</v>
      </c>
      <c r="Q770" t="str">
        <f>VLOOKUP(E770, Sales_Reps!A$2:C$31, 3, FALSE)</f>
        <v>North</v>
      </c>
      <c r="R770">
        <f>VLOOKUP(D770, Products!A$2:D$61, 4, FALSE)</f>
        <v>2436</v>
      </c>
    </row>
    <row r="771" spans="1:18" x14ac:dyDescent="0.3">
      <c r="A771" s="13" t="s">
        <v>1240</v>
      </c>
      <c r="B771" s="14">
        <v>45489</v>
      </c>
      <c r="C771" s="13" t="s">
        <v>874</v>
      </c>
      <c r="D771" s="13" t="s">
        <v>386</v>
      </c>
      <c r="E771" s="13" t="s">
        <v>128</v>
      </c>
      <c r="F771" s="15">
        <v>10</v>
      </c>
      <c r="G771" s="15">
        <v>2290</v>
      </c>
      <c r="H771" s="15">
        <v>2.4</v>
      </c>
      <c r="I771" s="15">
        <v>22350.400000000001</v>
      </c>
      <c r="J771" s="13" t="s">
        <v>93</v>
      </c>
      <c r="K771" s="13" t="s">
        <v>112</v>
      </c>
      <c r="L771">
        <f>IF(COUNTIF(A$2:A771, A771)=1, IF(COUNTIF(A$2:A$2001, A771)&gt;1, 1, 0), 0)</f>
        <v>0</v>
      </c>
      <c r="M771" t="b">
        <f>VLOOKUP(D771, Products!A$2:F$61, 6, FALSE)</f>
        <v>1</v>
      </c>
      <c r="N771" t="str">
        <f>VLOOKUP(D771, Products!A$2:C$61, 3, FALSE)</f>
        <v>Beauty</v>
      </c>
      <c r="O771" t="str">
        <f>VLOOKUP(C771, Customers!A$2:E$301, 5, FALSE)</f>
        <v>Retail</v>
      </c>
      <c r="P771">
        <f>VLOOKUP(C771, Customers!A$2:C$301, 3, FALSE)</f>
        <v>57</v>
      </c>
      <c r="Q771" t="str">
        <f>VLOOKUP(E771, Sales_Reps!A$2:C$31, 3, FALSE)</f>
        <v>West</v>
      </c>
      <c r="R771">
        <f>VLOOKUP(D771, Products!A$2:D$61, 4, FALSE)</f>
        <v>1219</v>
      </c>
    </row>
    <row r="772" spans="1:18" x14ac:dyDescent="0.3">
      <c r="A772" s="13" t="s">
        <v>1241</v>
      </c>
      <c r="B772" s="14">
        <v>45416</v>
      </c>
      <c r="C772" s="13" t="s">
        <v>1231</v>
      </c>
      <c r="D772" s="13" t="s">
        <v>179</v>
      </c>
      <c r="E772" s="13" t="s">
        <v>238</v>
      </c>
      <c r="F772" s="15">
        <v>5</v>
      </c>
      <c r="G772" s="15">
        <v>3350</v>
      </c>
      <c r="H772" s="15">
        <v>18.5</v>
      </c>
      <c r="I772" s="15">
        <v>13651.25</v>
      </c>
      <c r="J772" s="13" t="s">
        <v>140</v>
      </c>
      <c r="K772" s="13" t="s">
        <v>88</v>
      </c>
      <c r="L772">
        <f>IF(COUNTIF(A$2:A772, A772)=1, IF(COUNTIF(A$2:A$2001, A772)&gt;1, 1, 0), 0)</f>
        <v>0</v>
      </c>
      <c r="M772" t="b">
        <f>VLOOKUP(D772, Products!A$2:F$61, 6, FALSE)</f>
        <v>1</v>
      </c>
      <c r="N772" t="str">
        <f>VLOOKUP(D772, Products!A$2:C$61, 3, FALSE)</f>
        <v>Beauty</v>
      </c>
      <c r="O772" t="str">
        <f>VLOOKUP(C772, Customers!A$2:E$301, 5, FALSE)</f>
        <v>Retail</v>
      </c>
      <c r="P772">
        <f>VLOOKUP(C772, Customers!A$2:C$301, 3, FALSE)</f>
        <v>42</v>
      </c>
      <c r="Q772" t="str">
        <f>VLOOKUP(E772, Sales_Reps!A$2:C$31, 3, FALSE)</f>
        <v>East</v>
      </c>
      <c r="R772">
        <f>VLOOKUP(D772, Products!A$2:D$61, 4, FALSE)</f>
        <v>1728</v>
      </c>
    </row>
    <row r="773" spans="1:18" x14ac:dyDescent="0.3">
      <c r="A773" s="13" t="s">
        <v>1242</v>
      </c>
      <c r="B773" s="14">
        <v>45347</v>
      </c>
      <c r="C773" s="13" t="s">
        <v>308</v>
      </c>
      <c r="D773" s="13" t="s">
        <v>355</v>
      </c>
      <c r="E773" s="13" t="s">
        <v>158</v>
      </c>
      <c r="F773" s="15">
        <v>7</v>
      </c>
      <c r="G773" s="15">
        <v>2510</v>
      </c>
      <c r="H773" s="15">
        <v>4.2</v>
      </c>
      <c r="I773" s="15">
        <v>16832.060000000001</v>
      </c>
      <c r="J773" s="13" t="s">
        <v>140</v>
      </c>
      <c r="K773" s="13" t="s">
        <v>88</v>
      </c>
      <c r="L773">
        <f>IF(COUNTIF(A$2:A773, A773)=1, IF(COUNTIF(A$2:A$2001, A773)&gt;1, 1, 0), 0)</f>
        <v>0</v>
      </c>
      <c r="M773" t="b">
        <f>VLOOKUP(D773, Products!A$2:F$61, 6, FALSE)</f>
        <v>0</v>
      </c>
      <c r="N773" t="str">
        <f>VLOOKUP(D773, Products!A$2:C$61, 3, FALSE)</f>
        <v>Apparel</v>
      </c>
      <c r="O773" t="str">
        <f>VLOOKUP(C773, Customers!A$2:E$301, 5, FALSE)</f>
        <v>SMB</v>
      </c>
      <c r="P773">
        <f>VLOOKUP(C773, Customers!A$2:C$301, 3, FALSE)</f>
        <v>54</v>
      </c>
      <c r="Q773" t="str">
        <f>VLOOKUP(E773, Sales_Reps!A$2:C$31, 3, FALSE)</f>
        <v>East</v>
      </c>
      <c r="R773">
        <f>VLOOKUP(D773, Products!A$2:D$61, 4, FALSE)</f>
        <v>1075</v>
      </c>
    </row>
    <row r="774" spans="1:18" x14ac:dyDescent="0.3">
      <c r="A774" s="13" t="s">
        <v>1243</v>
      </c>
      <c r="B774" s="14">
        <v>45652</v>
      </c>
      <c r="C774" s="13" t="s">
        <v>163</v>
      </c>
      <c r="D774" s="13" t="s">
        <v>138</v>
      </c>
      <c r="E774" s="13" t="s">
        <v>303</v>
      </c>
      <c r="F774" s="15">
        <v>1</v>
      </c>
      <c r="G774" s="15">
        <v>2600</v>
      </c>
      <c r="H774" s="15">
        <v>2.2000000000000002</v>
      </c>
      <c r="I774" s="15">
        <v>2542.8000000000002</v>
      </c>
      <c r="J774" s="13" t="s">
        <v>87</v>
      </c>
      <c r="K774" s="13" t="s">
        <v>94</v>
      </c>
      <c r="L774">
        <f>IF(COUNTIF(A$2:A774, A774)=1, IF(COUNTIF(A$2:A$2001, A774)&gt;1, 1, 0), 0)</f>
        <v>0</v>
      </c>
      <c r="M774" t="b">
        <f>VLOOKUP(D774, Products!A$2:F$61, 6, FALSE)</f>
        <v>1</v>
      </c>
      <c r="N774" t="str">
        <f>VLOOKUP(D774, Products!A$2:C$61, 3, FALSE)</f>
        <v>Electronics</v>
      </c>
      <c r="O774" t="str">
        <f>VLOOKUP(C774, Customers!A$2:E$301, 5, FALSE)</f>
        <v>Retail</v>
      </c>
      <c r="P774">
        <f>VLOOKUP(C774, Customers!A$2:C$301, 3, FALSE)</f>
        <v>49</v>
      </c>
      <c r="Q774" t="str">
        <f>VLOOKUP(E774, Sales_Reps!A$2:C$31, 3, FALSE)</f>
        <v>East</v>
      </c>
      <c r="R774">
        <f>VLOOKUP(D774, Products!A$2:D$61, 4, FALSE)</f>
        <v>1052</v>
      </c>
    </row>
    <row r="775" spans="1:18" x14ac:dyDescent="0.3">
      <c r="A775" s="13" t="s">
        <v>1244</v>
      </c>
      <c r="B775" s="14">
        <v>45467</v>
      </c>
      <c r="C775" s="13" t="s">
        <v>429</v>
      </c>
      <c r="D775" s="13" t="s">
        <v>97</v>
      </c>
      <c r="E775" s="13" t="s">
        <v>148</v>
      </c>
      <c r="F775" s="15">
        <v>8</v>
      </c>
      <c r="G775" s="15">
        <v>470</v>
      </c>
      <c r="H775" s="15">
        <v>25.2</v>
      </c>
      <c r="I775" s="15">
        <v>2812.48</v>
      </c>
      <c r="J775" s="13" t="s">
        <v>87</v>
      </c>
      <c r="K775" s="13" t="s">
        <v>117</v>
      </c>
      <c r="L775">
        <f>IF(COUNTIF(A$2:A775, A775)=1, IF(COUNTIF(A$2:A$2001, A775)&gt;1, 1, 0), 0)</f>
        <v>0</v>
      </c>
      <c r="M775" t="b">
        <f>VLOOKUP(D775, Products!A$2:F$61, 6, FALSE)</f>
        <v>0</v>
      </c>
      <c r="N775" t="str">
        <f>VLOOKUP(D775, Products!A$2:C$61, 3, FALSE)</f>
        <v>Sports</v>
      </c>
      <c r="O775" t="str">
        <f>VLOOKUP(C775, Customers!A$2:E$301, 5, FALSE)</f>
        <v>Retail</v>
      </c>
      <c r="P775">
        <f>VLOOKUP(C775, Customers!A$2:C$301, 3, FALSE)</f>
        <v>55</v>
      </c>
      <c r="Q775" t="str">
        <f>VLOOKUP(E775, Sales_Reps!A$2:C$31, 3, FALSE)</f>
        <v>North</v>
      </c>
      <c r="R775">
        <f>VLOOKUP(D775, Products!A$2:D$61, 4, FALSE)</f>
        <v>302</v>
      </c>
    </row>
    <row r="776" spans="1:18" x14ac:dyDescent="0.3">
      <c r="A776" s="13" t="s">
        <v>1245</v>
      </c>
      <c r="B776" s="14">
        <v>45558</v>
      </c>
      <c r="C776" s="13" t="s">
        <v>197</v>
      </c>
      <c r="D776" s="13" t="s">
        <v>164</v>
      </c>
      <c r="E776" s="13" t="s">
        <v>325</v>
      </c>
      <c r="F776" s="15">
        <v>6</v>
      </c>
      <c r="G776" s="15">
        <v>1080</v>
      </c>
      <c r="H776" s="15">
        <v>25</v>
      </c>
      <c r="I776" s="15">
        <v>4860</v>
      </c>
      <c r="J776" s="13" t="s">
        <v>87</v>
      </c>
      <c r="K776" s="13" t="s">
        <v>88</v>
      </c>
      <c r="L776">
        <f>IF(COUNTIF(A$2:A776, A776)=1, IF(COUNTIF(A$2:A$2001, A776)&gt;1, 1, 0), 0)</f>
        <v>0</v>
      </c>
      <c r="M776" t="b">
        <f>VLOOKUP(D776, Products!A$2:F$61, 6, FALSE)</f>
        <v>1</v>
      </c>
      <c r="N776" t="str">
        <f>VLOOKUP(D776, Products!A$2:C$61, 3, FALSE)</f>
        <v>Home</v>
      </c>
      <c r="O776" t="str">
        <f>VLOOKUP(C776, Customers!A$2:E$301, 5, FALSE)</f>
        <v>Corporate</v>
      </c>
      <c r="P776">
        <f>VLOOKUP(C776, Customers!A$2:C$301, 3, FALSE)</f>
        <v>47</v>
      </c>
      <c r="Q776" t="str">
        <f>VLOOKUP(E776, Sales_Reps!A$2:C$31, 3, FALSE)</f>
        <v>South</v>
      </c>
      <c r="R776">
        <f>VLOOKUP(D776, Products!A$2:D$61, 4, FALSE)</f>
        <v>519</v>
      </c>
    </row>
    <row r="777" spans="1:18" x14ac:dyDescent="0.3">
      <c r="A777" s="13" t="s">
        <v>1246</v>
      </c>
      <c r="B777" s="14">
        <v>45645</v>
      </c>
      <c r="C777" s="13" t="s">
        <v>84</v>
      </c>
      <c r="D777" s="13" t="s">
        <v>182</v>
      </c>
      <c r="E777" s="13" t="s">
        <v>121</v>
      </c>
      <c r="F777" s="15">
        <v>2</v>
      </c>
      <c r="G777" s="15">
        <v>1010</v>
      </c>
      <c r="H777" s="15">
        <v>16.100000000000001</v>
      </c>
      <c r="I777" s="15">
        <v>1694.78</v>
      </c>
      <c r="J777" s="13" t="s">
        <v>87</v>
      </c>
      <c r="K777" s="13" t="s">
        <v>88</v>
      </c>
      <c r="L777">
        <f>IF(COUNTIF(A$2:A777, A777)=1, IF(COUNTIF(A$2:A$2001, A777)&gt;1, 1, 0), 0)</f>
        <v>0</v>
      </c>
      <c r="M777" t="b">
        <f>VLOOKUP(D777, Products!A$2:F$61, 6, FALSE)</f>
        <v>1</v>
      </c>
      <c r="N777" t="str">
        <f>VLOOKUP(D777, Products!A$2:C$61, 3, FALSE)</f>
        <v>Sports</v>
      </c>
      <c r="O777" t="str">
        <f>VLOOKUP(C777, Customers!A$2:E$301, 5, FALSE)</f>
        <v>SMB</v>
      </c>
      <c r="P777">
        <f>VLOOKUP(C777, Customers!A$2:C$301, 3, FALSE)</f>
        <v>44</v>
      </c>
      <c r="Q777" t="str">
        <f>VLOOKUP(E777, Sales_Reps!A$2:C$31, 3, FALSE)</f>
        <v>East</v>
      </c>
      <c r="R777">
        <f>VLOOKUP(D777, Products!A$2:D$61, 4, FALSE)</f>
        <v>516</v>
      </c>
    </row>
    <row r="778" spans="1:18" x14ac:dyDescent="0.3">
      <c r="A778" s="13" t="s">
        <v>1247</v>
      </c>
      <c r="B778" s="14">
        <v>45418</v>
      </c>
      <c r="C778" s="13" t="s">
        <v>725</v>
      </c>
      <c r="D778" s="13" t="s">
        <v>248</v>
      </c>
      <c r="E778" s="13" t="s">
        <v>297</v>
      </c>
      <c r="F778" s="15">
        <v>6</v>
      </c>
      <c r="G778" s="15">
        <v>3870</v>
      </c>
      <c r="H778" s="15">
        <v>22.4</v>
      </c>
      <c r="I778" s="15">
        <v>18018.72</v>
      </c>
      <c r="J778" s="13" t="s">
        <v>140</v>
      </c>
      <c r="K778" s="13" t="s">
        <v>99</v>
      </c>
      <c r="L778">
        <f>IF(COUNTIF(A$2:A778, A778)=1, IF(COUNTIF(A$2:A$2001, A778)&gt;1, 1, 0), 0)</f>
        <v>0</v>
      </c>
      <c r="M778" t="b">
        <f>VLOOKUP(D778, Products!A$2:F$61, 6, FALSE)</f>
        <v>1</v>
      </c>
      <c r="N778" t="str">
        <f>VLOOKUP(D778, Products!A$2:C$61, 3, FALSE)</f>
        <v>Electronics</v>
      </c>
      <c r="O778" t="str">
        <f>VLOOKUP(C778, Customers!A$2:E$301, 5, FALSE)</f>
        <v>SMB</v>
      </c>
      <c r="P778">
        <f>VLOOKUP(C778, Customers!A$2:C$301, 3, FALSE)</f>
        <v>26</v>
      </c>
      <c r="Q778" t="str">
        <f>VLOOKUP(E778, Sales_Reps!A$2:C$31, 3, FALSE)</f>
        <v>North</v>
      </c>
      <c r="R778">
        <f>VLOOKUP(D778, Products!A$2:D$61, 4, FALSE)</f>
        <v>1559</v>
      </c>
    </row>
    <row r="779" spans="1:18" x14ac:dyDescent="0.3">
      <c r="A779" s="13" t="s">
        <v>1248</v>
      </c>
      <c r="B779" s="14">
        <v>45655</v>
      </c>
      <c r="C779" s="13" t="s">
        <v>613</v>
      </c>
      <c r="D779" s="13" t="s">
        <v>295</v>
      </c>
      <c r="E779" s="13" t="s">
        <v>343</v>
      </c>
      <c r="F779" s="15">
        <v>3</v>
      </c>
      <c r="G779" s="15">
        <v>2030</v>
      </c>
      <c r="H779" s="15">
        <v>18.5</v>
      </c>
      <c r="I779" s="15">
        <v>4963.3500000000004</v>
      </c>
      <c r="J779" s="13" t="s">
        <v>87</v>
      </c>
      <c r="K779" s="13" t="s">
        <v>112</v>
      </c>
      <c r="L779">
        <f>IF(COUNTIF(A$2:A779, A779)=1, IF(COUNTIF(A$2:A$2001, A779)&gt;1, 1, 0), 0)</f>
        <v>0</v>
      </c>
      <c r="M779" t="b">
        <f>VLOOKUP(D779, Products!A$2:F$61, 6, FALSE)</f>
        <v>1</v>
      </c>
      <c r="N779" t="str">
        <f>VLOOKUP(D779, Products!A$2:C$61, 3, FALSE)</f>
        <v>Home</v>
      </c>
      <c r="O779" t="str">
        <f>VLOOKUP(C779, Customers!A$2:E$301, 5, FALSE)</f>
        <v>Retail</v>
      </c>
      <c r="P779">
        <f>VLOOKUP(C779, Customers!A$2:C$301, 3, FALSE)</f>
        <v>44</v>
      </c>
      <c r="Q779" t="str">
        <f>VLOOKUP(E779, Sales_Reps!A$2:C$31, 3, FALSE)</f>
        <v>West</v>
      </c>
      <c r="R779">
        <f>VLOOKUP(D779, Products!A$2:D$61, 4, FALSE)</f>
        <v>1143</v>
      </c>
    </row>
    <row r="780" spans="1:18" x14ac:dyDescent="0.3">
      <c r="A780" s="13" t="s">
        <v>1249</v>
      </c>
      <c r="B780" s="14">
        <v>45540</v>
      </c>
      <c r="C780" s="13" t="s">
        <v>1250</v>
      </c>
      <c r="D780" s="13" t="s">
        <v>164</v>
      </c>
      <c r="E780" s="13" t="s">
        <v>343</v>
      </c>
      <c r="F780" s="15">
        <v>7</v>
      </c>
      <c r="G780" s="15">
        <v>1080</v>
      </c>
      <c r="H780" s="15">
        <v>6.8</v>
      </c>
      <c r="I780" s="15">
        <v>7045.92</v>
      </c>
      <c r="J780" s="13" t="s">
        <v>93</v>
      </c>
      <c r="K780" s="13" t="s">
        <v>88</v>
      </c>
      <c r="L780">
        <f>IF(COUNTIF(A$2:A780, A780)=1, IF(COUNTIF(A$2:A$2001, A780)&gt;1, 1, 0), 0)</f>
        <v>0</v>
      </c>
      <c r="M780" t="b">
        <f>VLOOKUP(D780, Products!A$2:F$61, 6, FALSE)</f>
        <v>1</v>
      </c>
      <c r="N780" t="str">
        <f>VLOOKUP(D780, Products!A$2:C$61, 3, FALSE)</f>
        <v>Home</v>
      </c>
      <c r="O780" t="str">
        <f>VLOOKUP(C780, Customers!A$2:E$301, 5, FALSE)</f>
        <v>Retail</v>
      </c>
      <c r="P780">
        <f>VLOOKUP(C780, Customers!A$2:C$301, 3, FALSE)</f>
        <v>44</v>
      </c>
      <c r="Q780" t="str">
        <f>VLOOKUP(E780, Sales_Reps!A$2:C$31, 3, FALSE)</f>
        <v>West</v>
      </c>
      <c r="R780">
        <f>VLOOKUP(D780, Products!A$2:D$61, 4, FALSE)</f>
        <v>519</v>
      </c>
    </row>
    <row r="781" spans="1:18" x14ac:dyDescent="0.3">
      <c r="A781" s="13" t="s">
        <v>1251</v>
      </c>
      <c r="B781" s="14">
        <v>45609</v>
      </c>
      <c r="C781" s="13" t="s">
        <v>362</v>
      </c>
      <c r="D781" s="13" t="s">
        <v>502</v>
      </c>
      <c r="E781" s="13" t="s">
        <v>204</v>
      </c>
      <c r="F781" s="15">
        <v>1</v>
      </c>
      <c r="G781" s="15">
        <v>1090</v>
      </c>
      <c r="H781" s="15">
        <v>20.6</v>
      </c>
      <c r="I781" s="15">
        <v>865.46</v>
      </c>
      <c r="J781" s="13" t="s">
        <v>87</v>
      </c>
      <c r="K781" s="13" t="s">
        <v>94</v>
      </c>
      <c r="L781">
        <f>IF(COUNTIF(A$2:A781, A781)=1, IF(COUNTIF(A$2:A$2001, A781)&gt;1, 1, 0), 0)</f>
        <v>0</v>
      </c>
      <c r="M781" t="b">
        <f>VLOOKUP(D781, Products!A$2:F$61, 6, FALSE)</f>
        <v>1</v>
      </c>
      <c r="N781" t="str">
        <f>VLOOKUP(D781, Products!A$2:C$61, 3, FALSE)</f>
        <v>Home</v>
      </c>
      <c r="O781" t="str">
        <f>VLOOKUP(C781, Customers!A$2:E$301, 5, FALSE)</f>
        <v>Corporate</v>
      </c>
      <c r="P781">
        <f>VLOOKUP(C781, Customers!A$2:C$301, 3, FALSE)</f>
        <v>51</v>
      </c>
      <c r="Q781" t="str">
        <f>VLOOKUP(E781, Sales_Reps!A$2:C$31, 3, FALSE)</f>
        <v>South</v>
      </c>
      <c r="R781">
        <f>VLOOKUP(D781, Products!A$2:D$61, 4, FALSE)</f>
        <v>464</v>
      </c>
    </row>
    <row r="782" spans="1:18" x14ac:dyDescent="0.3">
      <c r="A782" s="13" t="s">
        <v>1252</v>
      </c>
      <c r="B782" s="14">
        <v>45528</v>
      </c>
      <c r="C782" s="13" t="s">
        <v>328</v>
      </c>
      <c r="D782" s="13" t="s">
        <v>110</v>
      </c>
      <c r="E782" s="13" t="s">
        <v>273</v>
      </c>
      <c r="F782" s="15">
        <v>8</v>
      </c>
      <c r="G782" s="15">
        <v>370</v>
      </c>
      <c r="H782" s="15">
        <v>1.7</v>
      </c>
      <c r="I782" s="15">
        <v>2909.68</v>
      </c>
      <c r="J782" s="13" t="s">
        <v>87</v>
      </c>
      <c r="K782" s="13" t="s">
        <v>94</v>
      </c>
      <c r="L782">
        <f>IF(COUNTIF(A$2:A782, A782)=1, IF(COUNTIF(A$2:A$2001, A782)&gt;1, 1, 0), 0)</f>
        <v>0</v>
      </c>
      <c r="M782" t="b">
        <f>VLOOKUP(D782, Products!A$2:F$61, 6, FALSE)</f>
        <v>1</v>
      </c>
      <c r="N782" t="str">
        <f>VLOOKUP(D782, Products!A$2:C$61, 3, FALSE)</f>
        <v>Home</v>
      </c>
      <c r="O782" t="str">
        <f>VLOOKUP(C782, Customers!A$2:E$301, 5, FALSE)</f>
        <v>Retail</v>
      </c>
      <c r="P782">
        <f>VLOOKUP(C782, Customers!A$2:C$301, 3, FALSE)</f>
        <v>28</v>
      </c>
      <c r="Q782" t="str">
        <f>VLOOKUP(E782, Sales_Reps!A$2:C$31, 3, FALSE)</f>
        <v>South</v>
      </c>
      <c r="R782">
        <f>VLOOKUP(D782, Products!A$2:D$61, 4, FALSE)</f>
        <v>288</v>
      </c>
    </row>
    <row r="783" spans="1:18" x14ac:dyDescent="0.3">
      <c r="A783" s="13" t="s">
        <v>1253</v>
      </c>
      <c r="B783" s="14">
        <v>45625</v>
      </c>
      <c r="C783" s="13" t="s">
        <v>1051</v>
      </c>
      <c r="D783" s="13" t="s">
        <v>659</v>
      </c>
      <c r="E783" s="13" t="s">
        <v>303</v>
      </c>
      <c r="F783" s="15">
        <v>7</v>
      </c>
      <c r="G783" s="15">
        <v>3560</v>
      </c>
      <c r="H783" s="15">
        <v>28.7</v>
      </c>
      <c r="I783" s="15">
        <v>17767.96</v>
      </c>
      <c r="J783" s="13" t="s">
        <v>87</v>
      </c>
      <c r="K783" s="13" t="s">
        <v>112</v>
      </c>
      <c r="L783">
        <f>IF(COUNTIF(A$2:A783, A783)=1, IF(COUNTIF(A$2:A$2001, A783)&gt;1, 1, 0), 0)</f>
        <v>0</v>
      </c>
      <c r="M783" t="b">
        <f>VLOOKUP(D783, Products!A$2:F$61, 6, FALSE)</f>
        <v>1</v>
      </c>
      <c r="N783" t="str">
        <f>VLOOKUP(D783, Products!A$2:C$61, 3, FALSE)</f>
        <v>Apparel</v>
      </c>
      <c r="O783" t="str">
        <f>VLOOKUP(C783, Customers!A$2:E$301, 5, FALSE)</f>
        <v>Retail</v>
      </c>
      <c r="P783">
        <f>VLOOKUP(C783, Customers!A$2:C$301, 3, FALSE)</f>
        <v>54</v>
      </c>
      <c r="Q783" t="str">
        <f>VLOOKUP(E783, Sales_Reps!A$2:C$31, 3, FALSE)</f>
        <v>East</v>
      </c>
      <c r="R783">
        <f>VLOOKUP(D783, Products!A$2:D$61, 4, FALSE)</f>
        <v>2629</v>
      </c>
    </row>
    <row r="784" spans="1:18" x14ac:dyDescent="0.3">
      <c r="A784" s="13" t="s">
        <v>1254</v>
      </c>
      <c r="B784" s="14">
        <v>45444</v>
      </c>
      <c r="C784" s="13" t="s">
        <v>559</v>
      </c>
      <c r="D784" s="13" t="s">
        <v>241</v>
      </c>
      <c r="E784" s="13" t="s">
        <v>346</v>
      </c>
      <c r="F784" s="15">
        <v>9</v>
      </c>
      <c r="G784" s="15">
        <v>6080</v>
      </c>
      <c r="H784" s="15">
        <v>16.3</v>
      </c>
      <c r="I784" s="15">
        <v>45800.639999999999</v>
      </c>
      <c r="J784" s="13" t="s">
        <v>140</v>
      </c>
      <c r="K784" s="13" t="s">
        <v>88</v>
      </c>
      <c r="L784">
        <f>IF(COUNTIF(A$2:A784, A784)=1, IF(COUNTIF(A$2:A$2001, A784)&gt;1, 1, 0), 0)</f>
        <v>0</v>
      </c>
      <c r="M784" t="b">
        <f>VLOOKUP(D784, Products!A$2:F$61, 6, FALSE)</f>
        <v>1</v>
      </c>
      <c r="N784" t="str">
        <f>VLOOKUP(D784, Products!A$2:C$61, 3, FALSE)</f>
        <v>Beauty</v>
      </c>
      <c r="O784" t="str">
        <f>VLOOKUP(C784, Customers!A$2:E$301, 5, FALSE)</f>
        <v>Retail</v>
      </c>
      <c r="P784">
        <f>VLOOKUP(C784, Customers!A$2:C$301, 3, FALSE)</f>
        <v>62</v>
      </c>
      <c r="Q784" t="str">
        <f>VLOOKUP(E784, Sales_Reps!A$2:C$31, 3, FALSE)</f>
        <v>South</v>
      </c>
      <c r="R784">
        <f>VLOOKUP(D784, Products!A$2:D$61, 4, FALSE)</f>
        <v>2617</v>
      </c>
    </row>
    <row r="785" spans="1:18" x14ac:dyDescent="0.3">
      <c r="A785" s="13" t="s">
        <v>1255</v>
      </c>
      <c r="B785" s="14">
        <v>45505</v>
      </c>
      <c r="C785" s="13" t="s">
        <v>156</v>
      </c>
      <c r="D785" s="13" t="s">
        <v>161</v>
      </c>
      <c r="E785" s="13" t="s">
        <v>188</v>
      </c>
      <c r="F785" s="15">
        <v>2</v>
      </c>
      <c r="G785" s="15">
        <v>3450</v>
      </c>
      <c r="H785" s="15">
        <v>17.600000000000001</v>
      </c>
      <c r="I785" s="15">
        <v>5685.6</v>
      </c>
      <c r="J785" s="13" t="s">
        <v>93</v>
      </c>
      <c r="K785" s="13" t="s">
        <v>133</v>
      </c>
      <c r="L785">
        <f>IF(COUNTIF(A$2:A785, A785)=1, IF(COUNTIF(A$2:A$2001, A785)&gt;1, 1, 0), 0)</f>
        <v>0</v>
      </c>
      <c r="M785" t="b">
        <f>VLOOKUP(D785, Products!A$2:F$61, 6, FALSE)</f>
        <v>1</v>
      </c>
      <c r="N785" t="str">
        <f>VLOOKUP(D785, Products!A$2:C$61, 3, FALSE)</f>
        <v>Sports</v>
      </c>
      <c r="O785" t="str">
        <f>VLOOKUP(C785, Customers!A$2:E$301, 5, FALSE)</f>
        <v>Corporate</v>
      </c>
      <c r="P785">
        <f>VLOOKUP(C785, Customers!A$2:C$301, 3, FALSE)</f>
        <v>32</v>
      </c>
      <c r="Q785" t="str">
        <f>VLOOKUP(E785, Sales_Reps!A$2:C$31, 3, FALSE)</f>
        <v>South</v>
      </c>
      <c r="R785">
        <f>VLOOKUP(D785, Products!A$2:D$61, 4, FALSE)</f>
        <v>2467</v>
      </c>
    </row>
    <row r="786" spans="1:18" x14ac:dyDescent="0.3">
      <c r="A786" s="13" t="s">
        <v>1256</v>
      </c>
      <c r="B786" s="14">
        <v>45401</v>
      </c>
      <c r="C786" s="13" t="s">
        <v>217</v>
      </c>
      <c r="D786" s="13" t="s">
        <v>443</v>
      </c>
      <c r="E786" s="13" t="s">
        <v>204</v>
      </c>
      <c r="F786" s="15">
        <v>1</v>
      </c>
      <c r="G786" s="15">
        <v>5080</v>
      </c>
      <c r="H786" s="15">
        <v>5.9</v>
      </c>
      <c r="I786" s="15">
        <v>4780.28</v>
      </c>
      <c r="J786" s="13" t="s">
        <v>87</v>
      </c>
      <c r="K786" s="13" t="s">
        <v>94</v>
      </c>
      <c r="L786">
        <f>IF(COUNTIF(A$2:A786, A786)=1, IF(COUNTIF(A$2:A$2001, A786)&gt;1, 1, 0), 0)</f>
        <v>0</v>
      </c>
      <c r="M786" t="b">
        <f>VLOOKUP(D786, Products!A$2:F$61, 6, FALSE)</f>
        <v>1</v>
      </c>
      <c r="N786" t="str">
        <f>VLOOKUP(D786, Products!A$2:C$61, 3, FALSE)</f>
        <v>Home</v>
      </c>
      <c r="O786" t="str">
        <f>VLOOKUP(C786, Customers!A$2:E$301, 5, FALSE)</f>
        <v>Retail</v>
      </c>
      <c r="P786">
        <f>VLOOKUP(C786, Customers!A$2:C$301, 3, FALSE)</f>
        <v>51</v>
      </c>
      <c r="Q786" t="str">
        <f>VLOOKUP(E786, Sales_Reps!A$2:C$31, 3, FALSE)</f>
        <v>South</v>
      </c>
      <c r="R786">
        <f>VLOOKUP(D786, Products!A$2:D$61, 4, FALSE)</f>
        <v>2459</v>
      </c>
    </row>
    <row r="787" spans="1:18" x14ac:dyDescent="0.3">
      <c r="A787" s="13" t="s">
        <v>1257</v>
      </c>
      <c r="B787" s="14">
        <v>45364</v>
      </c>
      <c r="C787" s="13" t="s">
        <v>883</v>
      </c>
      <c r="D787" s="13" t="s">
        <v>452</v>
      </c>
      <c r="E787" s="13" t="s">
        <v>154</v>
      </c>
      <c r="F787" s="15">
        <v>7</v>
      </c>
      <c r="G787" s="15">
        <v>3450</v>
      </c>
      <c r="H787" s="15">
        <v>17.399999999999999</v>
      </c>
      <c r="I787" s="15">
        <v>19947.900000000001</v>
      </c>
      <c r="J787" s="13" t="s">
        <v>87</v>
      </c>
      <c r="K787" s="13" t="s">
        <v>133</v>
      </c>
      <c r="L787">
        <f>IF(COUNTIF(A$2:A787, A787)=1, IF(COUNTIF(A$2:A$2001, A787)&gt;1, 1, 0), 0)</f>
        <v>0</v>
      </c>
      <c r="M787" t="b">
        <f>VLOOKUP(D787, Products!A$2:F$61, 6, FALSE)</f>
        <v>1</v>
      </c>
      <c r="N787" t="str">
        <f>VLOOKUP(D787, Products!A$2:C$61, 3, FALSE)</f>
        <v>Apparel</v>
      </c>
      <c r="O787" t="str">
        <f>VLOOKUP(C787, Customers!A$2:E$301, 5, FALSE)</f>
        <v>SMB</v>
      </c>
      <c r="P787">
        <f>VLOOKUP(C787, Customers!A$2:C$301, 3, FALSE)</f>
        <v>28</v>
      </c>
      <c r="Q787" t="str">
        <f>VLOOKUP(E787, Sales_Reps!A$2:C$31, 3, FALSE)</f>
        <v>East</v>
      </c>
      <c r="R787">
        <f>VLOOKUP(D787, Products!A$2:D$61, 4, FALSE)</f>
        <v>1748</v>
      </c>
    </row>
    <row r="788" spans="1:18" x14ac:dyDescent="0.3">
      <c r="A788" s="13" t="s">
        <v>1258</v>
      </c>
      <c r="B788" s="14">
        <v>45403</v>
      </c>
      <c r="C788" s="13" t="s">
        <v>1172</v>
      </c>
      <c r="D788" s="13" t="s">
        <v>131</v>
      </c>
      <c r="E788" s="13" t="s">
        <v>204</v>
      </c>
      <c r="F788" s="15">
        <v>8</v>
      </c>
      <c r="G788" s="15">
        <v>2270</v>
      </c>
      <c r="H788" s="15">
        <v>24.7</v>
      </c>
      <c r="I788" s="15">
        <v>13674.48</v>
      </c>
      <c r="J788" s="13" t="s">
        <v>87</v>
      </c>
      <c r="K788" s="13" t="s">
        <v>88</v>
      </c>
      <c r="L788">
        <f>IF(COUNTIF(A$2:A788, A788)=1, IF(COUNTIF(A$2:A$2001, A788)&gt;1, 1, 0), 0)</f>
        <v>0</v>
      </c>
      <c r="M788" t="b">
        <f>VLOOKUP(D788, Products!A$2:F$61, 6, FALSE)</f>
        <v>1</v>
      </c>
      <c r="N788" t="str">
        <f>VLOOKUP(D788, Products!A$2:C$61, 3, FALSE)</f>
        <v>Grocery</v>
      </c>
      <c r="O788" t="str">
        <f>VLOOKUP(C788, Customers!A$2:E$301, 5, FALSE)</f>
        <v>Retail</v>
      </c>
      <c r="P788">
        <f>VLOOKUP(C788, Customers!A$2:C$301, 3, FALSE)</f>
        <v>39</v>
      </c>
      <c r="Q788" t="str">
        <f>VLOOKUP(E788, Sales_Reps!A$2:C$31, 3, FALSE)</f>
        <v>South</v>
      </c>
      <c r="R788">
        <f>VLOOKUP(D788, Products!A$2:D$61, 4, FALSE)</f>
        <v>1203</v>
      </c>
    </row>
    <row r="789" spans="1:18" x14ac:dyDescent="0.3">
      <c r="A789" s="13" t="s">
        <v>1259</v>
      </c>
      <c r="B789" s="14">
        <v>45599</v>
      </c>
      <c r="C789" s="13" t="s">
        <v>84</v>
      </c>
      <c r="D789" s="13" t="s">
        <v>106</v>
      </c>
      <c r="E789" s="13" t="s">
        <v>154</v>
      </c>
      <c r="F789" s="15">
        <v>3</v>
      </c>
      <c r="G789" s="15">
        <v>3160</v>
      </c>
      <c r="H789" s="15">
        <v>1.5</v>
      </c>
      <c r="I789" s="15">
        <v>9337.7999999999993</v>
      </c>
      <c r="J789" s="13" t="s">
        <v>93</v>
      </c>
      <c r="K789" s="13" t="s">
        <v>88</v>
      </c>
      <c r="L789">
        <f>IF(COUNTIF(A$2:A789, A789)=1, IF(COUNTIF(A$2:A$2001, A789)&gt;1, 1, 0), 0)</f>
        <v>0</v>
      </c>
      <c r="M789" t="b">
        <f>VLOOKUP(D789, Products!A$2:F$61, 6, FALSE)</f>
        <v>1</v>
      </c>
      <c r="N789" t="str">
        <f>VLOOKUP(D789, Products!A$2:C$61, 3, FALSE)</f>
        <v>Apparel</v>
      </c>
      <c r="O789" t="str">
        <f>VLOOKUP(C789, Customers!A$2:E$301, 5, FALSE)</f>
        <v>SMB</v>
      </c>
      <c r="P789">
        <f>VLOOKUP(C789, Customers!A$2:C$301, 3, FALSE)</f>
        <v>44</v>
      </c>
      <c r="Q789" t="str">
        <f>VLOOKUP(E789, Sales_Reps!A$2:C$31, 3, FALSE)</f>
        <v>East</v>
      </c>
      <c r="R789">
        <f>VLOOKUP(D789, Products!A$2:D$61, 4, FALSE)</f>
        <v>1886</v>
      </c>
    </row>
    <row r="790" spans="1:18" x14ac:dyDescent="0.3">
      <c r="A790" s="13" t="s">
        <v>1260</v>
      </c>
      <c r="B790" s="14">
        <v>45389</v>
      </c>
      <c r="C790" s="13" t="s">
        <v>1261</v>
      </c>
      <c r="D790" s="13" t="s">
        <v>179</v>
      </c>
      <c r="E790" s="13" t="s">
        <v>229</v>
      </c>
      <c r="F790" s="15">
        <v>6</v>
      </c>
      <c r="G790" s="15">
        <v>3350</v>
      </c>
      <c r="H790" s="15">
        <v>0.9</v>
      </c>
      <c r="I790" s="15">
        <v>19919.099999999999</v>
      </c>
      <c r="J790" s="13" t="s">
        <v>93</v>
      </c>
      <c r="K790" s="13" t="s">
        <v>117</v>
      </c>
      <c r="L790">
        <f>IF(COUNTIF(A$2:A790, A790)=1, IF(COUNTIF(A$2:A$2001, A790)&gt;1, 1, 0), 0)</f>
        <v>0</v>
      </c>
      <c r="M790" t="b">
        <f>VLOOKUP(D790, Products!A$2:F$61, 6, FALSE)</f>
        <v>1</v>
      </c>
      <c r="N790" t="str">
        <f>VLOOKUP(D790, Products!A$2:C$61, 3, FALSE)</f>
        <v>Beauty</v>
      </c>
      <c r="O790" t="str">
        <f>VLOOKUP(C790, Customers!A$2:E$301, 5, FALSE)</f>
        <v>Retail</v>
      </c>
      <c r="P790">
        <f>VLOOKUP(C790, Customers!A$2:C$301, 3, FALSE)</f>
        <v>54</v>
      </c>
      <c r="Q790" t="str">
        <f>VLOOKUP(E790, Sales_Reps!A$2:C$31, 3, FALSE)</f>
        <v>West</v>
      </c>
      <c r="R790">
        <f>VLOOKUP(D790, Products!A$2:D$61, 4, FALSE)</f>
        <v>1728</v>
      </c>
    </row>
    <row r="791" spans="1:18" x14ac:dyDescent="0.3">
      <c r="A791" s="13" t="s">
        <v>1262</v>
      </c>
      <c r="B791" s="14">
        <v>45506</v>
      </c>
      <c r="C791" s="13" t="s">
        <v>945</v>
      </c>
      <c r="D791" s="13" t="s">
        <v>176</v>
      </c>
      <c r="E791" s="13" t="s">
        <v>229</v>
      </c>
      <c r="F791" s="15">
        <v>7</v>
      </c>
      <c r="G791" s="15">
        <v>1650</v>
      </c>
      <c r="H791" s="15">
        <v>5.6</v>
      </c>
      <c r="I791" s="15">
        <v>10903.2</v>
      </c>
      <c r="J791" s="13" t="s">
        <v>144</v>
      </c>
      <c r="K791" s="13" t="s">
        <v>88</v>
      </c>
      <c r="L791">
        <f>IF(COUNTIF(A$2:A791, A791)=1, IF(COUNTIF(A$2:A$2001, A791)&gt;1, 1, 0), 0)</f>
        <v>0</v>
      </c>
      <c r="M791" t="b">
        <f>VLOOKUP(D791, Products!A$2:F$61, 6, FALSE)</f>
        <v>1</v>
      </c>
      <c r="N791" t="str">
        <f>VLOOKUP(D791, Products!A$2:C$61, 3, FALSE)</f>
        <v>Beauty</v>
      </c>
      <c r="O791" t="str">
        <f>VLOOKUP(C791, Customers!A$2:E$301, 5, FALSE)</f>
        <v>Retail</v>
      </c>
      <c r="P791">
        <f>VLOOKUP(C791, Customers!A$2:C$301, 3, FALSE)</f>
        <v>54</v>
      </c>
      <c r="Q791" t="str">
        <f>VLOOKUP(E791, Sales_Reps!A$2:C$31, 3, FALSE)</f>
        <v>West</v>
      </c>
      <c r="R791">
        <f>VLOOKUP(D791, Products!A$2:D$61, 4, FALSE)</f>
        <v>1222</v>
      </c>
    </row>
    <row r="792" spans="1:18" x14ac:dyDescent="0.3">
      <c r="A792" s="13" t="s">
        <v>1263</v>
      </c>
      <c r="B792" s="14">
        <v>45402</v>
      </c>
      <c r="C792" s="13" t="s">
        <v>725</v>
      </c>
      <c r="D792" s="13" t="s">
        <v>124</v>
      </c>
      <c r="E792" s="13" t="s">
        <v>148</v>
      </c>
      <c r="F792" s="15">
        <v>1</v>
      </c>
      <c r="G792" s="15">
        <v>5490</v>
      </c>
      <c r="H792" s="15">
        <v>5.8</v>
      </c>
      <c r="I792" s="15">
        <v>5171.58</v>
      </c>
      <c r="J792" s="13" t="s">
        <v>87</v>
      </c>
      <c r="K792" s="13" t="s">
        <v>99</v>
      </c>
      <c r="L792">
        <f>IF(COUNTIF(A$2:A792, A792)=1, IF(COUNTIF(A$2:A$2001, A792)&gt;1, 1, 0), 0)</f>
        <v>0</v>
      </c>
      <c r="M792" t="b">
        <f>VLOOKUP(D792, Products!A$2:F$61, 6, FALSE)</f>
        <v>1</v>
      </c>
      <c r="N792" t="str">
        <f>VLOOKUP(D792, Products!A$2:C$61, 3, FALSE)</f>
        <v>Home</v>
      </c>
      <c r="O792" t="str">
        <f>VLOOKUP(C792, Customers!A$2:E$301, 5, FALSE)</f>
        <v>SMB</v>
      </c>
      <c r="P792">
        <f>VLOOKUP(C792, Customers!A$2:C$301, 3, FALSE)</f>
        <v>26</v>
      </c>
      <c r="Q792" t="str">
        <f>VLOOKUP(E792, Sales_Reps!A$2:C$31, 3, FALSE)</f>
        <v>North</v>
      </c>
      <c r="R792">
        <f>VLOOKUP(D792, Products!A$2:D$61, 4, FALSE)</f>
        <v>2549</v>
      </c>
    </row>
    <row r="793" spans="1:18" x14ac:dyDescent="0.3">
      <c r="A793" s="13" t="s">
        <v>1264</v>
      </c>
      <c r="B793" s="14">
        <v>45405</v>
      </c>
      <c r="C793" s="13" t="s">
        <v>150</v>
      </c>
      <c r="D793" s="13" t="s">
        <v>164</v>
      </c>
      <c r="E793" s="13" t="s">
        <v>116</v>
      </c>
      <c r="F793" s="15">
        <v>3</v>
      </c>
      <c r="G793" s="15">
        <v>1080</v>
      </c>
      <c r="H793" s="15">
        <v>20.9</v>
      </c>
      <c r="I793" s="15">
        <v>2562.84</v>
      </c>
      <c r="J793" s="13" t="s">
        <v>87</v>
      </c>
      <c r="K793" s="13" t="s">
        <v>88</v>
      </c>
      <c r="L793">
        <f>IF(COUNTIF(A$2:A793, A793)=1, IF(COUNTIF(A$2:A$2001, A793)&gt;1, 1, 0), 0)</f>
        <v>0</v>
      </c>
      <c r="M793" t="b">
        <f>VLOOKUP(D793, Products!A$2:F$61, 6, FALSE)</f>
        <v>1</v>
      </c>
      <c r="N793" t="str">
        <f>VLOOKUP(D793, Products!A$2:C$61, 3, FALSE)</f>
        <v>Home</v>
      </c>
      <c r="O793" t="str">
        <f>VLOOKUP(C793, Customers!A$2:E$301, 5, FALSE)</f>
        <v>Retail</v>
      </c>
      <c r="P793">
        <f>VLOOKUP(C793, Customers!A$2:C$301, 3, FALSE)</f>
        <v>63</v>
      </c>
      <c r="Q793" t="str">
        <f>VLOOKUP(E793, Sales_Reps!A$2:C$31, 3, FALSE)</f>
        <v>West</v>
      </c>
      <c r="R793">
        <f>VLOOKUP(D793, Products!A$2:D$61, 4, FALSE)</f>
        <v>519</v>
      </c>
    </row>
    <row r="794" spans="1:18" x14ac:dyDescent="0.3">
      <c r="A794" s="13" t="s">
        <v>1265</v>
      </c>
      <c r="B794" s="14">
        <v>45434</v>
      </c>
      <c r="C794" s="13" t="s">
        <v>1266</v>
      </c>
      <c r="D794" s="13" t="s">
        <v>234</v>
      </c>
      <c r="E794" s="13" t="s">
        <v>303</v>
      </c>
      <c r="F794" s="15">
        <v>10</v>
      </c>
      <c r="G794" s="15">
        <v>3780</v>
      </c>
      <c r="H794" s="15">
        <v>5.5</v>
      </c>
      <c r="I794" s="15">
        <v>35721</v>
      </c>
      <c r="J794" s="13" t="s">
        <v>87</v>
      </c>
      <c r="K794" s="13" t="s">
        <v>133</v>
      </c>
      <c r="L794">
        <f>IF(COUNTIF(A$2:A794, A794)=1, IF(COUNTIF(A$2:A$2001, A794)&gt;1, 1, 0), 0)</f>
        <v>0</v>
      </c>
      <c r="M794" t="b">
        <f>VLOOKUP(D794, Products!A$2:F$61, 6, FALSE)</f>
        <v>1</v>
      </c>
      <c r="N794" t="str">
        <f>VLOOKUP(D794, Products!A$2:C$61, 3, FALSE)</f>
        <v>Grocery</v>
      </c>
      <c r="O794" t="e">
        <f>VLOOKUP(C794, Customers!A$2:E$301, 5, FALSE)</f>
        <v>#N/A</v>
      </c>
      <c r="P794" t="e">
        <f>VLOOKUP(C794, Customers!A$2:C$301, 3, FALSE)</f>
        <v>#N/A</v>
      </c>
      <c r="Q794" t="str">
        <f>VLOOKUP(E794, Sales_Reps!A$2:C$31, 3, FALSE)</f>
        <v>East</v>
      </c>
      <c r="R794">
        <f>VLOOKUP(D794, Products!A$2:D$61, 4, FALSE)</f>
        <v>2436</v>
      </c>
    </row>
    <row r="795" spans="1:18" x14ac:dyDescent="0.3">
      <c r="A795" s="13" t="s">
        <v>1267</v>
      </c>
      <c r="B795" s="14">
        <v>45558</v>
      </c>
      <c r="C795" s="13" t="s">
        <v>208</v>
      </c>
      <c r="D795" s="13" t="s">
        <v>295</v>
      </c>
      <c r="E795" s="13" t="s">
        <v>170</v>
      </c>
      <c r="F795" s="15">
        <v>2</v>
      </c>
      <c r="G795" s="15">
        <v>2030</v>
      </c>
      <c r="H795" s="15">
        <v>2</v>
      </c>
      <c r="I795" s="15">
        <v>3978.8</v>
      </c>
      <c r="J795" s="13" t="s">
        <v>93</v>
      </c>
      <c r="K795" s="13" t="s">
        <v>133</v>
      </c>
      <c r="L795">
        <f>IF(COUNTIF(A$2:A795, A795)=1, IF(COUNTIF(A$2:A$2001, A795)&gt;1, 1, 0), 0)</f>
        <v>0</v>
      </c>
      <c r="M795" t="b">
        <f>VLOOKUP(D795, Products!A$2:F$61, 6, FALSE)</f>
        <v>1</v>
      </c>
      <c r="N795" t="str">
        <f>VLOOKUP(D795, Products!A$2:C$61, 3, FALSE)</f>
        <v>Home</v>
      </c>
      <c r="O795" t="str">
        <f>VLOOKUP(C795, Customers!A$2:E$301, 5, FALSE)</f>
        <v>Retail</v>
      </c>
      <c r="P795">
        <f>VLOOKUP(C795, Customers!A$2:C$301, 3, FALSE)</f>
        <v>26</v>
      </c>
      <c r="Q795" t="str">
        <f>VLOOKUP(E795, Sales_Reps!A$2:C$31, 3, FALSE)</f>
        <v>West</v>
      </c>
      <c r="R795">
        <f>VLOOKUP(D795, Products!A$2:D$61, 4, FALSE)</f>
        <v>1143</v>
      </c>
    </row>
    <row r="796" spans="1:18" x14ac:dyDescent="0.3">
      <c r="A796" s="13" t="s">
        <v>1268</v>
      </c>
      <c r="B796" s="14">
        <v>45582</v>
      </c>
      <c r="C796" s="13" t="s">
        <v>567</v>
      </c>
      <c r="D796" s="13" t="s">
        <v>259</v>
      </c>
      <c r="E796" s="13" t="s">
        <v>121</v>
      </c>
      <c r="F796" s="15">
        <v>8</v>
      </c>
      <c r="G796" s="15">
        <v>1540</v>
      </c>
      <c r="H796" s="15">
        <v>9</v>
      </c>
      <c r="I796" s="15">
        <v>11211.2</v>
      </c>
      <c r="J796" s="13" t="s">
        <v>140</v>
      </c>
      <c r="K796" s="13" t="s">
        <v>117</v>
      </c>
      <c r="L796">
        <f>IF(COUNTIF(A$2:A796, A796)=1, IF(COUNTIF(A$2:A$2001, A796)&gt;1, 1, 0), 0)</f>
        <v>0</v>
      </c>
      <c r="M796" t="b">
        <f>VLOOKUP(D796, Products!A$2:F$61, 6, FALSE)</f>
        <v>0</v>
      </c>
      <c r="N796" t="str">
        <f>VLOOKUP(D796, Products!A$2:C$61, 3, FALSE)</f>
        <v>Beauty</v>
      </c>
      <c r="O796" t="str">
        <f>VLOOKUP(C796, Customers!A$2:E$301, 5, FALSE)</f>
        <v>Corporate</v>
      </c>
      <c r="P796">
        <f>VLOOKUP(C796, Customers!A$2:C$301, 3, FALSE)</f>
        <v>41</v>
      </c>
      <c r="Q796" t="str">
        <f>VLOOKUP(E796, Sales_Reps!A$2:C$31, 3, FALSE)</f>
        <v>East</v>
      </c>
      <c r="R796">
        <f>VLOOKUP(D796, Products!A$2:D$61, 4, FALSE)</f>
        <v>647</v>
      </c>
    </row>
    <row r="797" spans="1:18" x14ac:dyDescent="0.3">
      <c r="A797" s="13" t="s">
        <v>1269</v>
      </c>
      <c r="B797" s="14">
        <v>45601</v>
      </c>
      <c r="C797" s="13" t="s">
        <v>126</v>
      </c>
      <c r="D797" s="13" t="s">
        <v>143</v>
      </c>
      <c r="E797" s="13" t="s">
        <v>188</v>
      </c>
      <c r="F797" s="15">
        <v>9</v>
      </c>
      <c r="G797" s="15">
        <v>3250</v>
      </c>
      <c r="H797" s="15">
        <v>20.5</v>
      </c>
      <c r="I797" s="15">
        <v>23253.75</v>
      </c>
      <c r="J797" s="13" t="s">
        <v>87</v>
      </c>
      <c r="K797" s="13" t="s">
        <v>88</v>
      </c>
      <c r="L797">
        <f>IF(COUNTIF(A$2:A797, A797)=1, IF(COUNTIF(A$2:A$2001, A797)&gt;1, 1, 0), 0)</f>
        <v>0</v>
      </c>
      <c r="M797" t="b">
        <f>VLOOKUP(D797, Products!A$2:F$61, 6, FALSE)</f>
        <v>1</v>
      </c>
      <c r="N797" t="str">
        <f>VLOOKUP(D797, Products!A$2:C$61, 3, FALSE)</f>
        <v>Home</v>
      </c>
      <c r="O797" t="str">
        <f>VLOOKUP(C797, Customers!A$2:E$301, 5, FALSE)</f>
        <v>Retail</v>
      </c>
      <c r="P797">
        <f>VLOOKUP(C797, Customers!A$2:C$301, 3, FALSE)</f>
        <v>56</v>
      </c>
      <c r="Q797" t="str">
        <f>VLOOKUP(E797, Sales_Reps!A$2:C$31, 3, FALSE)</f>
        <v>South</v>
      </c>
      <c r="R797">
        <f>VLOOKUP(D797, Products!A$2:D$61, 4, FALSE)</f>
        <v>1556</v>
      </c>
    </row>
    <row r="798" spans="1:18" x14ac:dyDescent="0.3">
      <c r="A798" s="13" t="s">
        <v>1270</v>
      </c>
      <c r="B798" s="14">
        <v>45344</v>
      </c>
      <c r="C798" s="13" t="s">
        <v>399</v>
      </c>
      <c r="D798" s="13" t="s">
        <v>157</v>
      </c>
      <c r="E798" s="13" t="s">
        <v>92</v>
      </c>
      <c r="F798" s="15">
        <v>3</v>
      </c>
      <c r="G798" s="15">
        <v>3450</v>
      </c>
      <c r="H798" s="15">
        <v>17.899999999999999</v>
      </c>
      <c r="I798" s="15">
        <v>8497.35</v>
      </c>
      <c r="J798" s="13" t="s">
        <v>87</v>
      </c>
      <c r="K798" s="13" t="s">
        <v>99</v>
      </c>
      <c r="L798">
        <f>IF(COUNTIF(A$2:A798, A798)=1, IF(COUNTIF(A$2:A$2001, A798)&gt;1, 1, 0), 0)</f>
        <v>0</v>
      </c>
      <c r="M798" t="b">
        <f>VLOOKUP(D798, Products!A$2:F$61, 6, FALSE)</f>
        <v>1</v>
      </c>
      <c r="N798" t="str">
        <f>VLOOKUP(D798, Products!A$2:C$61, 3, FALSE)</f>
        <v>Beauty</v>
      </c>
      <c r="O798" t="str">
        <f>VLOOKUP(C798, Customers!A$2:E$301, 5, FALSE)</f>
        <v>SMB</v>
      </c>
      <c r="P798">
        <f>VLOOKUP(C798, Customers!A$2:C$301, 3, FALSE)</f>
        <v>53</v>
      </c>
      <c r="Q798" t="str">
        <f>VLOOKUP(E798, Sales_Reps!A$2:C$31, 3, FALSE)</f>
        <v>North</v>
      </c>
      <c r="R798">
        <f>VLOOKUP(D798, Products!A$2:D$61, 4, FALSE)</f>
        <v>2420</v>
      </c>
    </row>
    <row r="799" spans="1:18" x14ac:dyDescent="0.3">
      <c r="A799" s="13" t="s">
        <v>1271</v>
      </c>
      <c r="B799" s="14">
        <v>45504</v>
      </c>
      <c r="C799" s="13" t="s">
        <v>405</v>
      </c>
      <c r="D799" s="13" t="s">
        <v>124</v>
      </c>
      <c r="E799" s="13" t="s">
        <v>107</v>
      </c>
      <c r="F799" s="15">
        <v>5</v>
      </c>
      <c r="G799" s="15">
        <v>5490</v>
      </c>
      <c r="H799" s="15">
        <v>7.9</v>
      </c>
      <c r="I799" s="15">
        <v>25281.45</v>
      </c>
      <c r="J799" s="13" t="s">
        <v>87</v>
      </c>
      <c r="K799" s="13" t="s">
        <v>94</v>
      </c>
      <c r="L799">
        <f>IF(COUNTIF(A$2:A799, A799)=1, IF(COUNTIF(A$2:A$2001, A799)&gt;1, 1, 0), 0)</f>
        <v>0</v>
      </c>
      <c r="M799" t="b">
        <f>VLOOKUP(D799, Products!A$2:F$61, 6, FALSE)</f>
        <v>1</v>
      </c>
      <c r="N799" t="str">
        <f>VLOOKUP(D799, Products!A$2:C$61, 3, FALSE)</f>
        <v>Home</v>
      </c>
      <c r="O799" t="str">
        <f>VLOOKUP(C799, Customers!A$2:E$301, 5, FALSE)</f>
        <v>Corporate</v>
      </c>
      <c r="P799">
        <f>VLOOKUP(C799, Customers!A$2:C$301, 3, FALSE)</f>
        <v>24</v>
      </c>
      <c r="Q799" t="str">
        <f>VLOOKUP(E799, Sales_Reps!A$2:C$31, 3, FALSE)</f>
        <v>North</v>
      </c>
      <c r="R799">
        <f>VLOOKUP(D799, Products!A$2:D$61, 4, FALSE)</f>
        <v>2549</v>
      </c>
    </row>
    <row r="800" spans="1:18" x14ac:dyDescent="0.3">
      <c r="A800" s="13" t="s">
        <v>1272</v>
      </c>
      <c r="B800" s="14">
        <v>45306</v>
      </c>
      <c r="C800" s="13" t="s">
        <v>626</v>
      </c>
      <c r="D800" s="13" t="s">
        <v>110</v>
      </c>
      <c r="E800" s="13" t="s">
        <v>229</v>
      </c>
      <c r="F800" s="15">
        <v>3</v>
      </c>
      <c r="G800" s="15">
        <v>370</v>
      </c>
      <c r="H800" s="15">
        <v>13.4</v>
      </c>
      <c r="I800" s="15">
        <v>961.26</v>
      </c>
      <c r="J800" s="13" t="s">
        <v>87</v>
      </c>
      <c r="K800" s="13" t="s">
        <v>99</v>
      </c>
      <c r="L800">
        <f>IF(COUNTIF(A$2:A800, A800)=1, IF(COUNTIF(A$2:A$2001, A800)&gt;1, 1, 0), 0)</f>
        <v>0</v>
      </c>
      <c r="M800" t="b">
        <f>VLOOKUP(D800, Products!A$2:F$61, 6, FALSE)</f>
        <v>1</v>
      </c>
      <c r="N800" t="str">
        <f>VLOOKUP(D800, Products!A$2:C$61, 3, FALSE)</f>
        <v>Home</v>
      </c>
      <c r="O800" t="str">
        <f>VLOOKUP(C800, Customers!A$2:E$301, 5, FALSE)</f>
        <v>Retail</v>
      </c>
      <c r="P800">
        <f>VLOOKUP(C800, Customers!A$2:C$301, 3, FALSE)</f>
        <v>40</v>
      </c>
      <c r="Q800" t="str">
        <f>VLOOKUP(E800, Sales_Reps!A$2:C$31, 3, FALSE)</f>
        <v>West</v>
      </c>
      <c r="R800">
        <f>VLOOKUP(D800, Products!A$2:D$61, 4, FALSE)</f>
        <v>288</v>
      </c>
    </row>
    <row r="801" spans="1:18" x14ac:dyDescent="0.3">
      <c r="A801" s="13" t="s">
        <v>1273</v>
      </c>
      <c r="B801" s="14">
        <v>45413</v>
      </c>
      <c r="C801" s="13" t="s">
        <v>378</v>
      </c>
      <c r="D801" s="13" t="s">
        <v>364</v>
      </c>
      <c r="E801" s="13" t="s">
        <v>204</v>
      </c>
      <c r="F801" s="15">
        <v>7</v>
      </c>
      <c r="G801" s="15">
        <v>5330</v>
      </c>
      <c r="H801" s="15">
        <v>29.7</v>
      </c>
      <c r="I801" s="15">
        <v>26228.93</v>
      </c>
      <c r="J801" s="13" t="s">
        <v>93</v>
      </c>
      <c r="K801" s="13" t="s">
        <v>94</v>
      </c>
      <c r="L801">
        <f>IF(COUNTIF(A$2:A801, A801)=1, IF(COUNTIF(A$2:A$2001, A801)&gt;1, 1, 0), 0)</f>
        <v>0</v>
      </c>
      <c r="M801" t="b">
        <f>VLOOKUP(D801, Products!A$2:F$61, 6, FALSE)</f>
        <v>1</v>
      </c>
      <c r="N801" t="str">
        <f>VLOOKUP(D801, Products!A$2:C$61, 3, FALSE)</f>
        <v>Electronics</v>
      </c>
      <c r="O801" t="str">
        <f>VLOOKUP(C801, Customers!A$2:E$301, 5, FALSE)</f>
        <v>SMB</v>
      </c>
      <c r="P801">
        <f>VLOOKUP(C801, Customers!A$2:C$301, 3, FALSE)</f>
        <v>53</v>
      </c>
      <c r="Q801" t="str">
        <f>VLOOKUP(E801, Sales_Reps!A$2:C$31, 3, FALSE)</f>
        <v>South</v>
      </c>
      <c r="R801">
        <f>VLOOKUP(D801, Products!A$2:D$61, 4, FALSE)</f>
        <v>2405</v>
      </c>
    </row>
    <row r="802" spans="1:18" x14ac:dyDescent="0.3">
      <c r="A802" s="13" t="s">
        <v>1274</v>
      </c>
      <c r="B802" s="14">
        <v>45368</v>
      </c>
      <c r="C802" s="13" t="s">
        <v>1065</v>
      </c>
      <c r="D802" s="13" t="s">
        <v>161</v>
      </c>
      <c r="E802" s="13" t="s">
        <v>346</v>
      </c>
      <c r="F802" s="15">
        <v>8</v>
      </c>
      <c r="G802" s="15">
        <v>3450</v>
      </c>
      <c r="H802" s="15">
        <v>23.7</v>
      </c>
      <c r="I802" s="15">
        <v>21058.799999999999</v>
      </c>
      <c r="J802" s="13" t="s">
        <v>87</v>
      </c>
      <c r="K802" s="13" t="s">
        <v>94</v>
      </c>
      <c r="L802">
        <f>IF(COUNTIF(A$2:A802, A802)=1, IF(COUNTIF(A$2:A$2001, A802)&gt;1, 1, 0), 0)</f>
        <v>0</v>
      </c>
      <c r="M802" t="b">
        <f>VLOOKUP(D802, Products!A$2:F$61, 6, FALSE)</f>
        <v>1</v>
      </c>
      <c r="N802" t="str">
        <f>VLOOKUP(D802, Products!A$2:C$61, 3, FALSE)</f>
        <v>Sports</v>
      </c>
      <c r="O802" t="str">
        <f>VLOOKUP(C802, Customers!A$2:E$301, 5, FALSE)</f>
        <v>Retail</v>
      </c>
      <c r="P802">
        <f>VLOOKUP(C802, Customers!A$2:C$301, 3, FALSE)</f>
        <v>49</v>
      </c>
      <c r="Q802" t="str">
        <f>VLOOKUP(E802, Sales_Reps!A$2:C$31, 3, FALSE)</f>
        <v>South</v>
      </c>
      <c r="R802">
        <f>VLOOKUP(D802, Products!A$2:D$61, 4, FALSE)</f>
        <v>2467</v>
      </c>
    </row>
    <row r="803" spans="1:18" x14ac:dyDescent="0.3">
      <c r="A803" s="13" t="s">
        <v>1275</v>
      </c>
      <c r="B803" s="14">
        <v>45316</v>
      </c>
      <c r="C803" s="13" t="s">
        <v>362</v>
      </c>
      <c r="D803" s="13" t="s">
        <v>452</v>
      </c>
      <c r="E803" s="13" t="s">
        <v>343</v>
      </c>
      <c r="F803" s="15">
        <v>8</v>
      </c>
      <c r="G803" s="15">
        <v>3450</v>
      </c>
      <c r="H803" s="15">
        <v>5.4</v>
      </c>
      <c r="I803" s="15">
        <v>26109.599999999999</v>
      </c>
      <c r="J803" s="13" t="s">
        <v>87</v>
      </c>
      <c r="K803" s="13" t="s">
        <v>94</v>
      </c>
      <c r="L803">
        <f>IF(COUNTIF(A$2:A803, A803)=1, IF(COUNTIF(A$2:A$2001, A803)&gt;1, 1, 0), 0)</f>
        <v>0</v>
      </c>
      <c r="M803" t="b">
        <f>VLOOKUP(D803, Products!A$2:F$61, 6, FALSE)</f>
        <v>1</v>
      </c>
      <c r="N803" t="str">
        <f>VLOOKUP(D803, Products!A$2:C$61, 3, FALSE)</f>
        <v>Apparel</v>
      </c>
      <c r="O803" t="str">
        <f>VLOOKUP(C803, Customers!A$2:E$301, 5, FALSE)</f>
        <v>Corporate</v>
      </c>
      <c r="P803">
        <f>VLOOKUP(C803, Customers!A$2:C$301, 3, FALSE)</f>
        <v>51</v>
      </c>
      <c r="Q803" t="str">
        <f>VLOOKUP(E803, Sales_Reps!A$2:C$31, 3, FALSE)</f>
        <v>West</v>
      </c>
      <c r="R803">
        <f>VLOOKUP(D803, Products!A$2:D$61, 4, FALSE)</f>
        <v>1748</v>
      </c>
    </row>
    <row r="804" spans="1:18" x14ac:dyDescent="0.3">
      <c r="A804" s="13" t="s">
        <v>1276</v>
      </c>
      <c r="B804" s="14">
        <v>45652</v>
      </c>
      <c r="C804" s="13" t="s">
        <v>872</v>
      </c>
      <c r="D804" s="13" t="s">
        <v>241</v>
      </c>
      <c r="E804" s="13" t="s">
        <v>229</v>
      </c>
      <c r="F804" s="15">
        <v>1</v>
      </c>
      <c r="G804" s="15">
        <v>6080</v>
      </c>
      <c r="H804" s="15">
        <v>22.3</v>
      </c>
      <c r="I804" s="15">
        <v>4724.16</v>
      </c>
      <c r="J804" s="13" t="s">
        <v>87</v>
      </c>
      <c r="K804" s="13" t="s">
        <v>112</v>
      </c>
      <c r="L804">
        <f>IF(COUNTIF(A$2:A804, A804)=1, IF(COUNTIF(A$2:A$2001, A804)&gt;1, 1, 0), 0)</f>
        <v>0</v>
      </c>
      <c r="M804" t="b">
        <f>VLOOKUP(D804, Products!A$2:F$61, 6, FALSE)</f>
        <v>1</v>
      </c>
      <c r="N804" t="str">
        <f>VLOOKUP(D804, Products!A$2:C$61, 3, FALSE)</f>
        <v>Beauty</v>
      </c>
      <c r="O804" t="str">
        <f>VLOOKUP(C804, Customers!A$2:E$301, 5, FALSE)</f>
        <v>Corporate</v>
      </c>
      <c r="P804">
        <f>VLOOKUP(C804, Customers!A$2:C$301, 3, FALSE)</f>
        <v>62</v>
      </c>
      <c r="Q804" t="str">
        <f>VLOOKUP(E804, Sales_Reps!A$2:C$31, 3, FALSE)</f>
        <v>West</v>
      </c>
      <c r="R804">
        <f>VLOOKUP(D804, Products!A$2:D$61, 4, FALSE)</f>
        <v>2617</v>
      </c>
    </row>
    <row r="805" spans="1:18" x14ac:dyDescent="0.3">
      <c r="A805" s="13" t="s">
        <v>1277</v>
      </c>
      <c r="B805" s="14">
        <v>45597</v>
      </c>
      <c r="C805" s="13" t="s">
        <v>219</v>
      </c>
      <c r="D805" s="13" t="s">
        <v>355</v>
      </c>
      <c r="E805" s="13" t="s">
        <v>273</v>
      </c>
      <c r="F805" s="15">
        <v>9</v>
      </c>
      <c r="G805" s="15">
        <v>2510</v>
      </c>
      <c r="H805" s="15">
        <v>27.4</v>
      </c>
      <c r="I805" s="15">
        <v>16400.34</v>
      </c>
      <c r="J805" s="13" t="s">
        <v>87</v>
      </c>
      <c r="K805" s="13" t="s">
        <v>99</v>
      </c>
      <c r="L805">
        <f>IF(COUNTIF(A$2:A805, A805)=1, IF(COUNTIF(A$2:A$2001, A805)&gt;1, 1, 0), 0)</f>
        <v>0</v>
      </c>
      <c r="M805" t="b">
        <f>VLOOKUP(D805, Products!A$2:F$61, 6, FALSE)</f>
        <v>0</v>
      </c>
      <c r="N805" t="str">
        <f>VLOOKUP(D805, Products!A$2:C$61, 3, FALSE)</f>
        <v>Apparel</v>
      </c>
      <c r="O805" t="str">
        <f>VLOOKUP(C805, Customers!A$2:E$301, 5, FALSE)</f>
        <v>SMB</v>
      </c>
      <c r="P805">
        <f>VLOOKUP(C805, Customers!A$2:C$301, 3, FALSE)</f>
        <v>50</v>
      </c>
      <c r="Q805" t="str">
        <f>VLOOKUP(E805, Sales_Reps!A$2:C$31, 3, FALSE)</f>
        <v>South</v>
      </c>
      <c r="R805">
        <f>VLOOKUP(D805, Products!A$2:D$61, 4, FALSE)</f>
        <v>1075</v>
      </c>
    </row>
    <row r="806" spans="1:18" x14ac:dyDescent="0.3">
      <c r="A806" s="13" t="s">
        <v>1278</v>
      </c>
      <c r="B806" s="14">
        <v>45392</v>
      </c>
      <c r="C806" s="13" t="s">
        <v>160</v>
      </c>
      <c r="D806" s="13" t="s">
        <v>182</v>
      </c>
      <c r="E806" s="13" t="s">
        <v>325</v>
      </c>
      <c r="F806" s="15">
        <v>10</v>
      </c>
      <c r="G806" s="15">
        <v>1010</v>
      </c>
      <c r="H806" s="15">
        <v>28.4</v>
      </c>
      <c r="I806" s="15">
        <v>7231.6</v>
      </c>
      <c r="J806" s="13" t="s">
        <v>87</v>
      </c>
      <c r="K806" s="13" t="s">
        <v>112</v>
      </c>
      <c r="L806">
        <f>IF(COUNTIF(A$2:A806, A806)=1, IF(COUNTIF(A$2:A$2001, A806)&gt;1, 1, 0), 0)</f>
        <v>0</v>
      </c>
      <c r="M806" t="b">
        <f>VLOOKUP(D806, Products!A$2:F$61, 6, FALSE)</f>
        <v>1</v>
      </c>
      <c r="N806" t="str">
        <f>VLOOKUP(D806, Products!A$2:C$61, 3, FALSE)</f>
        <v>Sports</v>
      </c>
      <c r="O806" t="str">
        <f>VLOOKUP(C806, Customers!A$2:E$301, 5, FALSE)</f>
        <v>Retail</v>
      </c>
      <c r="P806">
        <f>VLOOKUP(C806, Customers!A$2:C$301, 3, FALSE)</f>
        <v>54</v>
      </c>
      <c r="Q806" t="str">
        <f>VLOOKUP(E806, Sales_Reps!A$2:C$31, 3, FALSE)</f>
        <v>South</v>
      </c>
      <c r="R806">
        <f>VLOOKUP(D806, Products!A$2:D$61, 4, FALSE)</f>
        <v>516</v>
      </c>
    </row>
    <row r="807" spans="1:18" x14ac:dyDescent="0.3">
      <c r="A807" s="13" t="s">
        <v>1279</v>
      </c>
      <c r="B807" s="14">
        <v>45401</v>
      </c>
      <c r="C807" s="13" t="s">
        <v>1051</v>
      </c>
      <c r="D807" s="13" t="s">
        <v>659</v>
      </c>
      <c r="E807" s="13" t="s">
        <v>154</v>
      </c>
      <c r="F807" s="15">
        <v>1</v>
      </c>
      <c r="G807" s="15">
        <v>3560</v>
      </c>
      <c r="H807" s="15">
        <v>26</v>
      </c>
      <c r="I807" s="15">
        <v>2634.4</v>
      </c>
      <c r="J807" s="13" t="s">
        <v>87</v>
      </c>
      <c r="K807" s="13" t="s">
        <v>112</v>
      </c>
      <c r="L807">
        <f>IF(COUNTIF(A$2:A807, A807)=1, IF(COUNTIF(A$2:A$2001, A807)&gt;1, 1, 0), 0)</f>
        <v>0</v>
      </c>
      <c r="M807" t="b">
        <f>VLOOKUP(D807, Products!A$2:F$61, 6, FALSE)</f>
        <v>1</v>
      </c>
      <c r="N807" t="str">
        <f>VLOOKUP(D807, Products!A$2:C$61, 3, FALSE)</f>
        <v>Apparel</v>
      </c>
      <c r="O807" t="str">
        <f>VLOOKUP(C807, Customers!A$2:E$301, 5, FALSE)</f>
        <v>Retail</v>
      </c>
      <c r="P807">
        <f>VLOOKUP(C807, Customers!A$2:C$301, 3, FALSE)</f>
        <v>54</v>
      </c>
      <c r="Q807" t="str">
        <f>VLOOKUP(E807, Sales_Reps!A$2:C$31, 3, FALSE)</f>
        <v>East</v>
      </c>
      <c r="R807">
        <f>VLOOKUP(D807, Products!A$2:D$61, 4, FALSE)</f>
        <v>2629</v>
      </c>
    </row>
    <row r="808" spans="1:18" x14ac:dyDescent="0.3">
      <c r="A808" s="13" t="s">
        <v>1280</v>
      </c>
      <c r="B808" s="14">
        <v>45397</v>
      </c>
      <c r="C808" s="13" t="s">
        <v>454</v>
      </c>
      <c r="D808" s="13" t="s">
        <v>276</v>
      </c>
      <c r="E808" s="13" t="s">
        <v>103</v>
      </c>
      <c r="F808" s="15">
        <v>8</v>
      </c>
      <c r="G808" s="15">
        <v>3020</v>
      </c>
      <c r="H808" s="15">
        <v>6.9</v>
      </c>
      <c r="I808" s="15">
        <v>22492.959999999999</v>
      </c>
      <c r="J808" s="13" t="s">
        <v>87</v>
      </c>
      <c r="K808" s="13" t="s">
        <v>133</v>
      </c>
      <c r="L808">
        <f>IF(COUNTIF(A$2:A808, A808)=1, IF(COUNTIF(A$2:A$2001, A808)&gt;1, 1, 0), 0)</f>
        <v>0</v>
      </c>
      <c r="M808" t="b">
        <f>VLOOKUP(D808, Products!A$2:F$61, 6, FALSE)</f>
        <v>1</v>
      </c>
      <c r="N808" t="str">
        <f>VLOOKUP(D808, Products!A$2:C$61, 3, FALSE)</f>
        <v>Beauty</v>
      </c>
      <c r="O808" t="str">
        <f>VLOOKUP(C808, Customers!A$2:E$301, 5, FALSE)</f>
        <v>Corporate</v>
      </c>
      <c r="P808">
        <f>VLOOKUP(C808, Customers!A$2:C$301, 3, FALSE)</f>
        <v>43</v>
      </c>
      <c r="Q808" t="str">
        <f>VLOOKUP(E808, Sales_Reps!A$2:C$31, 3, FALSE)</f>
        <v>North</v>
      </c>
      <c r="R808">
        <f>VLOOKUP(D808, Products!A$2:D$61, 4, FALSE)</f>
        <v>1626</v>
      </c>
    </row>
    <row r="809" spans="1:18" x14ac:dyDescent="0.3">
      <c r="A809" s="13" t="s">
        <v>1281</v>
      </c>
      <c r="B809" s="14">
        <v>45301</v>
      </c>
      <c r="C809" s="13" t="s">
        <v>585</v>
      </c>
      <c r="D809" s="13" t="s">
        <v>264</v>
      </c>
      <c r="E809" s="13" t="s">
        <v>238</v>
      </c>
      <c r="F809" s="15">
        <v>1</v>
      </c>
      <c r="G809" s="15">
        <v>4070</v>
      </c>
      <c r="H809" s="15">
        <v>8.1999999999999993</v>
      </c>
      <c r="I809" s="15">
        <v>3736.26</v>
      </c>
      <c r="J809" s="13" t="s">
        <v>87</v>
      </c>
      <c r="K809" s="13" t="s">
        <v>94</v>
      </c>
      <c r="L809">
        <f>IF(COUNTIF(A$2:A809, A809)=1, IF(COUNTIF(A$2:A$2001, A809)&gt;1, 1, 0), 0)</f>
        <v>0</v>
      </c>
      <c r="M809" t="b">
        <f>VLOOKUP(D809, Products!A$2:F$61, 6, FALSE)</f>
        <v>1</v>
      </c>
      <c r="N809" t="str">
        <f>VLOOKUP(D809, Products!A$2:C$61, 3, FALSE)</f>
        <v>Grocery</v>
      </c>
      <c r="O809" t="str">
        <f>VLOOKUP(C809, Customers!A$2:E$301, 5, FALSE)</f>
        <v>Retail</v>
      </c>
      <c r="P809">
        <f>VLOOKUP(C809, Customers!A$2:C$301, 3, FALSE)</f>
        <v>26</v>
      </c>
      <c r="Q809" t="str">
        <f>VLOOKUP(E809, Sales_Reps!A$2:C$31, 3, FALSE)</f>
        <v>East</v>
      </c>
      <c r="R809">
        <f>VLOOKUP(D809, Products!A$2:D$61, 4, FALSE)</f>
        <v>2027</v>
      </c>
    </row>
    <row r="810" spans="1:18" x14ac:dyDescent="0.3">
      <c r="A810" s="13" t="s">
        <v>1282</v>
      </c>
      <c r="B810" s="14">
        <v>45347</v>
      </c>
      <c r="C810" s="13" t="s">
        <v>1234</v>
      </c>
      <c r="D810" s="13" t="s">
        <v>110</v>
      </c>
      <c r="E810" s="13" t="s">
        <v>192</v>
      </c>
      <c r="F810" s="15">
        <v>9</v>
      </c>
      <c r="G810" s="15">
        <v>370</v>
      </c>
      <c r="H810" s="15">
        <v>19.8</v>
      </c>
      <c r="I810" s="15">
        <v>2670.66</v>
      </c>
      <c r="J810" s="13" t="s">
        <v>87</v>
      </c>
      <c r="K810" s="13" t="s">
        <v>112</v>
      </c>
      <c r="L810">
        <f>IF(COUNTIF(A$2:A810, A810)=1, IF(COUNTIF(A$2:A$2001, A810)&gt;1, 1, 0), 0)</f>
        <v>0</v>
      </c>
      <c r="M810" t="b">
        <f>VLOOKUP(D810, Products!A$2:F$61, 6, FALSE)</f>
        <v>1</v>
      </c>
      <c r="N810" t="str">
        <f>VLOOKUP(D810, Products!A$2:C$61, 3, FALSE)</f>
        <v>Home</v>
      </c>
      <c r="O810" t="str">
        <f>VLOOKUP(C810, Customers!A$2:E$301, 5, FALSE)</f>
        <v>Retail</v>
      </c>
      <c r="P810">
        <f>VLOOKUP(C810, Customers!A$2:C$301, 3, FALSE)</f>
        <v>29</v>
      </c>
      <c r="Q810" t="str">
        <f>VLOOKUP(E810, Sales_Reps!A$2:C$31, 3, FALSE)</f>
        <v>East</v>
      </c>
      <c r="R810">
        <f>VLOOKUP(D810, Products!A$2:D$61, 4, FALSE)</f>
        <v>288</v>
      </c>
    </row>
    <row r="811" spans="1:18" x14ac:dyDescent="0.3">
      <c r="A811" s="13" t="s">
        <v>1283</v>
      </c>
      <c r="B811" s="14">
        <v>45544</v>
      </c>
      <c r="C811" s="13" t="s">
        <v>883</v>
      </c>
      <c r="D811" s="13" t="s">
        <v>127</v>
      </c>
      <c r="E811" s="13" t="s">
        <v>192</v>
      </c>
      <c r="F811" s="15">
        <v>6</v>
      </c>
      <c r="G811" s="15">
        <v>970</v>
      </c>
      <c r="H811" s="15">
        <v>16.2</v>
      </c>
      <c r="I811" s="15">
        <v>4877.16</v>
      </c>
      <c r="J811" s="13" t="s">
        <v>87</v>
      </c>
      <c r="K811" s="13" t="s">
        <v>133</v>
      </c>
      <c r="L811">
        <f>IF(COUNTIF(A$2:A811, A811)=1, IF(COUNTIF(A$2:A$2001, A811)&gt;1, 1, 0), 0)</f>
        <v>0</v>
      </c>
      <c r="M811" t="b">
        <f>VLOOKUP(D811, Products!A$2:F$61, 6, FALSE)</f>
        <v>1</v>
      </c>
      <c r="N811" t="str">
        <f>VLOOKUP(D811, Products!A$2:C$61, 3, FALSE)</f>
        <v>Grocery</v>
      </c>
      <c r="O811" t="str">
        <f>VLOOKUP(C811, Customers!A$2:E$301, 5, FALSE)</f>
        <v>SMB</v>
      </c>
      <c r="P811">
        <f>VLOOKUP(C811, Customers!A$2:C$301, 3, FALSE)</f>
        <v>28</v>
      </c>
      <c r="Q811" t="str">
        <f>VLOOKUP(E811, Sales_Reps!A$2:C$31, 3, FALSE)</f>
        <v>East</v>
      </c>
      <c r="R811">
        <f>VLOOKUP(D811, Products!A$2:D$61, 4, FALSE)</f>
        <v>434</v>
      </c>
    </row>
    <row r="812" spans="1:18" x14ac:dyDescent="0.3">
      <c r="A812" s="13" t="s">
        <v>1284</v>
      </c>
      <c r="B812" s="14">
        <v>45633</v>
      </c>
      <c r="C812" s="13" t="s">
        <v>316</v>
      </c>
      <c r="D812" s="13" t="s">
        <v>173</v>
      </c>
      <c r="E812" s="13" t="s">
        <v>121</v>
      </c>
      <c r="F812" s="15">
        <v>10</v>
      </c>
      <c r="G812" s="15">
        <v>2720</v>
      </c>
      <c r="H812" s="15">
        <v>3</v>
      </c>
      <c r="I812" s="15">
        <v>26384</v>
      </c>
      <c r="J812" s="13" t="s">
        <v>93</v>
      </c>
      <c r="K812" s="13" t="s">
        <v>88</v>
      </c>
      <c r="L812">
        <f>IF(COUNTIF(A$2:A812, A812)=1, IF(COUNTIF(A$2:A$2001, A812)&gt;1, 1, 0), 0)</f>
        <v>0</v>
      </c>
      <c r="M812" t="b">
        <f>VLOOKUP(D812, Products!A$2:F$61, 6, FALSE)</f>
        <v>1</v>
      </c>
      <c r="N812" t="str">
        <f>VLOOKUP(D812, Products!A$2:C$61, 3, FALSE)</f>
        <v>Apparel</v>
      </c>
      <c r="O812" t="str">
        <f>VLOOKUP(C812, Customers!A$2:E$301, 5, FALSE)</f>
        <v>SMB</v>
      </c>
      <c r="P812">
        <f>VLOOKUP(C812, Customers!A$2:C$301, 3, FALSE)</f>
        <v>60</v>
      </c>
      <c r="Q812" t="str">
        <f>VLOOKUP(E812, Sales_Reps!A$2:C$31, 3, FALSE)</f>
        <v>East</v>
      </c>
      <c r="R812">
        <f>VLOOKUP(D812, Products!A$2:D$61, 4, FALSE)</f>
        <v>1962</v>
      </c>
    </row>
    <row r="813" spans="1:18" x14ac:dyDescent="0.3">
      <c r="A813" s="13" t="s">
        <v>1285</v>
      </c>
      <c r="B813" s="14">
        <v>45293</v>
      </c>
      <c r="C813" s="13" t="s">
        <v>757</v>
      </c>
      <c r="D813" s="13" t="s">
        <v>151</v>
      </c>
      <c r="E813" s="13" t="s">
        <v>98</v>
      </c>
      <c r="F813" s="15">
        <v>7</v>
      </c>
      <c r="G813" s="15">
        <v>2400</v>
      </c>
      <c r="H813" s="15">
        <v>29.4</v>
      </c>
      <c r="I813" s="15">
        <v>11860.8</v>
      </c>
      <c r="J813" s="13" t="s">
        <v>87</v>
      </c>
      <c r="K813" s="13" t="s">
        <v>117</v>
      </c>
      <c r="L813">
        <f>IF(COUNTIF(A$2:A813, A813)=1, IF(COUNTIF(A$2:A$2001, A813)&gt;1, 1, 0), 0)</f>
        <v>0</v>
      </c>
      <c r="M813" t="b">
        <f>VLOOKUP(D813, Products!A$2:F$61, 6, FALSE)</f>
        <v>1</v>
      </c>
      <c r="N813" t="str">
        <f>VLOOKUP(D813, Products!A$2:C$61, 3, FALSE)</f>
        <v>Sports</v>
      </c>
      <c r="O813" t="str">
        <f>VLOOKUP(C813, Customers!A$2:E$301, 5, FALSE)</f>
        <v>Corporate</v>
      </c>
      <c r="P813">
        <f>VLOOKUP(C813, Customers!A$2:C$301, 3, FALSE)</f>
        <v>43</v>
      </c>
      <c r="Q813" t="str">
        <f>VLOOKUP(E813, Sales_Reps!A$2:C$31, 3, FALSE)</f>
        <v>South</v>
      </c>
      <c r="R813">
        <f>VLOOKUP(D813, Products!A$2:D$61, 4, FALSE)</f>
        <v>974</v>
      </c>
    </row>
    <row r="814" spans="1:18" x14ac:dyDescent="0.3">
      <c r="A814" s="13" t="s">
        <v>1286</v>
      </c>
      <c r="B814" s="14">
        <v>45564</v>
      </c>
      <c r="C814" s="13" t="s">
        <v>442</v>
      </c>
      <c r="D814" s="13" t="s">
        <v>659</v>
      </c>
      <c r="E814" s="13" t="s">
        <v>325</v>
      </c>
      <c r="F814" s="15">
        <v>8</v>
      </c>
      <c r="G814" s="15">
        <v>3560</v>
      </c>
      <c r="H814" s="15">
        <v>21.7</v>
      </c>
      <c r="I814" s="15">
        <v>22299.84</v>
      </c>
      <c r="J814" s="13" t="s">
        <v>87</v>
      </c>
      <c r="K814" s="13" t="s">
        <v>88</v>
      </c>
      <c r="L814">
        <f>IF(COUNTIF(A$2:A814, A814)=1, IF(COUNTIF(A$2:A$2001, A814)&gt;1, 1, 0), 0)</f>
        <v>0</v>
      </c>
      <c r="M814" t="b">
        <f>VLOOKUP(D814, Products!A$2:F$61, 6, FALSE)</f>
        <v>1</v>
      </c>
      <c r="N814" t="str">
        <f>VLOOKUP(D814, Products!A$2:C$61, 3, FALSE)</f>
        <v>Apparel</v>
      </c>
      <c r="O814" t="str">
        <f>VLOOKUP(C814, Customers!A$2:E$301, 5, FALSE)</f>
        <v>Retail</v>
      </c>
      <c r="P814">
        <f>VLOOKUP(C814, Customers!A$2:C$301, 3, FALSE)</f>
        <v>65</v>
      </c>
      <c r="Q814" t="str">
        <f>VLOOKUP(E814, Sales_Reps!A$2:C$31, 3, FALSE)</f>
        <v>South</v>
      </c>
      <c r="R814">
        <f>VLOOKUP(D814, Products!A$2:D$61, 4, FALSE)</f>
        <v>2629</v>
      </c>
    </row>
    <row r="815" spans="1:18" x14ac:dyDescent="0.3">
      <c r="A815" s="13" t="s">
        <v>1287</v>
      </c>
      <c r="B815" s="14">
        <v>45385</v>
      </c>
      <c r="C815" s="13" t="s">
        <v>781</v>
      </c>
      <c r="D815" s="13" t="s">
        <v>264</v>
      </c>
      <c r="E815" s="13" t="s">
        <v>188</v>
      </c>
      <c r="F815" s="15">
        <v>7</v>
      </c>
      <c r="G815" s="15">
        <v>4070</v>
      </c>
      <c r="H815" s="15">
        <v>10.5</v>
      </c>
      <c r="I815" s="15">
        <v>25498.55</v>
      </c>
      <c r="J815" s="13" t="s">
        <v>87</v>
      </c>
      <c r="K815" s="13" t="s">
        <v>99</v>
      </c>
      <c r="L815">
        <f>IF(COUNTIF(A$2:A815, A815)=1, IF(COUNTIF(A$2:A$2001, A815)&gt;1, 1, 0), 0)</f>
        <v>0</v>
      </c>
      <c r="M815" t="b">
        <f>VLOOKUP(D815, Products!A$2:F$61, 6, FALSE)</f>
        <v>1</v>
      </c>
      <c r="N815" t="str">
        <f>VLOOKUP(D815, Products!A$2:C$61, 3, FALSE)</f>
        <v>Grocery</v>
      </c>
      <c r="O815" t="str">
        <f>VLOOKUP(C815, Customers!A$2:E$301, 5, FALSE)</f>
        <v>SMB</v>
      </c>
      <c r="P815">
        <f>VLOOKUP(C815, Customers!A$2:C$301, 3, FALSE)</f>
        <v>29</v>
      </c>
      <c r="Q815" t="str">
        <f>VLOOKUP(E815, Sales_Reps!A$2:C$31, 3, FALSE)</f>
        <v>South</v>
      </c>
      <c r="R815">
        <f>VLOOKUP(D815, Products!A$2:D$61, 4, FALSE)</f>
        <v>2027</v>
      </c>
    </row>
    <row r="816" spans="1:18" x14ac:dyDescent="0.3">
      <c r="A816" s="13" t="s">
        <v>1288</v>
      </c>
      <c r="B816" s="14">
        <v>45299</v>
      </c>
      <c r="C816" s="13" t="s">
        <v>615</v>
      </c>
      <c r="D816" s="13" t="s">
        <v>360</v>
      </c>
      <c r="E816" s="13" t="s">
        <v>107</v>
      </c>
      <c r="F816" s="15">
        <v>3</v>
      </c>
      <c r="G816" s="15">
        <v>5410</v>
      </c>
      <c r="H816" s="15">
        <v>0.2</v>
      </c>
      <c r="I816" s="15">
        <v>16197.54</v>
      </c>
      <c r="J816" s="13" t="s">
        <v>87</v>
      </c>
      <c r="K816" s="13" t="s">
        <v>112</v>
      </c>
      <c r="L816">
        <f>IF(COUNTIF(A$2:A816, A816)=1, IF(COUNTIF(A$2:A$2001, A816)&gt;1, 1, 0), 0)</f>
        <v>1</v>
      </c>
      <c r="M816" t="b">
        <f>VLOOKUP(D816, Products!A$2:F$61, 6, FALSE)</f>
        <v>1</v>
      </c>
      <c r="N816" t="str">
        <f>VLOOKUP(D816, Products!A$2:C$61, 3, FALSE)</f>
        <v>Sports</v>
      </c>
      <c r="O816" t="str">
        <f>VLOOKUP(C816, Customers!A$2:E$301, 5, FALSE)</f>
        <v>Retail</v>
      </c>
      <c r="P816">
        <f>VLOOKUP(C816, Customers!A$2:C$301, 3, FALSE)</f>
        <v>53</v>
      </c>
      <c r="Q816" t="str">
        <f>VLOOKUP(E816, Sales_Reps!A$2:C$31, 3, FALSE)</f>
        <v>North</v>
      </c>
      <c r="R816">
        <f>VLOOKUP(D816, Products!A$2:D$61, 4, FALSE)</f>
        <v>2265</v>
      </c>
    </row>
    <row r="817" spans="1:18" x14ac:dyDescent="0.3">
      <c r="A817" s="13" t="s">
        <v>1289</v>
      </c>
      <c r="B817" s="14">
        <v>45651</v>
      </c>
      <c r="C817" s="13" t="s">
        <v>533</v>
      </c>
      <c r="D817" s="13" t="s">
        <v>200</v>
      </c>
      <c r="E817" s="13" t="s">
        <v>128</v>
      </c>
      <c r="F817" s="15">
        <v>4</v>
      </c>
      <c r="G817" s="15">
        <v>2760</v>
      </c>
      <c r="H817" s="15">
        <v>27.5</v>
      </c>
      <c r="I817" s="15">
        <v>8004</v>
      </c>
      <c r="J817" s="13" t="s">
        <v>140</v>
      </c>
      <c r="K817" s="13" t="s">
        <v>99</v>
      </c>
      <c r="L817">
        <f>IF(COUNTIF(A$2:A817, A817)=1, IF(COUNTIF(A$2:A$2001, A817)&gt;1, 1, 0), 0)</f>
        <v>0</v>
      </c>
      <c r="M817" t="b">
        <f>VLOOKUP(D817, Products!A$2:F$61, 6, FALSE)</f>
        <v>1</v>
      </c>
      <c r="N817" t="str">
        <f>VLOOKUP(D817, Products!A$2:C$61, 3, FALSE)</f>
        <v>Grocery</v>
      </c>
      <c r="O817" t="str">
        <f>VLOOKUP(C817, Customers!A$2:E$301, 5, FALSE)</f>
        <v>SMB</v>
      </c>
      <c r="P817">
        <f>VLOOKUP(C817, Customers!A$2:C$301, 3, FALSE)</f>
        <v>48</v>
      </c>
      <c r="Q817" t="str">
        <f>VLOOKUP(E817, Sales_Reps!A$2:C$31, 3, FALSE)</f>
        <v>West</v>
      </c>
      <c r="R817">
        <f>VLOOKUP(D817, Products!A$2:D$61, 4, FALSE)</f>
        <v>1435</v>
      </c>
    </row>
    <row r="818" spans="1:18" x14ac:dyDescent="0.3">
      <c r="A818" s="13" t="s">
        <v>1290</v>
      </c>
      <c r="B818" s="14">
        <v>45474</v>
      </c>
      <c r="C818" s="13" t="s">
        <v>457</v>
      </c>
      <c r="D818" s="13" t="s">
        <v>443</v>
      </c>
      <c r="E818" s="13" t="s">
        <v>252</v>
      </c>
      <c r="F818" s="15">
        <v>3</v>
      </c>
      <c r="G818" s="15">
        <v>5080</v>
      </c>
      <c r="H818" s="15">
        <v>27.2</v>
      </c>
      <c r="I818" s="15">
        <v>11094.72</v>
      </c>
      <c r="J818" s="13" t="s">
        <v>87</v>
      </c>
      <c r="K818" s="13" t="s">
        <v>88</v>
      </c>
      <c r="L818">
        <f>IF(COUNTIF(A$2:A818, A818)=1, IF(COUNTIF(A$2:A$2001, A818)&gt;1, 1, 0), 0)</f>
        <v>1</v>
      </c>
      <c r="M818" t="b">
        <f>VLOOKUP(D818, Products!A$2:F$61, 6, FALSE)</f>
        <v>1</v>
      </c>
      <c r="N818" t="str">
        <f>VLOOKUP(D818, Products!A$2:C$61, 3, FALSE)</f>
        <v>Home</v>
      </c>
      <c r="O818" t="str">
        <f>VLOOKUP(C818, Customers!A$2:E$301, 5, FALSE)</f>
        <v>Retail</v>
      </c>
      <c r="P818">
        <f>VLOOKUP(C818, Customers!A$2:C$301, 3, FALSE)</f>
        <v>29</v>
      </c>
      <c r="Q818" t="str">
        <f>VLOOKUP(E818, Sales_Reps!A$2:C$31, 3, FALSE)</f>
        <v>South</v>
      </c>
      <c r="R818">
        <f>VLOOKUP(D818, Products!A$2:D$61, 4, FALSE)</f>
        <v>2459</v>
      </c>
    </row>
    <row r="819" spans="1:18" x14ac:dyDescent="0.3">
      <c r="A819" s="13" t="s">
        <v>1291</v>
      </c>
      <c r="B819" s="14">
        <v>45391</v>
      </c>
      <c r="C819" s="13" t="s">
        <v>1172</v>
      </c>
      <c r="D819" s="13" t="s">
        <v>502</v>
      </c>
      <c r="E819" s="13" t="s">
        <v>238</v>
      </c>
      <c r="F819" s="15">
        <v>5</v>
      </c>
      <c r="G819" s="15">
        <v>1090</v>
      </c>
      <c r="H819" s="15">
        <v>3.3</v>
      </c>
      <c r="I819" s="15">
        <v>5270.15</v>
      </c>
      <c r="J819" s="13" t="s">
        <v>87</v>
      </c>
      <c r="K819" s="13" t="s">
        <v>88</v>
      </c>
      <c r="L819">
        <f>IF(COUNTIF(A$2:A819, A819)=1, IF(COUNTIF(A$2:A$2001, A819)&gt;1, 1, 0), 0)</f>
        <v>0</v>
      </c>
      <c r="M819" t="b">
        <f>VLOOKUP(D819, Products!A$2:F$61, 6, FALSE)</f>
        <v>1</v>
      </c>
      <c r="N819" t="str">
        <f>VLOOKUP(D819, Products!A$2:C$61, 3, FALSE)</f>
        <v>Home</v>
      </c>
      <c r="O819" t="str">
        <f>VLOOKUP(C819, Customers!A$2:E$301, 5, FALSE)</f>
        <v>Retail</v>
      </c>
      <c r="P819">
        <f>VLOOKUP(C819, Customers!A$2:C$301, 3, FALSE)</f>
        <v>39</v>
      </c>
      <c r="Q819" t="str">
        <f>VLOOKUP(E819, Sales_Reps!A$2:C$31, 3, FALSE)</f>
        <v>East</v>
      </c>
      <c r="R819">
        <f>VLOOKUP(D819, Products!A$2:D$61, 4, FALSE)</f>
        <v>464</v>
      </c>
    </row>
    <row r="820" spans="1:18" x14ac:dyDescent="0.3">
      <c r="A820" s="13" t="s">
        <v>1292</v>
      </c>
      <c r="B820" s="14">
        <v>45328</v>
      </c>
      <c r="C820" s="13" t="s">
        <v>841</v>
      </c>
      <c r="D820" s="13" t="s">
        <v>367</v>
      </c>
      <c r="E820" s="13" t="s">
        <v>229</v>
      </c>
      <c r="F820" s="15">
        <v>10</v>
      </c>
      <c r="G820" s="15">
        <v>2380</v>
      </c>
      <c r="H820" s="15">
        <v>7</v>
      </c>
      <c r="I820" s="15">
        <v>22134</v>
      </c>
      <c r="J820" s="13" t="s">
        <v>87</v>
      </c>
      <c r="K820" s="13" t="s">
        <v>117</v>
      </c>
      <c r="L820">
        <f>IF(COUNTIF(A$2:A820, A820)=1, IF(COUNTIF(A$2:A$2001, A820)&gt;1, 1, 0), 0)</f>
        <v>0</v>
      </c>
      <c r="M820" t="b">
        <f>VLOOKUP(D820, Products!A$2:F$61, 6, FALSE)</f>
        <v>1</v>
      </c>
      <c r="N820" t="str">
        <f>VLOOKUP(D820, Products!A$2:C$61, 3, FALSE)</f>
        <v>Grocery</v>
      </c>
      <c r="O820" t="str">
        <f>VLOOKUP(C820, Customers!A$2:E$301, 5, FALSE)</f>
        <v>Corporate</v>
      </c>
      <c r="P820">
        <f>VLOOKUP(C820, Customers!A$2:C$301, 3, FALSE)</f>
        <v>41</v>
      </c>
      <c r="Q820" t="str">
        <f>VLOOKUP(E820, Sales_Reps!A$2:C$31, 3, FALSE)</f>
        <v>West</v>
      </c>
      <c r="R820">
        <f>VLOOKUP(D820, Products!A$2:D$61, 4, FALSE)</f>
        <v>1182</v>
      </c>
    </row>
    <row r="821" spans="1:18" x14ac:dyDescent="0.3">
      <c r="A821" s="13" t="s">
        <v>1293</v>
      </c>
      <c r="B821" s="14">
        <v>45490</v>
      </c>
      <c r="C821" s="13" t="s">
        <v>1294</v>
      </c>
      <c r="D821" s="13" t="s">
        <v>106</v>
      </c>
      <c r="E821" s="13" t="s">
        <v>201</v>
      </c>
      <c r="F821" s="15">
        <v>5</v>
      </c>
      <c r="G821" s="15">
        <v>3160</v>
      </c>
      <c r="H821" s="15">
        <v>25.6</v>
      </c>
      <c r="I821" s="15">
        <v>11755.2</v>
      </c>
      <c r="J821" s="13" t="s">
        <v>87</v>
      </c>
      <c r="K821" s="13" t="s">
        <v>94</v>
      </c>
      <c r="L821">
        <f>IF(COUNTIF(A$2:A821, A821)=1, IF(COUNTIF(A$2:A$2001, A821)&gt;1, 1, 0), 0)</f>
        <v>0</v>
      </c>
      <c r="M821" t="b">
        <f>VLOOKUP(D821, Products!A$2:F$61, 6, FALSE)</f>
        <v>1</v>
      </c>
      <c r="N821" t="str">
        <f>VLOOKUP(D821, Products!A$2:C$61, 3, FALSE)</f>
        <v>Apparel</v>
      </c>
      <c r="O821" t="str">
        <f>VLOOKUP(C821, Customers!A$2:E$301, 5, FALSE)</f>
        <v>SMB</v>
      </c>
      <c r="P821">
        <f>VLOOKUP(C821, Customers!A$2:C$301, 3, FALSE)</f>
        <v>43</v>
      </c>
      <c r="Q821" t="str">
        <f>VLOOKUP(E821, Sales_Reps!A$2:C$31, 3, FALSE)</f>
        <v>West</v>
      </c>
      <c r="R821">
        <f>VLOOKUP(D821, Products!A$2:D$61, 4, FALSE)</f>
        <v>1886</v>
      </c>
    </row>
    <row r="822" spans="1:18" x14ac:dyDescent="0.3">
      <c r="A822" s="13" t="s">
        <v>1295</v>
      </c>
      <c r="B822" s="14">
        <v>45362</v>
      </c>
      <c r="C822" s="13" t="s">
        <v>905</v>
      </c>
      <c r="D822" s="13" t="s">
        <v>151</v>
      </c>
      <c r="E822" s="13" t="s">
        <v>229</v>
      </c>
      <c r="F822" s="15">
        <v>9</v>
      </c>
      <c r="G822" s="15">
        <v>2400</v>
      </c>
      <c r="H822" s="15">
        <v>8.4</v>
      </c>
      <c r="I822" s="15">
        <v>19785.599999999999</v>
      </c>
      <c r="J822" s="13" t="s">
        <v>87</v>
      </c>
      <c r="K822" s="13" t="s">
        <v>112</v>
      </c>
      <c r="L822">
        <f>IF(COUNTIF(A$2:A822, A822)=1, IF(COUNTIF(A$2:A$2001, A822)&gt;1, 1, 0), 0)</f>
        <v>0</v>
      </c>
      <c r="M822" t="b">
        <f>VLOOKUP(D822, Products!A$2:F$61, 6, FALSE)</f>
        <v>1</v>
      </c>
      <c r="N822" t="str">
        <f>VLOOKUP(D822, Products!A$2:C$61, 3, FALSE)</f>
        <v>Sports</v>
      </c>
      <c r="O822" t="str">
        <f>VLOOKUP(C822, Customers!A$2:E$301, 5, FALSE)</f>
        <v>SMB</v>
      </c>
      <c r="P822">
        <f>VLOOKUP(C822, Customers!A$2:C$301, 3, FALSE)</f>
        <v>43</v>
      </c>
      <c r="Q822" t="str">
        <f>VLOOKUP(E822, Sales_Reps!A$2:C$31, 3, FALSE)</f>
        <v>West</v>
      </c>
      <c r="R822">
        <f>VLOOKUP(D822, Products!A$2:D$61, 4, FALSE)</f>
        <v>974</v>
      </c>
    </row>
    <row r="823" spans="1:18" x14ac:dyDescent="0.3">
      <c r="A823" s="13" t="s">
        <v>1296</v>
      </c>
      <c r="B823" s="14">
        <v>45449</v>
      </c>
      <c r="C823" s="13" t="s">
        <v>1297</v>
      </c>
      <c r="D823" s="13" t="s">
        <v>138</v>
      </c>
      <c r="E823" s="13" t="s">
        <v>192</v>
      </c>
      <c r="F823" s="15">
        <v>4</v>
      </c>
      <c r="G823" s="15">
        <v>2600</v>
      </c>
      <c r="H823" s="15">
        <v>4.2</v>
      </c>
      <c r="I823" s="15">
        <v>9963.2000000000007</v>
      </c>
      <c r="J823" s="13" t="s">
        <v>87</v>
      </c>
      <c r="K823" s="13" t="s">
        <v>112</v>
      </c>
      <c r="L823">
        <f>IF(COUNTIF(A$2:A823, A823)=1, IF(COUNTIF(A$2:A$2001, A823)&gt;1, 1, 0), 0)</f>
        <v>0</v>
      </c>
      <c r="M823" t="b">
        <f>VLOOKUP(D823, Products!A$2:F$61, 6, FALSE)</f>
        <v>1</v>
      </c>
      <c r="N823" t="str">
        <f>VLOOKUP(D823, Products!A$2:C$61, 3, FALSE)</f>
        <v>Electronics</v>
      </c>
      <c r="O823" t="str">
        <f>VLOOKUP(C823, Customers!A$2:E$301, 5, FALSE)</f>
        <v>Retail</v>
      </c>
      <c r="P823">
        <f>VLOOKUP(C823, Customers!A$2:C$301, 3, FALSE)</f>
        <v>38</v>
      </c>
      <c r="Q823" t="str">
        <f>VLOOKUP(E823, Sales_Reps!A$2:C$31, 3, FALSE)</f>
        <v>East</v>
      </c>
      <c r="R823">
        <f>VLOOKUP(D823, Products!A$2:D$61, 4, FALSE)</f>
        <v>1052</v>
      </c>
    </row>
    <row r="824" spans="1:18" x14ac:dyDescent="0.3">
      <c r="A824" s="13" t="s">
        <v>1298</v>
      </c>
      <c r="B824" s="14">
        <v>45409</v>
      </c>
      <c r="C824" s="13" t="s">
        <v>1299</v>
      </c>
      <c r="D824" s="13" t="s">
        <v>131</v>
      </c>
      <c r="E824" s="13" t="s">
        <v>154</v>
      </c>
      <c r="F824" s="15">
        <v>5</v>
      </c>
      <c r="G824" s="15">
        <v>2270</v>
      </c>
      <c r="H824" s="15">
        <v>0.1</v>
      </c>
      <c r="I824" s="15">
        <v>11338.65</v>
      </c>
      <c r="J824" s="13" t="s">
        <v>87</v>
      </c>
      <c r="K824" s="13" t="s">
        <v>112</v>
      </c>
      <c r="L824">
        <f>IF(COUNTIF(A$2:A824, A824)=1, IF(COUNTIF(A$2:A$2001, A824)&gt;1, 1, 0), 0)</f>
        <v>0</v>
      </c>
      <c r="M824" t="b">
        <f>VLOOKUP(D824, Products!A$2:F$61, 6, FALSE)</f>
        <v>1</v>
      </c>
      <c r="N824" t="str">
        <f>VLOOKUP(D824, Products!A$2:C$61, 3, FALSE)</f>
        <v>Grocery</v>
      </c>
      <c r="O824" t="e">
        <f>VLOOKUP(C824, Customers!A$2:E$301, 5, FALSE)</f>
        <v>#N/A</v>
      </c>
      <c r="P824" t="e">
        <f>VLOOKUP(C824, Customers!A$2:C$301, 3, FALSE)</f>
        <v>#N/A</v>
      </c>
      <c r="Q824" t="str">
        <f>VLOOKUP(E824, Sales_Reps!A$2:C$31, 3, FALSE)</f>
        <v>East</v>
      </c>
      <c r="R824">
        <f>VLOOKUP(D824, Products!A$2:D$61, 4, FALSE)</f>
        <v>1203</v>
      </c>
    </row>
    <row r="825" spans="1:18" x14ac:dyDescent="0.3">
      <c r="A825" s="13" t="s">
        <v>1300</v>
      </c>
      <c r="B825" s="14">
        <v>45465</v>
      </c>
      <c r="C825" s="13" t="s">
        <v>841</v>
      </c>
      <c r="D825" s="13" t="s">
        <v>124</v>
      </c>
      <c r="E825" s="13" t="s">
        <v>192</v>
      </c>
      <c r="F825" s="15">
        <v>7</v>
      </c>
      <c r="G825" s="15">
        <v>5490</v>
      </c>
      <c r="H825" s="15">
        <v>14.9</v>
      </c>
      <c r="I825" s="15">
        <v>32703.93</v>
      </c>
      <c r="J825" s="13" t="s">
        <v>87</v>
      </c>
      <c r="K825" s="13" t="s">
        <v>117</v>
      </c>
      <c r="L825">
        <f>IF(COUNTIF(A$2:A825, A825)=1, IF(COUNTIF(A$2:A$2001, A825)&gt;1, 1, 0), 0)</f>
        <v>0</v>
      </c>
      <c r="M825" t="b">
        <f>VLOOKUP(D825, Products!A$2:F$61, 6, FALSE)</f>
        <v>1</v>
      </c>
      <c r="N825" t="str">
        <f>VLOOKUP(D825, Products!A$2:C$61, 3, FALSE)</f>
        <v>Home</v>
      </c>
      <c r="O825" t="str">
        <f>VLOOKUP(C825, Customers!A$2:E$301, 5, FALSE)</f>
        <v>Corporate</v>
      </c>
      <c r="P825">
        <f>VLOOKUP(C825, Customers!A$2:C$301, 3, FALSE)</f>
        <v>41</v>
      </c>
      <c r="Q825" t="str">
        <f>VLOOKUP(E825, Sales_Reps!A$2:C$31, 3, FALSE)</f>
        <v>East</v>
      </c>
      <c r="R825">
        <f>VLOOKUP(D825, Products!A$2:D$61, 4, FALSE)</f>
        <v>2549</v>
      </c>
    </row>
    <row r="826" spans="1:18" x14ac:dyDescent="0.3">
      <c r="A826" s="13" t="s">
        <v>1301</v>
      </c>
      <c r="B826" s="14">
        <v>45415</v>
      </c>
      <c r="C826" s="13" t="s">
        <v>676</v>
      </c>
      <c r="D826" s="13" t="s">
        <v>248</v>
      </c>
      <c r="E826" s="13" t="s">
        <v>204</v>
      </c>
      <c r="F826" s="15">
        <v>5</v>
      </c>
      <c r="G826" s="15">
        <v>3870</v>
      </c>
      <c r="H826" s="15">
        <v>13.3</v>
      </c>
      <c r="I826" s="15">
        <v>16776.45</v>
      </c>
      <c r="J826" s="13" t="s">
        <v>140</v>
      </c>
      <c r="K826" s="13" t="s">
        <v>88</v>
      </c>
      <c r="L826">
        <f>IF(COUNTIF(A$2:A826, A826)=1, IF(COUNTIF(A$2:A$2001, A826)&gt;1, 1, 0), 0)</f>
        <v>0</v>
      </c>
      <c r="M826" t="b">
        <f>VLOOKUP(D826, Products!A$2:F$61, 6, FALSE)</f>
        <v>1</v>
      </c>
      <c r="N826" t="str">
        <f>VLOOKUP(D826, Products!A$2:C$61, 3, FALSE)</f>
        <v>Electronics</v>
      </c>
      <c r="O826" t="str">
        <f>VLOOKUP(C826, Customers!A$2:E$301, 5, FALSE)</f>
        <v>SMB</v>
      </c>
      <c r="P826">
        <f>VLOOKUP(C826, Customers!A$2:C$301, 3, FALSE)</f>
        <v>35</v>
      </c>
      <c r="Q826" t="str">
        <f>VLOOKUP(E826, Sales_Reps!A$2:C$31, 3, FALSE)</f>
        <v>South</v>
      </c>
      <c r="R826">
        <f>VLOOKUP(D826, Products!A$2:D$61, 4, FALSE)</f>
        <v>1559</v>
      </c>
    </row>
    <row r="827" spans="1:18" x14ac:dyDescent="0.3">
      <c r="A827" s="13" t="s">
        <v>1302</v>
      </c>
      <c r="B827" s="14">
        <v>45372</v>
      </c>
      <c r="C827" s="13" t="s">
        <v>689</v>
      </c>
      <c r="D827" s="13" t="s">
        <v>380</v>
      </c>
      <c r="E827" s="13" t="s">
        <v>116</v>
      </c>
      <c r="F827" s="15">
        <v>2</v>
      </c>
      <c r="G827" s="15">
        <v>960</v>
      </c>
      <c r="H827" s="15">
        <v>17.5</v>
      </c>
      <c r="I827" s="15">
        <v>1584</v>
      </c>
      <c r="J827" s="13" t="s">
        <v>87</v>
      </c>
      <c r="K827" s="13" t="s">
        <v>133</v>
      </c>
      <c r="L827">
        <f>IF(COUNTIF(A$2:A827, A827)=1, IF(COUNTIF(A$2:A$2001, A827)&gt;1, 1, 0), 0)</f>
        <v>0</v>
      </c>
      <c r="M827" t="b">
        <f>VLOOKUP(D827, Products!A$2:F$61, 6, FALSE)</f>
        <v>1</v>
      </c>
      <c r="N827" t="str">
        <f>VLOOKUP(D827, Products!A$2:C$61, 3, FALSE)</f>
        <v>Beauty</v>
      </c>
      <c r="O827" t="str">
        <f>VLOOKUP(C827, Customers!A$2:E$301, 5, FALSE)</f>
        <v>Retail</v>
      </c>
      <c r="P827">
        <f>VLOOKUP(C827, Customers!A$2:C$301, 3, FALSE)</f>
        <v>28</v>
      </c>
      <c r="Q827" t="str">
        <f>VLOOKUP(E827, Sales_Reps!A$2:C$31, 3, FALSE)</f>
        <v>West</v>
      </c>
      <c r="R827">
        <f>VLOOKUP(D827, Products!A$2:D$61, 4, FALSE)</f>
        <v>675</v>
      </c>
    </row>
    <row r="828" spans="1:18" x14ac:dyDescent="0.3">
      <c r="A828" s="13" t="s">
        <v>1303</v>
      </c>
      <c r="B828" s="14">
        <v>45405</v>
      </c>
      <c r="C828" s="13" t="s">
        <v>1055</v>
      </c>
      <c r="D828" s="13" t="s">
        <v>184</v>
      </c>
      <c r="E828" s="13" t="s">
        <v>215</v>
      </c>
      <c r="F828" s="15">
        <v>4</v>
      </c>
      <c r="G828" s="15">
        <v>4880</v>
      </c>
      <c r="H828" s="15">
        <v>12.2</v>
      </c>
      <c r="I828" s="15">
        <v>17138.560000000001</v>
      </c>
      <c r="J828" s="13" t="s">
        <v>140</v>
      </c>
      <c r="K828" s="13" t="s">
        <v>112</v>
      </c>
      <c r="L828">
        <f>IF(COUNTIF(A$2:A828, A828)=1, IF(COUNTIF(A$2:A$2001, A828)&gt;1, 1, 0), 0)</f>
        <v>0</v>
      </c>
      <c r="M828" t="b">
        <f>VLOOKUP(D828, Products!A$2:F$61, 6, FALSE)</f>
        <v>1</v>
      </c>
      <c r="N828" t="str">
        <f>VLOOKUP(D828, Products!A$2:C$61, 3, FALSE)</f>
        <v>Beauty</v>
      </c>
      <c r="O828" t="str">
        <f>VLOOKUP(C828, Customers!A$2:E$301, 5, FALSE)</f>
        <v>Retail</v>
      </c>
      <c r="P828">
        <f>VLOOKUP(C828, Customers!A$2:C$301, 3, FALSE)</f>
        <v>37</v>
      </c>
      <c r="Q828" t="str">
        <f>VLOOKUP(E828, Sales_Reps!A$2:C$31, 3, FALSE)</f>
        <v>North</v>
      </c>
      <c r="R828">
        <f>VLOOKUP(D828, Products!A$2:D$61, 4, FALSE)</f>
        <v>2768</v>
      </c>
    </row>
    <row r="829" spans="1:18" x14ac:dyDescent="0.3">
      <c r="A829" s="13" t="s">
        <v>1304</v>
      </c>
      <c r="B829" s="14">
        <v>45419</v>
      </c>
      <c r="C829" s="13" t="s">
        <v>643</v>
      </c>
      <c r="D829" s="13" t="s">
        <v>151</v>
      </c>
      <c r="E829" s="13" t="s">
        <v>107</v>
      </c>
      <c r="F829" s="15">
        <v>5</v>
      </c>
      <c r="G829" s="15">
        <v>2400</v>
      </c>
      <c r="H829" s="15">
        <v>15</v>
      </c>
      <c r="I829" s="15">
        <v>10200</v>
      </c>
      <c r="J829" s="13" t="s">
        <v>87</v>
      </c>
      <c r="K829" s="13" t="s">
        <v>112</v>
      </c>
      <c r="L829">
        <f>IF(COUNTIF(A$2:A829, A829)=1, IF(COUNTIF(A$2:A$2001, A829)&gt;1, 1, 0), 0)</f>
        <v>0</v>
      </c>
      <c r="M829" t="b">
        <f>VLOOKUP(D829, Products!A$2:F$61, 6, FALSE)</f>
        <v>1</v>
      </c>
      <c r="N829" t="str">
        <f>VLOOKUP(D829, Products!A$2:C$61, 3, FALSE)</f>
        <v>Sports</v>
      </c>
      <c r="O829" t="str">
        <f>VLOOKUP(C829, Customers!A$2:E$301, 5, FALSE)</f>
        <v>SMB</v>
      </c>
      <c r="P829">
        <f>VLOOKUP(C829, Customers!A$2:C$301, 3, FALSE)</f>
        <v>27</v>
      </c>
      <c r="Q829" t="str">
        <f>VLOOKUP(E829, Sales_Reps!A$2:C$31, 3, FALSE)</f>
        <v>North</v>
      </c>
      <c r="R829">
        <f>VLOOKUP(D829, Products!A$2:D$61, 4, FALSE)</f>
        <v>974</v>
      </c>
    </row>
    <row r="830" spans="1:18" x14ac:dyDescent="0.3">
      <c r="A830" s="13" t="s">
        <v>1305</v>
      </c>
      <c r="B830" s="14">
        <v>45522</v>
      </c>
      <c r="C830" s="13" t="s">
        <v>308</v>
      </c>
      <c r="D830" s="13" t="s">
        <v>292</v>
      </c>
      <c r="E830" s="13" t="s">
        <v>188</v>
      </c>
      <c r="F830" s="15">
        <v>9</v>
      </c>
      <c r="G830" s="15">
        <v>620</v>
      </c>
      <c r="H830" s="15">
        <v>20.399999999999999</v>
      </c>
      <c r="I830" s="15">
        <v>4441.68</v>
      </c>
      <c r="J830" s="13" t="s">
        <v>93</v>
      </c>
      <c r="K830" s="13" t="s">
        <v>88</v>
      </c>
      <c r="L830">
        <f>IF(COUNTIF(A$2:A830, A830)=1, IF(COUNTIF(A$2:A$2001, A830)&gt;1, 1, 0), 0)</f>
        <v>0</v>
      </c>
      <c r="M830" t="b">
        <f>VLOOKUP(D830, Products!A$2:F$61, 6, FALSE)</f>
        <v>1</v>
      </c>
      <c r="N830" t="str">
        <f>VLOOKUP(D830, Products!A$2:C$61, 3, FALSE)</f>
        <v>Apparel</v>
      </c>
      <c r="O830" t="str">
        <f>VLOOKUP(C830, Customers!A$2:E$301, 5, FALSE)</f>
        <v>SMB</v>
      </c>
      <c r="P830">
        <f>VLOOKUP(C830, Customers!A$2:C$301, 3, FALSE)</f>
        <v>54</v>
      </c>
      <c r="Q830" t="str">
        <f>VLOOKUP(E830, Sales_Reps!A$2:C$31, 3, FALSE)</f>
        <v>South</v>
      </c>
      <c r="R830">
        <f>VLOOKUP(D830, Products!A$2:D$61, 4, FALSE)</f>
        <v>396</v>
      </c>
    </row>
    <row r="831" spans="1:18" x14ac:dyDescent="0.3">
      <c r="A831" s="13" t="s">
        <v>1306</v>
      </c>
      <c r="B831" s="14">
        <v>45513</v>
      </c>
      <c r="C831" s="13" t="s">
        <v>738</v>
      </c>
      <c r="D831" s="13" t="s">
        <v>270</v>
      </c>
      <c r="E831" s="13" t="s">
        <v>252</v>
      </c>
      <c r="F831" s="15">
        <v>1</v>
      </c>
      <c r="G831" s="15">
        <v>4610</v>
      </c>
      <c r="H831" s="15">
        <v>1.8</v>
      </c>
      <c r="I831" s="15">
        <v>4527.0200000000004</v>
      </c>
      <c r="J831" s="13" t="s">
        <v>93</v>
      </c>
      <c r="K831" s="13" t="s">
        <v>88</v>
      </c>
      <c r="L831">
        <f>IF(COUNTIF(A$2:A831, A831)=1, IF(COUNTIF(A$2:A$2001, A831)&gt;1, 1, 0), 0)</f>
        <v>0</v>
      </c>
      <c r="M831" t="b">
        <f>VLOOKUP(D831, Products!A$2:F$61, 6, FALSE)</f>
        <v>1</v>
      </c>
      <c r="N831" t="str">
        <f>VLOOKUP(D831, Products!A$2:C$61, 3, FALSE)</f>
        <v>Home</v>
      </c>
      <c r="O831" t="str">
        <f>VLOOKUP(C831, Customers!A$2:E$301, 5, FALSE)</f>
        <v>Retail</v>
      </c>
      <c r="P831">
        <f>VLOOKUP(C831, Customers!A$2:C$301, 3, FALSE)</f>
        <v>36</v>
      </c>
      <c r="Q831" t="str">
        <f>VLOOKUP(E831, Sales_Reps!A$2:C$31, 3, FALSE)</f>
        <v>South</v>
      </c>
      <c r="R831">
        <f>VLOOKUP(D831, Products!A$2:D$61, 4, FALSE)</f>
        <v>1850</v>
      </c>
    </row>
    <row r="832" spans="1:18" x14ac:dyDescent="0.3">
      <c r="A832" s="13" t="s">
        <v>1307</v>
      </c>
      <c r="B832" s="14">
        <v>45500</v>
      </c>
      <c r="C832" s="13" t="s">
        <v>1308</v>
      </c>
      <c r="D832" s="13" t="s">
        <v>270</v>
      </c>
      <c r="E832" s="13" t="s">
        <v>98</v>
      </c>
      <c r="F832" s="15">
        <v>7</v>
      </c>
      <c r="G832" s="15">
        <v>4610</v>
      </c>
      <c r="H832" s="15">
        <v>27</v>
      </c>
      <c r="I832" s="15">
        <v>23557.1</v>
      </c>
      <c r="J832" s="13" t="s">
        <v>87</v>
      </c>
      <c r="K832" s="13" t="s">
        <v>94</v>
      </c>
      <c r="L832">
        <f>IF(COUNTIF(A$2:A832, A832)=1, IF(COUNTIF(A$2:A$2001, A832)&gt;1, 1, 0), 0)</f>
        <v>0</v>
      </c>
      <c r="M832" t="b">
        <f>VLOOKUP(D832, Products!A$2:F$61, 6, FALSE)</f>
        <v>1</v>
      </c>
      <c r="N832" t="str">
        <f>VLOOKUP(D832, Products!A$2:C$61, 3, FALSE)</f>
        <v>Home</v>
      </c>
      <c r="O832" t="str">
        <f>VLOOKUP(C832, Customers!A$2:E$301, 5, FALSE)</f>
        <v>SMB</v>
      </c>
      <c r="P832">
        <f>VLOOKUP(C832, Customers!A$2:C$301, 3, FALSE)</f>
        <v>51</v>
      </c>
      <c r="Q832" t="str">
        <f>VLOOKUP(E832, Sales_Reps!A$2:C$31, 3, FALSE)</f>
        <v>South</v>
      </c>
      <c r="R832">
        <f>VLOOKUP(D832, Products!A$2:D$61, 4, FALSE)</f>
        <v>1850</v>
      </c>
    </row>
    <row r="833" spans="1:18" x14ac:dyDescent="0.3">
      <c r="A833" s="13" t="s">
        <v>1309</v>
      </c>
      <c r="B833" s="14">
        <v>45608</v>
      </c>
      <c r="C833" s="13" t="s">
        <v>966</v>
      </c>
      <c r="D833" s="13" t="s">
        <v>127</v>
      </c>
      <c r="E833" s="13" t="s">
        <v>229</v>
      </c>
      <c r="F833" s="15">
        <v>6</v>
      </c>
      <c r="G833" s="15">
        <v>970</v>
      </c>
      <c r="H833" s="15">
        <v>4.7</v>
      </c>
      <c r="I833" s="15">
        <v>5546.46</v>
      </c>
      <c r="J833" s="13" t="s">
        <v>140</v>
      </c>
      <c r="K833" s="13" t="s">
        <v>133</v>
      </c>
      <c r="L833">
        <f>IF(COUNTIF(A$2:A833, A833)=1, IF(COUNTIF(A$2:A$2001, A833)&gt;1, 1, 0), 0)</f>
        <v>0</v>
      </c>
      <c r="M833" t="b">
        <f>VLOOKUP(D833, Products!A$2:F$61, 6, FALSE)</f>
        <v>1</v>
      </c>
      <c r="N833" t="str">
        <f>VLOOKUP(D833, Products!A$2:C$61, 3, FALSE)</f>
        <v>Grocery</v>
      </c>
      <c r="O833" t="str">
        <f>VLOOKUP(C833, Customers!A$2:E$301, 5, FALSE)</f>
        <v>SMB</v>
      </c>
      <c r="P833">
        <f>VLOOKUP(C833, Customers!A$2:C$301, 3, FALSE)</f>
        <v>31</v>
      </c>
      <c r="Q833" t="str">
        <f>VLOOKUP(E833, Sales_Reps!A$2:C$31, 3, FALSE)</f>
        <v>West</v>
      </c>
      <c r="R833">
        <f>VLOOKUP(D833, Products!A$2:D$61, 4, FALSE)</f>
        <v>434</v>
      </c>
    </row>
    <row r="834" spans="1:18" x14ac:dyDescent="0.3">
      <c r="A834" s="13" t="s">
        <v>1310</v>
      </c>
      <c r="B834" s="14">
        <v>45362</v>
      </c>
      <c r="C834" s="13" t="s">
        <v>472</v>
      </c>
      <c r="D834" s="13" t="s">
        <v>120</v>
      </c>
      <c r="E834" s="13" t="s">
        <v>201</v>
      </c>
      <c r="F834" s="15">
        <v>8</v>
      </c>
      <c r="G834" s="15">
        <v>1430</v>
      </c>
      <c r="H834" s="15">
        <v>8.6999999999999993</v>
      </c>
      <c r="I834" s="15">
        <v>10444.719999999999</v>
      </c>
      <c r="J834" s="13" t="s">
        <v>87</v>
      </c>
      <c r="K834" s="13" t="s">
        <v>94</v>
      </c>
      <c r="L834">
        <f>IF(COUNTIF(A$2:A834, A834)=1, IF(COUNTIF(A$2:A$2001, A834)&gt;1, 1, 0), 0)</f>
        <v>0</v>
      </c>
      <c r="M834" t="b">
        <f>VLOOKUP(D834, Products!A$2:F$61, 6, FALSE)</f>
        <v>1</v>
      </c>
      <c r="N834" t="str">
        <f>VLOOKUP(D834, Products!A$2:C$61, 3, FALSE)</f>
        <v>Electronics</v>
      </c>
      <c r="O834" t="str">
        <f>VLOOKUP(C834, Customers!A$2:E$301, 5, FALSE)</f>
        <v>Corporate</v>
      </c>
      <c r="P834">
        <f>VLOOKUP(C834, Customers!A$2:C$301, 3, FALSE)</f>
        <v>35</v>
      </c>
      <c r="Q834" t="str">
        <f>VLOOKUP(E834, Sales_Reps!A$2:C$31, 3, FALSE)</f>
        <v>West</v>
      </c>
      <c r="R834">
        <f>VLOOKUP(D834, Products!A$2:D$61, 4, FALSE)</f>
        <v>861</v>
      </c>
    </row>
    <row r="835" spans="1:18" x14ac:dyDescent="0.3">
      <c r="A835" s="13" t="s">
        <v>1311</v>
      </c>
      <c r="B835" s="14">
        <v>45348</v>
      </c>
      <c r="C835" s="13" t="s">
        <v>219</v>
      </c>
      <c r="D835" s="13" t="s">
        <v>234</v>
      </c>
      <c r="E835" s="13" t="s">
        <v>273</v>
      </c>
      <c r="F835" s="15">
        <v>5</v>
      </c>
      <c r="G835" s="15">
        <v>3780</v>
      </c>
      <c r="H835" s="15">
        <v>2.9</v>
      </c>
      <c r="I835" s="15">
        <v>18351.900000000001</v>
      </c>
      <c r="J835" s="13" t="s">
        <v>87</v>
      </c>
      <c r="K835" s="13" t="s">
        <v>99</v>
      </c>
      <c r="L835">
        <f>IF(COUNTIF(A$2:A835, A835)=1, IF(COUNTIF(A$2:A$2001, A835)&gt;1, 1, 0), 0)</f>
        <v>0</v>
      </c>
      <c r="M835" t="b">
        <f>VLOOKUP(D835, Products!A$2:F$61, 6, FALSE)</f>
        <v>1</v>
      </c>
      <c r="N835" t="str">
        <f>VLOOKUP(D835, Products!A$2:C$61, 3, FALSE)</f>
        <v>Grocery</v>
      </c>
      <c r="O835" t="str">
        <f>VLOOKUP(C835, Customers!A$2:E$301, 5, FALSE)</f>
        <v>SMB</v>
      </c>
      <c r="P835">
        <f>VLOOKUP(C835, Customers!A$2:C$301, 3, FALSE)</f>
        <v>50</v>
      </c>
      <c r="Q835" t="str">
        <f>VLOOKUP(E835, Sales_Reps!A$2:C$31, 3, FALSE)</f>
        <v>South</v>
      </c>
      <c r="R835">
        <f>VLOOKUP(D835, Products!A$2:D$61, 4, FALSE)</f>
        <v>2436</v>
      </c>
    </row>
    <row r="836" spans="1:18" x14ac:dyDescent="0.3">
      <c r="A836" s="13" t="s">
        <v>1312</v>
      </c>
      <c r="B836" s="14">
        <v>45532</v>
      </c>
      <c r="C836" s="13" t="s">
        <v>501</v>
      </c>
      <c r="D836" s="13" t="s">
        <v>259</v>
      </c>
      <c r="E836" s="13" t="s">
        <v>154</v>
      </c>
      <c r="F836" s="15">
        <v>2</v>
      </c>
      <c r="G836" s="15">
        <v>1540</v>
      </c>
      <c r="H836" s="15">
        <v>12.7</v>
      </c>
      <c r="I836" s="15">
        <v>2688.84</v>
      </c>
      <c r="J836" s="13" t="s">
        <v>87</v>
      </c>
      <c r="K836" s="13" t="s">
        <v>133</v>
      </c>
      <c r="L836">
        <f>IF(COUNTIF(A$2:A836, A836)=1, IF(COUNTIF(A$2:A$2001, A836)&gt;1, 1, 0), 0)</f>
        <v>0</v>
      </c>
      <c r="M836" t="b">
        <f>VLOOKUP(D836, Products!A$2:F$61, 6, FALSE)</f>
        <v>0</v>
      </c>
      <c r="N836" t="str">
        <f>VLOOKUP(D836, Products!A$2:C$61, 3, FALSE)</f>
        <v>Beauty</v>
      </c>
      <c r="O836" t="str">
        <f>VLOOKUP(C836, Customers!A$2:E$301, 5, FALSE)</f>
        <v>SMB</v>
      </c>
      <c r="P836">
        <f>VLOOKUP(C836, Customers!A$2:C$301, 3, FALSE)</f>
        <v>65</v>
      </c>
      <c r="Q836" t="str">
        <f>VLOOKUP(E836, Sales_Reps!A$2:C$31, 3, FALSE)</f>
        <v>East</v>
      </c>
      <c r="R836">
        <f>VLOOKUP(D836, Products!A$2:D$61, 4, FALSE)</f>
        <v>647</v>
      </c>
    </row>
    <row r="837" spans="1:18" x14ac:dyDescent="0.3">
      <c r="A837" s="13" t="s">
        <v>1313</v>
      </c>
      <c r="B837" s="14">
        <v>45492</v>
      </c>
      <c r="C837" s="13" t="s">
        <v>1172</v>
      </c>
      <c r="D837" s="13" t="s">
        <v>164</v>
      </c>
      <c r="E837" s="13" t="s">
        <v>192</v>
      </c>
      <c r="F837" s="15">
        <v>9</v>
      </c>
      <c r="G837" s="15">
        <v>1080</v>
      </c>
      <c r="H837" s="15">
        <v>11.2</v>
      </c>
      <c r="I837" s="15">
        <v>8631.36</v>
      </c>
      <c r="J837" s="13" t="s">
        <v>140</v>
      </c>
      <c r="K837" s="13" t="s">
        <v>88</v>
      </c>
      <c r="L837">
        <f>IF(COUNTIF(A$2:A837, A837)=1, IF(COUNTIF(A$2:A$2001, A837)&gt;1, 1, 0), 0)</f>
        <v>0</v>
      </c>
      <c r="M837" t="b">
        <f>VLOOKUP(D837, Products!A$2:F$61, 6, FALSE)</f>
        <v>1</v>
      </c>
      <c r="N837" t="str">
        <f>VLOOKUP(D837, Products!A$2:C$61, 3, FALSE)</f>
        <v>Home</v>
      </c>
      <c r="O837" t="str">
        <f>VLOOKUP(C837, Customers!A$2:E$301, 5, FALSE)</f>
        <v>Retail</v>
      </c>
      <c r="P837">
        <f>VLOOKUP(C837, Customers!A$2:C$301, 3, FALSE)</f>
        <v>39</v>
      </c>
      <c r="Q837" t="str">
        <f>VLOOKUP(E837, Sales_Reps!A$2:C$31, 3, FALSE)</f>
        <v>East</v>
      </c>
      <c r="R837">
        <f>VLOOKUP(D837, Products!A$2:D$61, 4, FALSE)</f>
        <v>519</v>
      </c>
    </row>
    <row r="838" spans="1:18" x14ac:dyDescent="0.3">
      <c r="A838" s="13" t="s">
        <v>1314</v>
      </c>
      <c r="B838" s="14">
        <v>45368</v>
      </c>
      <c r="C838" s="13" t="s">
        <v>948</v>
      </c>
      <c r="D838" s="13" t="s">
        <v>151</v>
      </c>
      <c r="E838" s="13" t="s">
        <v>86</v>
      </c>
      <c r="F838" s="15">
        <v>3</v>
      </c>
      <c r="G838" s="15">
        <v>2400</v>
      </c>
      <c r="H838" s="15">
        <v>28.6</v>
      </c>
      <c r="I838" s="15">
        <v>5140.8</v>
      </c>
      <c r="J838" s="13" t="s">
        <v>87</v>
      </c>
      <c r="K838" s="13" t="s">
        <v>88</v>
      </c>
      <c r="L838">
        <f>IF(COUNTIF(A$2:A838, A838)=1, IF(COUNTIF(A$2:A$2001, A838)&gt;1, 1, 0), 0)</f>
        <v>0</v>
      </c>
      <c r="M838" t="b">
        <f>VLOOKUP(D838, Products!A$2:F$61, 6, FALSE)</f>
        <v>1</v>
      </c>
      <c r="N838" t="str">
        <f>VLOOKUP(D838, Products!A$2:C$61, 3, FALSE)</f>
        <v>Sports</v>
      </c>
      <c r="O838" t="str">
        <f>VLOOKUP(C838, Customers!A$2:E$301, 5, FALSE)</f>
        <v>Retail</v>
      </c>
      <c r="P838">
        <f>VLOOKUP(C838, Customers!A$2:C$301, 3, FALSE)</f>
        <v>65</v>
      </c>
      <c r="Q838" t="str">
        <f>VLOOKUP(E838, Sales_Reps!A$2:C$31, 3, FALSE)</f>
        <v>North</v>
      </c>
      <c r="R838">
        <f>VLOOKUP(D838, Products!A$2:D$61, 4, FALSE)</f>
        <v>974</v>
      </c>
    </row>
    <row r="839" spans="1:18" x14ac:dyDescent="0.3">
      <c r="A839" s="13" t="s">
        <v>1315</v>
      </c>
      <c r="B839" s="14">
        <v>45448</v>
      </c>
      <c r="C839" s="13" t="s">
        <v>153</v>
      </c>
      <c r="D839" s="13" t="s">
        <v>164</v>
      </c>
      <c r="E839" s="13" t="s">
        <v>303</v>
      </c>
      <c r="F839" s="15">
        <v>5</v>
      </c>
      <c r="G839" s="15">
        <v>1080</v>
      </c>
      <c r="H839" s="15">
        <v>18.3</v>
      </c>
      <c r="I839" s="15">
        <v>4411.8</v>
      </c>
      <c r="J839" s="13" t="s">
        <v>87</v>
      </c>
      <c r="K839" s="13" t="s">
        <v>117</v>
      </c>
      <c r="L839">
        <f>IF(COUNTIF(A$2:A839, A839)=1, IF(COUNTIF(A$2:A$2001, A839)&gt;1, 1, 0), 0)</f>
        <v>0</v>
      </c>
      <c r="M839" t="b">
        <f>VLOOKUP(D839, Products!A$2:F$61, 6, FALSE)</f>
        <v>1</v>
      </c>
      <c r="N839" t="str">
        <f>VLOOKUP(D839, Products!A$2:C$61, 3, FALSE)</f>
        <v>Home</v>
      </c>
      <c r="O839" t="str">
        <f>VLOOKUP(C839, Customers!A$2:E$301, 5, FALSE)</f>
        <v>SMB</v>
      </c>
      <c r="P839">
        <f>VLOOKUP(C839, Customers!A$2:C$301, 3, FALSE)</f>
        <v>46</v>
      </c>
      <c r="Q839" t="str">
        <f>VLOOKUP(E839, Sales_Reps!A$2:C$31, 3, FALSE)</f>
        <v>East</v>
      </c>
      <c r="R839">
        <f>VLOOKUP(D839, Products!A$2:D$61, 4, FALSE)</f>
        <v>519</v>
      </c>
    </row>
    <row r="840" spans="1:18" x14ac:dyDescent="0.3">
      <c r="A840" s="13" t="s">
        <v>1316</v>
      </c>
      <c r="B840" s="14">
        <v>45610</v>
      </c>
      <c r="C840" s="13" t="s">
        <v>401</v>
      </c>
      <c r="D840" s="13" t="s">
        <v>131</v>
      </c>
      <c r="E840" s="13" t="s">
        <v>343</v>
      </c>
      <c r="F840" s="15">
        <v>7</v>
      </c>
      <c r="G840" s="15">
        <v>2270</v>
      </c>
      <c r="H840" s="15">
        <v>1.7</v>
      </c>
      <c r="I840" s="15">
        <v>15619.87</v>
      </c>
      <c r="J840" s="13" t="s">
        <v>140</v>
      </c>
      <c r="K840" s="13" t="s">
        <v>94</v>
      </c>
      <c r="L840">
        <f>IF(COUNTIF(A$2:A840, A840)=1, IF(COUNTIF(A$2:A$2001, A840)&gt;1, 1, 0), 0)</f>
        <v>0</v>
      </c>
      <c r="M840" t="b">
        <f>VLOOKUP(D840, Products!A$2:F$61, 6, FALSE)</f>
        <v>1</v>
      </c>
      <c r="N840" t="str">
        <f>VLOOKUP(D840, Products!A$2:C$61, 3, FALSE)</f>
        <v>Grocery</v>
      </c>
      <c r="O840" t="str">
        <f>VLOOKUP(C840, Customers!A$2:E$301, 5, FALSE)</f>
        <v>SMB</v>
      </c>
      <c r="P840">
        <f>VLOOKUP(C840, Customers!A$2:C$301, 3, FALSE)</f>
        <v>51</v>
      </c>
      <c r="Q840" t="str">
        <f>VLOOKUP(E840, Sales_Reps!A$2:C$31, 3, FALSE)</f>
        <v>West</v>
      </c>
      <c r="R840">
        <f>VLOOKUP(D840, Products!A$2:D$61, 4, FALSE)</f>
        <v>1203</v>
      </c>
    </row>
    <row r="841" spans="1:18" x14ac:dyDescent="0.3">
      <c r="A841" s="13" t="s">
        <v>1317</v>
      </c>
      <c r="B841" s="14">
        <v>45438</v>
      </c>
      <c r="C841" s="13" t="s">
        <v>643</v>
      </c>
      <c r="D841" s="13" t="s">
        <v>102</v>
      </c>
      <c r="E841" s="13" t="s">
        <v>201</v>
      </c>
      <c r="F841" s="15">
        <v>8</v>
      </c>
      <c r="G841" s="15">
        <v>3660</v>
      </c>
      <c r="H841" s="15">
        <v>19.100000000000001</v>
      </c>
      <c r="I841" s="15">
        <v>23687.52</v>
      </c>
      <c r="J841" s="13" t="s">
        <v>140</v>
      </c>
      <c r="K841" s="13" t="s">
        <v>112</v>
      </c>
      <c r="L841">
        <f>IF(COUNTIF(A$2:A841, A841)=1, IF(COUNTIF(A$2:A$2001, A841)&gt;1, 1, 0), 0)</f>
        <v>0</v>
      </c>
      <c r="M841" t="b">
        <f>VLOOKUP(D841, Products!A$2:F$61, 6, FALSE)</f>
        <v>0</v>
      </c>
      <c r="N841" t="str">
        <f>VLOOKUP(D841, Products!A$2:C$61, 3, FALSE)</f>
        <v>Grocery</v>
      </c>
      <c r="O841" t="str">
        <f>VLOOKUP(C841, Customers!A$2:E$301, 5, FALSE)</f>
        <v>SMB</v>
      </c>
      <c r="P841">
        <f>VLOOKUP(C841, Customers!A$2:C$301, 3, FALSE)</f>
        <v>27</v>
      </c>
      <c r="Q841" t="str">
        <f>VLOOKUP(E841, Sales_Reps!A$2:C$31, 3, FALSE)</f>
        <v>West</v>
      </c>
      <c r="R841">
        <f>VLOOKUP(D841, Products!A$2:D$61, 4, FALSE)</f>
        <v>2214</v>
      </c>
    </row>
    <row r="842" spans="1:18" x14ac:dyDescent="0.3">
      <c r="A842" s="13" t="s">
        <v>1318</v>
      </c>
      <c r="B842" s="14">
        <v>45477</v>
      </c>
      <c r="C842" s="13" t="s">
        <v>533</v>
      </c>
      <c r="D842" s="13" t="s">
        <v>143</v>
      </c>
      <c r="E842" s="13" t="s">
        <v>148</v>
      </c>
      <c r="F842" s="15">
        <v>5</v>
      </c>
      <c r="G842" s="15">
        <v>3250</v>
      </c>
      <c r="H842" s="15">
        <v>12.9</v>
      </c>
      <c r="I842" s="15">
        <v>14153.75</v>
      </c>
      <c r="J842" s="13" t="s">
        <v>87</v>
      </c>
      <c r="K842" s="13" t="s">
        <v>99</v>
      </c>
      <c r="L842">
        <f>IF(COUNTIF(A$2:A842, A842)=1, IF(COUNTIF(A$2:A$2001, A842)&gt;1, 1, 0), 0)</f>
        <v>0</v>
      </c>
      <c r="M842" t="b">
        <f>VLOOKUP(D842, Products!A$2:F$61, 6, FALSE)</f>
        <v>1</v>
      </c>
      <c r="N842" t="str">
        <f>VLOOKUP(D842, Products!A$2:C$61, 3, FALSE)</f>
        <v>Home</v>
      </c>
      <c r="O842" t="str">
        <f>VLOOKUP(C842, Customers!A$2:E$301, 5, FALSE)</f>
        <v>SMB</v>
      </c>
      <c r="P842">
        <f>VLOOKUP(C842, Customers!A$2:C$301, 3, FALSE)</f>
        <v>48</v>
      </c>
      <c r="Q842" t="str">
        <f>VLOOKUP(E842, Sales_Reps!A$2:C$31, 3, FALSE)</f>
        <v>North</v>
      </c>
      <c r="R842">
        <f>VLOOKUP(D842, Products!A$2:D$61, 4, FALSE)</f>
        <v>1556</v>
      </c>
    </row>
    <row r="843" spans="1:18" x14ac:dyDescent="0.3">
      <c r="A843" s="13" t="s">
        <v>1319</v>
      </c>
      <c r="B843" s="14">
        <v>45328</v>
      </c>
      <c r="C843" s="13" t="s">
        <v>563</v>
      </c>
      <c r="D843" s="13" t="s">
        <v>176</v>
      </c>
      <c r="E843" s="13" t="s">
        <v>325</v>
      </c>
      <c r="F843" s="15">
        <v>4</v>
      </c>
      <c r="G843" s="15">
        <v>1650</v>
      </c>
      <c r="H843" s="15">
        <v>4.0999999999999996</v>
      </c>
      <c r="I843" s="15">
        <v>6329.4</v>
      </c>
      <c r="J843" s="13" t="s">
        <v>87</v>
      </c>
      <c r="K843" s="13" t="s">
        <v>88</v>
      </c>
      <c r="L843">
        <f>IF(COUNTIF(A$2:A843, A843)=1, IF(COUNTIF(A$2:A$2001, A843)&gt;1, 1, 0), 0)</f>
        <v>0</v>
      </c>
      <c r="M843" t="b">
        <f>VLOOKUP(D843, Products!A$2:F$61, 6, FALSE)</f>
        <v>1</v>
      </c>
      <c r="N843" t="str">
        <f>VLOOKUP(D843, Products!A$2:C$61, 3, FALSE)</f>
        <v>Beauty</v>
      </c>
      <c r="O843" t="str">
        <f>VLOOKUP(C843, Customers!A$2:E$301, 5, FALSE)</f>
        <v>SMB</v>
      </c>
      <c r="P843">
        <f>VLOOKUP(C843, Customers!A$2:C$301, 3, FALSE)</f>
        <v>24</v>
      </c>
      <c r="Q843" t="str">
        <f>VLOOKUP(E843, Sales_Reps!A$2:C$31, 3, FALSE)</f>
        <v>South</v>
      </c>
      <c r="R843">
        <f>VLOOKUP(D843, Products!A$2:D$61, 4, FALSE)</f>
        <v>1222</v>
      </c>
    </row>
    <row r="844" spans="1:18" x14ac:dyDescent="0.3">
      <c r="A844" s="13" t="s">
        <v>1320</v>
      </c>
      <c r="B844" s="14">
        <v>45624</v>
      </c>
      <c r="C844" s="13" t="s">
        <v>294</v>
      </c>
      <c r="D844" s="13" t="s">
        <v>443</v>
      </c>
      <c r="E844" s="13" t="s">
        <v>148</v>
      </c>
      <c r="F844" s="15">
        <v>6</v>
      </c>
      <c r="G844" s="15">
        <v>5080</v>
      </c>
      <c r="H844" s="15">
        <v>3</v>
      </c>
      <c r="I844" s="15">
        <v>29565.599999999999</v>
      </c>
      <c r="J844" s="13" t="s">
        <v>87</v>
      </c>
      <c r="K844" s="13" t="s">
        <v>133</v>
      </c>
      <c r="L844">
        <f>IF(COUNTIF(A$2:A844, A844)=1, IF(COUNTIF(A$2:A$2001, A844)&gt;1, 1, 0), 0)</f>
        <v>0</v>
      </c>
      <c r="M844" t="b">
        <f>VLOOKUP(D844, Products!A$2:F$61, 6, FALSE)</f>
        <v>1</v>
      </c>
      <c r="N844" t="str">
        <f>VLOOKUP(D844, Products!A$2:C$61, 3, FALSE)</f>
        <v>Home</v>
      </c>
      <c r="O844" t="str">
        <f>VLOOKUP(C844, Customers!A$2:E$301, 5, FALSE)</f>
        <v>SMB</v>
      </c>
      <c r="P844">
        <f>VLOOKUP(C844, Customers!A$2:C$301, 3, FALSE)</f>
        <v>43</v>
      </c>
      <c r="Q844" t="str">
        <f>VLOOKUP(E844, Sales_Reps!A$2:C$31, 3, FALSE)</f>
        <v>North</v>
      </c>
      <c r="R844">
        <f>VLOOKUP(D844, Products!A$2:D$61, 4, FALSE)</f>
        <v>2459</v>
      </c>
    </row>
    <row r="845" spans="1:18" x14ac:dyDescent="0.3">
      <c r="A845" s="13" t="s">
        <v>1321</v>
      </c>
      <c r="B845" s="14">
        <v>45614</v>
      </c>
      <c r="C845" s="13" t="s">
        <v>990</v>
      </c>
      <c r="D845" s="13" t="s">
        <v>161</v>
      </c>
      <c r="E845" s="13" t="s">
        <v>343</v>
      </c>
      <c r="F845" s="15">
        <v>8</v>
      </c>
      <c r="G845" s="15">
        <v>3450</v>
      </c>
      <c r="H845" s="15">
        <v>20.9</v>
      </c>
      <c r="I845" s="15">
        <v>21831.599999999999</v>
      </c>
      <c r="J845" s="13" t="s">
        <v>87</v>
      </c>
      <c r="K845" s="13" t="s">
        <v>117</v>
      </c>
      <c r="L845">
        <f>IF(COUNTIF(A$2:A845, A845)=1, IF(COUNTIF(A$2:A$2001, A845)&gt;1, 1, 0), 0)</f>
        <v>0</v>
      </c>
      <c r="M845" t="b">
        <f>VLOOKUP(D845, Products!A$2:F$61, 6, FALSE)</f>
        <v>1</v>
      </c>
      <c r="N845" t="str">
        <f>VLOOKUP(D845, Products!A$2:C$61, 3, FALSE)</f>
        <v>Sports</v>
      </c>
      <c r="O845" t="str">
        <f>VLOOKUP(C845, Customers!A$2:E$301, 5, FALSE)</f>
        <v>Retail</v>
      </c>
      <c r="P845">
        <f>VLOOKUP(C845, Customers!A$2:C$301, 3, FALSE)</f>
        <v>61</v>
      </c>
      <c r="Q845" t="str">
        <f>VLOOKUP(E845, Sales_Reps!A$2:C$31, 3, FALSE)</f>
        <v>West</v>
      </c>
      <c r="R845">
        <f>VLOOKUP(D845, Products!A$2:D$61, 4, FALSE)</f>
        <v>2467</v>
      </c>
    </row>
    <row r="846" spans="1:18" x14ac:dyDescent="0.3">
      <c r="A846" s="13" t="s">
        <v>1322</v>
      </c>
      <c r="B846" s="14">
        <v>45429</v>
      </c>
      <c r="C846" s="13" t="s">
        <v>301</v>
      </c>
      <c r="D846" s="13" t="s">
        <v>179</v>
      </c>
      <c r="E846" s="13" t="s">
        <v>303</v>
      </c>
      <c r="F846" s="15">
        <v>6</v>
      </c>
      <c r="G846" s="15">
        <v>3350</v>
      </c>
      <c r="H846" s="15">
        <v>24.8</v>
      </c>
      <c r="I846" s="15">
        <v>15115.2</v>
      </c>
      <c r="J846" s="13" t="s">
        <v>87</v>
      </c>
      <c r="K846" s="13" t="s">
        <v>94</v>
      </c>
      <c r="L846">
        <f>IF(COUNTIF(A$2:A846, A846)=1, IF(COUNTIF(A$2:A$2001, A846)&gt;1, 1, 0), 0)</f>
        <v>0</v>
      </c>
      <c r="M846" t="b">
        <f>VLOOKUP(D846, Products!A$2:F$61, 6, FALSE)</f>
        <v>1</v>
      </c>
      <c r="N846" t="str">
        <f>VLOOKUP(D846, Products!A$2:C$61, 3, FALSE)</f>
        <v>Beauty</v>
      </c>
      <c r="O846" t="str">
        <f>VLOOKUP(C846, Customers!A$2:E$301, 5, FALSE)</f>
        <v>Retail</v>
      </c>
      <c r="P846">
        <f>VLOOKUP(C846, Customers!A$2:C$301, 3, FALSE)</f>
        <v>41</v>
      </c>
      <c r="Q846" t="str">
        <f>VLOOKUP(E846, Sales_Reps!A$2:C$31, 3, FALSE)</f>
        <v>East</v>
      </c>
      <c r="R846">
        <f>VLOOKUP(D846, Products!A$2:D$61, 4, FALSE)</f>
        <v>1728</v>
      </c>
    </row>
    <row r="847" spans="1:18" x14ac:dyDescent="0.3">
      <c r="A847" s="13" t="s">
        <v>1323</v>
      </c>
      <c r="B847" s="14">
        <v>45451</v>
      </c>
      <c r="C847" s="13" t="s">
        <v>669</v>
      </c>
      <c r="D847" s="13" t="s">
        <v>338</v>
      </c>
      <c r="E847" s="13" t="s">
        <v>343</v>
      </c>
      <c r="F847" s="15">
        <v>10</v>
      </c>
      <c r="G847" s="15">
        <v>2210</v>
      </c>
      <c r="H847" s="15">
        <v>4.2</v>
      </c>
      <c r="I847" s="15">
        <v>21171.8</v>
      </c>
      <c r="J847" s="13" t="s">
        <v>87</v>
      </c>
      <c r="K847" s="13" t="s">
        <v>133</v>
      </c>
      <c r="L847">
        <f>IF(COUNTIF(A$2:A847, A847)=1, IF(COUNTIF(A$2:A$2001, A847)&gt;1, 1, 0), 0)</f>
        <v>0</v>
      </c>
      <c r="M847" t="b">
        <f>VLOOKUP(D847, Products!A$2:F$61, 6, FALSE)</f>
        <v>1</v>
      </c>
      <c r="N847" t="str">
        <f>VLOOKUP(D847, Products!A$2:C$61, 3, FALSE)</f>
        <v>Grocery</v>
      </c>
      <c r="O847" t="str">
        <f>VLOOKUP(C847, Customers!A$2:E$301, 5, FALSE)</f>
        <v>Retail</v>
      </c>
      <c r="P847">
        <f>VLOOKUP(C847, Customers!A$2:C$301, 3, FALSE)</f>
        <v>31</v>
      </c>
      <c r="Q847" t="str">
        <f>VLOOKUP(E847, Sales_Reps!A$2:C$31, 3, FALSE)</f>
        <v>West</v>
      </c>
      <c r="R847">
        <f>VLOOKUP(D847, Products!A$2:D$61, 4, FALSE)</f>
        <v>1010</v>
      </c>
    </row>
    <row r="848" spans="1:18" x14ac:dyDescent="0.3">
      <c r="A848" s="13" t="s">
        <v>1324</v>
      </c>
      <c r="B848" s="14">
        <v>45444</v>
      </c>
      <c r="C848" s="13" t="s">
        <v>638</v>
      </c>
      <c r="D848" s="13" t="s">
        <v>184</v>
      </c>
      <c r="E848" s="13" t="s">
        <v>103</v>
      </c>
      <c r="F848" s="15">
        <v>10</v>
      </c>
      <c r="G848" s="15">
        <v>4880</v>
      </c>
      <c r="H848" s="15">
        <v>0.7</v>
      </c>
      <c r="I848" s="15">
        <v>48458.400000000001</v>
      </c>
      <c r="J848" s="13" t="s">
        <v>87</v>
      </c>
      <c r="K848" s="13" t="s">
        <v>99</v>
      </c>
      <c r="L848">
        <f>IF(COUNTIF(A$2:A848, A848)=1, IF(COUNTIF(A$2:A$2001, A848)&gt;1, 1, 0), 0)</f>
        <v>0</v>
      </c>
      <c r="M848" t="b">
        <f>VLOOKUP(D848, Products!A$2:F$61, 6, FALSE)</f>
        <v>1</v>
      </c>
      <c r="N848" t="str">
        <f>VLOOKUP(D848, Products!A$2:C$61, 3, FALSE)</f>
        <v>Beauty</v>
      </c>
      <c r="O848" t="str">
        <f>VLOOKUP(C848, Customers!A$2:E$301, 5, FALSE)</f>
        <v>Retail</v>
      </c>
      <c r="P848">
        <f>VLOOKUP(C848, Customers!A$2:C$301, 3, FALSE)</f>
        <v>43</v>
      </c>
      <c r="Q848" t="str">
        <f>VLOOKUP(E848, Sales_Reps!A$2:C$31, 3, FALSE)</f>
        <v>North</v>
      </c>
      <c r="R848">
        <f>VLOOKUP(D848, Products!A$2:D$61, 4, FALSE)</f>
        <v>2768</v>
      </c>
    </row>
    <row r="849" spans="1:18" x14ac:dyDescent="0.3">
      <c r="A849" s="13" t="s">
        <v>1325</v>
      </c>
      <c r="B849" s="14">
        <v>45369</v>
      </c>
      <c r="C849" s="13" t="s">
        <v>163</v>
      </c>
      <c r="D849" s="13" t="s">
        <v>195</v>
      </c>
      <c r="E849" s="13" t="s">
        <v>139</v>
      </c>
      <c r="F849" s="15">
        <v>7</v>
      </c>
      <c r="G849" s="15">
        <v>2860</v>
      </c>
      <c r="H849" s="15">
        <v>28.1</v>
      </c>
      <c r="I849" s="15">
        <v>14394.38</v>
      </c>
      <c r="J849" s="13" t="s">
        <v>93</v>
      </c>
      <c r="K849" s="13" t="s">
        <v>94</v>
      </c>
      <c r="L849">
        <f>IF(COUNTIF(A$2:A849, A849)=1, IF(COUNTIF(A$2:A$2001, A849)&gt;1, 1, 0), 0)</f>
        <v>0</v>
      </c>
      <c r="M849" t="b">
        <f>VLOOKUP(D849, Products!A$2:F$61, 6, FALSE)</f>
        <v>1</v>
      </c>
      <c r="N849" t="str">
        <f>VLOOKUP(D849, Products!A$2:C$61, 3, FALSE)</f>
        <v>Sports</v>
      </c>
      <c r="O849" t="str">
        <f>VLOOKUP(C849, Customers!A$2:E$301, 5, FALSE)</f>
        <v>Retail</v>
      </c>
      <c r="P849">
        <f>VLOOKUP(C849, Customers!A$2:C$301, 3, FALSE)</f>
        <v>49</v>
      </c>
      <c r="Q849" t="str">
        <f>VLOOKUP(E849, Sales_Reps!A$2:C$31, 3, FALSE)</f>
        <v>North</v>
      </c>
      <c r="R849">
        <f>VLOOKUP(D849, Products!A$2:D$61, 4, FALSE)</f>
        <v>2028</v>
      </c>
    </row>
    <row r="850" spans="1:18" x14ac:dyDescent="0.3">
      <c r="A850" s="13" t="s">
        <v>1326</v>
      </c>
      <c r="B850" s="14">
        <v>45581</v>
      </c>
      <c r="C850" s="13" t="s">
        <v>442</v>
      </c>
      <c r="D850" s="13" t="s">
        <v>127</v>
      </c>
      <c r="E850" s="13" t="s">
        <v>92</v>
      </c>
      <c r="F850" s="15">
        <v>3</v>
      </c>
      <c r="G850" s="15">
        <v>970</v>
      </c>
      <c r="H850" s="15">
        <v>28.3</v>
      </c>
      <c r="I850" s="15">
        <v>2086.4699999999998</v>
      </c>
      <c r="J850" s="13" t="s">
        <v>87</v>
      </c>
      <c r="K850" s="13" t="s">
        <v>88</v>
      </c>
      <c r="L850">
        <f>IF(COUNTIF(A$2:A850, A850)=1, IF(COUNTIF(A$2:A$2001, A850)&gt;1, 1, 0), 0)</f>
        <v>0</v>
      </c>
      <c r="M850" t="b">
        <f>VLOOKUP(D850, Products!A$2:F$61, 6, FALSE)</f>
        <v>1</v>
      </c>
      <c r="N850" t="str">
        <f>VLOOKUP(D850, Products!A$2:C$61, 3, FALSE)</f>
        <v>Grocery</v>
      </c>
      <c r="O850" t="str">
        <f>VLOOKUP(C850, Customers!A$2:E$301, 5, FALSE)</f>
        <v>Retail</v>
      </c>
      <c r="P850">
        <f>VLOOKUP(C850, Customers!A$2:C$301, 3, FALSE)</f>
        <v>65</v>
      </c>
      <c r="Q850" t="str">
        <f>VLOOKUP(E850, Sales_Reps!A$2:C$31, 3, FALSE)</f>
        <v>North</v>
      </c>
      <c r="R850">
        <f>VLOOKUP(D850, Products!A$2:D$61, 4, FALSE)</f>
        <v>434</v>
      </c>
    </row>
    <row r="851" spans="1:18" x14ac:dyDescent="0.3">
      <c r="A851" s="13" t="s">
        <v>1327</v>
      </c>
      <c r="B851" s="14">
        <v>45494</v>
      </c>
      <c r="C851" s="13" t="s">
        <v>977</v>
      </c>
      <c r="D851" s="13" t="s">
        <v>245</v>
      </c>
      <c r="E851" s="13" t="s">
        <v>107</v>
      </c>
      <c r="F851" s="15">
        <v>1</v>
      </c>
      <c r="G851" s="15">
        <v>2270</v>
      </c>
      <c r="H851" s="15">
        <v>15.1</v>
      </c>
      <c r="I851" s="15">
        <v>1927.23</v>
      </c>
      <c r="J851" s="13" t="s">
        <v>87</v>
      </c>
      <c r="K851" s="13" t="s">
        <v>88</v>
      </c>
      <c r="L851">
        <f>IF(COUNTIF(A$2:A851, A851)=1, IF(COUNTIF(A$2:A$2001, A851)&gt;1, 1, 0), 0)</f>
        <v>0</v>
      </c>
      <c r="M851" t="b">
        <f>VLOOKUP(D851, Products!A$2:F$61, 6, FALSE)</f>
        <v>1</v>
      </c>
      <c r="N851" t="str">
        <f>VLOOKUP(D851, Products!A$2:C$61, 3, FALSE)</f>
        <v>Grocery</v>
      </c>
      <c r="O851" t="str">
        <f>VLOOKUP(C851, Customers!A$2:E$301, 5, FALSE)</f>
        <v>Corporate</v>
      </c>
      <c r="P851">
        <f>VLOOKUP(C851, Customers!A$2:C$301, 3, FALSE)</f>
        <v>29</v>
      </c>
      <c r="Q851" t="str">
        <f>VLOOKUP(E851, Sales_Reps!A$2:C$31, 3, FALSE)</f>
        <v>North</v>
      </c>
      <c r="R851">
        <f>VLOOKUP(D851, Products!A$2:D$61, 4, FALSE)</f>
        <v>1412</v>
      </c>
    </row>
    <row r="852" spans="1:18" x14ac:dyDescent="0.3">
      <c r="A852" s="13" t="s">
        <v>1328</v>
      </c>
      <c r="B852" s="14">
        <v>45324</v>
      </c>
      <c r="C852" s="13" t="s">
        <v>369</v>
      </c>
      <c r="D852" s="13" t="s">
        <v>659</v>
      </c>
      <c r="E852" s="13" t="s">
        <v>188</v>
      </c>
      <c r="F852" s="15">
        <v>5</v>
      </c>
      <c r="G852" s="15">
        <v>3560</v>
      </c>
      <c r="H852" s="15">
        <v>11.5</v>
      </c>
      <c r="I852" s="15">
        <v>15753</v>
      </c>
      <c r="J852" s="13" t="s">
        <v>87</v>
      </c>
      <c r="K852" s="13" t="s">
        <v>94</v>
      </c>
      <c r="L852">
        <f>IF(COUNTIF(A$2:A852, A852)=1, IF(COUNTIF(A$2:A$2001, A852)&gt;1, 1, 0), 0)</f>
        <v>0</v>
      </c>
      <c r="M852" t="b">
        <f>VLOOKUP(D852, Products!A$2:F$61, 6, FALSE)</f>
        <v>1</v>
      </c>
      <c r="N852" t="str">
        <f>VLOOKUP(D852, Products!A$2:C$61, 3, FALSE)</f>
        <v>Apparel</v>
      </c>
      <c r="O852" t="str">
        <f>VLOOKUP(C852, Customers!A$2:E$301, 5, FALSE)</f>
        <v>SMB</v>
      </c>
      <c r="P852">
        <f>VLOOKUP(C852, Customers!A$2:C$301, 3, FALSE)</f>
        <v>62</v>
      </c>
      <c r="Q852" t="str">
        <f>VLOOKUP(E852, Sales_Reps!A$2:C$31, 3, FALSE)</f>
        <v>South</v>
      </c>
      <c r="R852">
        <f>VLOOKUP(D852, Products!A$2:D$61, 4, FALSE)</f>
        <v>2629</v>
      </c>
    </row>
    <row r="853" spans="1:18" x14ac:dyDescent="0.3">
      <c r="A853" s="13" t="s">
        <v>1329</v>
      </c>
      <c r="B853" s="14">
        <v>45419</v>
      </c>
      <c r="C853" s="13" t="s">
        <v>178</v>
      </c>
      <c r="D853" s="13" t="s">
        <v>360</v>
      </c>
      <c r="E853" s="13" t="s">
        <v>132</v>
      </c>
      <c r="F853" s="15">
        <v>2</v>
      </c>
      <c r="G853" s="15">
        <v>5410</v>
      </c>
      <c r="H853" s="15">
        <v>14.8</v>
      </c>
      <c r="I853" s="15">
        <v>9218.64</v>
      </c>
      <c r="J853" s="13" t="s">
        <v>93</v>
      </c>
      <c r="K853" s="13" t="s">
        <v>94</v>
      </c>
      <c r="L853">
        <f>IF(COUNTIF(A$2:A853, A853)=1, IF(COUNTIF(A$2:A$2001, A853)&gt;1, 1, 0), 0)</f>
        <v>0</v>
      </c>
      <c r="M853" t="b">
        <f>VLOOKUP(D853, Products!A$2:F$61, 6, FALSE)</f>
        <v>1</v>
      </c>
      <c r="N853" t="str">
        <f>VLOOKUP(D853, Products!A$2:C$61, 3, FALSE)</f>
        <v>Sports</v>
      </c>
      <c r="O853" t="str">
        <f>VLOOKUP(C853, Customers!A$2:E$301, 5, FALSE)</f>
        <v>Corporate</v>
      </c>
      <c r="P853">
        <f>VLOOKUP(C853, Customers!A$2:C$301, 3, FALSE)</f>
        <v>55</v>
      </c>
      <c r="Q853" t="str">
        <f>VLOOKUP(E853, Sales_Reps!A$2:C$31, 3, FALSE)</f>
        <v>South</v>
      </c>
      <c r="R853">
        <f>VLOOKUP(D853, Products!A$2:D$61, 4, FALSE)</f>
        <v>2265</v>
      </c>
    </row>
    <row r="854" spans="1:18" x14ac:dyDescent="0.3">
      <c r="A854" s="13" t="s">
        <v>1330</v>
      </c>
      <c r="B854" s="14">
        <v>45656</v>
      </c>
      <c r="C854" s="13" t="s">
        <v>921</v>
      </c>
      <c r="D854" s="13" t="s">
        <v>167</v>
      </c>
      <c r="E854" s="13" t="s">
        <v>103</v>
      </c>
      <c r="F854" s="15">
        <v>2</v>
      </c>
      <c r="G854" s="15">
        <v>2480</v>
      </c>
      <c r="H854" s="15">
        <v>27.2</v>
      </c>
      <c r="I854" s="15">
        <v>3610.88</v>
      </c>
      <c r="J854" s="13" t="s">
        <v>87</v>
      </c>
      <c r="K854" s="13" t="s">
        <v>117</v>
      </c>
      <c r="L854">
        <f>IF(COUNTIF(A$2:A854, A854)=1, IF(COUNTIF(A$2:A$2001, A854)&gt;1, 1, 0), 0)</f>
        <v>0</v>
      </c>
      <c r="M854" t="b">
        <f>VLOOKUP(D854, Products!A$2:F$61, 6, FALSE)</f>
        <v>1</v>
      </c>
      <c r="N854" t="str">
        <f>VLOOKUP(D854, Products!A$2:C$61, 3, FALSE)</f>
        <v>Apparel</v>
      </c>
      <c r="O854" t="str">
        <f>VLOOKUP(C854, Customers!A$2:E$301, 5, FALSE)</f>
        <v>Retail</v>
      </c>
      <c r="P854">
        <f>VLOOKUP(C854, Customers!A$2:C$301, 3, FALSE)</f>
        <v>28</v>
      </c>
      <c r="Q854" t="str">
        <f>VLOOKUP(E854, Sales_Reps!A$2:C$31, 3, FALSE)</f>
        <v>North</v>
      </c>
      <c r="R854">
        <f>VLOOKUP(D854, Products!A$2:D$61, 4, FALSE)</f>
        <v>1173</v>
      </c>
    </row>
    <row r="855" spans="1:18" x14ac:dyDescent="0.3">
      <c r="A855" s="13" t="s">
        <v>1331</v>
      </c>
      <c r="B855" s="14">
        <v>45350</v>
      </c>
      <c r="C855" s="13" t="s">
        <v>530</v>
      </c>
      <c r="D855" s="13" t="s">
        <v>91</v>
      </c>
      <c r="E855" s="13" t="s">
        <v>98</v>
      </c>
      <c r="F855" s="15">
        <v>6</v>
      </c>
      <c r="G855" s="15">
        <v>820</v>
      </c>
      <c r="H855" s="15">
        <v>6.6</v>
      </c>
      <c r="I855" s="15">
        <v>4595.28</v>
      </c>
      <c r="J855" s="13" t="s">
        <v>87</v>
      </c>
      <c r="K855" s="13" t="s">
        <v>99</v>
      </c>
      <c r="L855">
        <f>IF(COUNTIF(A$2:A855, A855)=1, IF(COUNTIF(A$2:A$2001, A855)&gt;1, 1, 0), 0)</f>
        <v>0</v>
      </c>
      <c r="M855" t="b">
        <f>VLOOKUP(D855, Products!A$2:F$61, 6, FALSE)</f>
        <v>1</v>
      </c>
      <c r="N855" t="str">
        <f>VLOOKUP(D855, Products!A$2:C$61, 3, FALSE)</f>
        <v>Apparel</v>
      </c>
      <c r="O855" t="str">
        <f>VLOOKUP(C855, Customers!A$2:E$301, 5, FALSE)</f>
        <v>Retail</v>
      </c>
      <c r="P855">
        <f>VLOOKUP(C855, Customers!A$2:C$301, 3, FALSE)</f>
        <v>45</v>
      </c>
      <c r="Q855" t="str">
        <f>VLOOKUP(E855, Sales_Reps!A$2:C$31, 3, FALSE)</f>
        <v>South</v>
      </c>
      <c r="R855">
        <f>VLOOKUP(D855, Products!A$2:D$61, 4, FALSE)</f>
        <v>391</v>
      </c>
    </row>
    <row r="856" spans="1:18" x14ac:dyDescent="0.3">
      <c r="A856" s="13" t="s">
        <v>1332</v>
      </c>
      <c r="B856" s="14">
        <v>45434</v>
      </c>
      <c r="C856" s="13" t="s">
        <v>247</v>
      </c>
      <c r="D856" s="13" t="s">
        <v>364</v>
      </c>
      <c r="E856" s="13" t="s">
        <v>188</v>
      </c>
      <c r="F856" s="15">
        <v>10</v>
      </c>
      <c r="G856" s="15">
        <v>5330</v>
      </c>
      <c r="H856" s="15">
        <v>16.100000000000001</v>
      </c>
      <c r="I856" s="15">
        <v>44718.7</v>
      </c>
      <c r="J856" s="13" t="s">
        <v>87</v>
      </c>
      <c r="K856" s="13" t="s">
        <v>117</v>
      </c>
      <c r="L856">
        <f>IF(COUNTIF(A$2:A856, A856)=1, IF(COUNTIF(A$2:A$2001, A856)&gt;1, 1, 0), 0)</f>
        <v>0</v>
      </c>
      <c r="M856" t="b">
        <f>VLOOKUP(D856, Products!A$2:F$61, 6, FALSE)</f>
        <v>1</v>
      </c>
      <c r="N856" t="str">
        <f>VLOOKUP(D856, Products!A$2:C$61, 3, FALSE)</f>
        <v>Electronics</v>
      </c>
      <c r="O856" t="str">
        <f>VLOOKUP(C856, Customers!A$2:E$301, 5, FALSE)</f>
        <v>Retail</v>
      </c>
      <c r="P856">
        <f>VLOOKUP(C856, Customers!A$2:C$301, 3, FALSE)</f>
        <v>34</v>
      </c>
      <c r="Q856" t="str">
        <f>VLOOKUP(E856, Sales_Reps!A$2:C$31, 3, FALSE)</f>
        <v>South</v>
      </c>
      <c r="R856">
        <f>VLOOKUP(D856, Products!A$2:D$61, 4, FALSE)</f>
        <v>2405</v>
      </c>
    </row>
    <row r="857" spans="1:18" x14ac:dyDescent="0.3">
      <c r="A857" s="13" t="s">
        <v>1333</v>
      </c>
      <c r="B857" s="14">
        <v>45438</v>
      </c>
      <c r="C857" s="13" t="s">
        <v>744</v>
      </c>
      <c r="D857" s="13" t="s">
        <v>157</v>
      </c>
      <c r="E857" s="13" t="s">
        <v>139</v>
      </c>
      <c r="F857" s="15">
        <v>2</v>
      </c>
      <c r="G857" s="15">
        <v>3450</v>
      </c>
      <c r="H857" s="15">
        <v>11.3</v>
      </c>
      <c r="I857" s="15">
        <v>6120.3</v>
      </c>
      <c r="J857" s="13" t="s">
        <v>93</v>
      </c>
      <c r="K857" s="13" t="s">
        <v>133</v>
      </c>
      <c r="L857">
        <f>IF(COUNTIF(A$2:A857, A857)=1, IF(COUNTIF(A$2:A$2001, A857)&gt;1, 1, 0), 0)</f>
        <v>0</v>
      </c>
      <c r="M857" t="b">
        <f>VLOOKUP(D857, Products!A$2:F$61, 6, FALSE)</f>
        <v>1</v>
      </c>
      <c r="N857" t="str">
        <f>VLOOKUP(D857, Products!A$2:C$61, 3, FALSE)</f>
        <v>Beauty</v>
      </c>
      <c r="O857" t="str">
        <f>VLOOKUP(C857, Customers!A$2:E$301, 5, FALSE)</f>
        <v>Retail</v>
      </c>
      <c r="P857">
        <f>VLOOKUP(C857, Customers!A$2:C$301, 3, FALSE)</f>
        <v>64</v>
      </c>
      <c r="Q857" t="str">
        <f>VLOOKUP(E857, Sales_Reps!A$2:C$31, 3, FALSE)</f>
        <v>North</v>
      </c>
      <c r="R857">
        <f>VLOOKUP(D857, Products!A$2:D$61, 4, FALSE)</f>
        <v>2420</v>
      </c>
    </row>
    <row r="858" spans="1:18" x14ac:dyDescent="0.3">
      <c r="A858" s="13" t="s">
        <v>1334</v>
      </c>
      <c r="B858" s="14">
        <v>45486</v>
      </c>
      <c r="C858" s="13" t="s">
        <v>301</v>
      </c>
      <c r="D858" s="13" t="s">
        <v>380</v>
      </c>
      <c r="E858" s="13" t="s">
        <v>154</v>
      </c>
      <c r="F858" s="15">
        <v>7</v>
      </c>
      <c r="G858" s="15">
        <v>960</v>
      </c>
      <c r="H858" s="15">
        <v>17.100000000000001</v>
      </c>
      <c r="I858" s="15">
        <v>5570.88</v>
      </c>
      <c r="J858" s="13" t="s">
        <v>87</v>
      </c>
      <c r="K858" s="13" t="s">
        <v>94</v>
      </c>
      <c r="L858">
        <f>IF(COUNTIF(A$2:A858, A858)=1, IF(COUNTIF(A$2:A$2001, A858)&gt;1, 1, 0), 0)</f>
        <v>0</v>
      </c>
      <c r="M858" t="b">
        <f>VLOOKUP(D858, Products!A$2:F$61, 6, FALSE)</f>
        <v>1</v>
      </c>
      <c r="N858" t="str">
        <f>VLOOKUP(D858, Products!A$2:C$61, 3, FALSE)</f>
        <v>Beauty</v>
      </c>
      <c r="O858" t="str">
        <f>VLOOKUP(C858, Customers!A$2:E$301, 5, FALSE)</f>
        <v>Retail</v>
      </c>
      <c r="P858">
        <f>VLOOKUP(C858, Customers!A$2:C$301, 3, FALSE)</f>
        <v>41</v>
      </c>
      <c r="Q858" t="str">
        <f>VLOOKUP(E858, Sales_Reps!A$2:C$31, 3, FALSE)</f>
        <v>East</v>
      </c>
      <c r="R858">
        <f>VLOOKUP(D858, Products!A$2:D$61, 4, FALSE)</f>
        <v>675</v>
      </c>
    </row>
    <row r="859" spans="1:18" x14ac:dyDescent="0.3">
      <c r="A859" s="13" t="s">
        <v>1335</v>
      </c>
      <c r="B859" s="14">
        <v>45623</v>
      </c>
      <c r="C859" s="13" t="s">
        <v>294</v>
      </c>
      <c r="D859" s="13" t="s">
        <v>452</v>
      </c>
      <c r="E859" s="13" t="s">
        <v>148</v>
      </c>
      <c r="F859" s="15">
        <v>5</v>
      </c>
      <c r="G859" s="15">
        <v>3450</v>
      </c>
      <c r="H859" s="15">
        <v>22.9</v>
      </c>
      <c r="I859" s="15">
        <v>13299.75</v>
      </c>
      <c r="J859" s="13" t="s">
        <v>87</v>
      </c>
      <c r="K859" s="13" t="s">
        <v>133</v>
      </c>
      <c r="L859">
        <f>IF(COUNTIF(A$2:A859, A859)=1, IF(COUNTIF(A$2:A$2001, A859)&gt;1, 1, 0), 0)</f>
        <v>0</v>
      </c>
      <c r="M859" t="b">
        <f>VLOOKUP(D859, Products!A$2:F$61, 6, FALSE)</f>
        <v>1</v>
      </c>
      <c r="N859" t="str">
        <f>VLOOKUP(D859, Products!A$2:C$61, 3, FALSE)</f>
        <v>Apparel</v>
      </c>
      <c r="O859" t="str">
        <f>VLOOKUP(C859, Customers!A$2:E$301, 5, FALSE)</f>
        <v>SMB</v>
      </c>
      <c r="P859">
        <f>VLOOKUP(C859, Customers!A$2:C$301, 3, FALSE)</f>
        <v>43</v>
      </c>
      <c r="Q859" t="str">
        <f>VLOOKUP(E859, Sales_Reps!A$2:C$31, 3, FALSE)</f>
        <v>North</v>
      </c>
      <c r="R859">
        <f>VLOOKUP(D859, Products!A$2:D$61, 4, FALSE)</f>
        <v>1748</v>
      </c>
    </row>
    <row r="860" spans="1:18" x14ac:dyDescent="0.3">
      <c r="A860" s="13" t="s">
        <v>1336</v>
      </c>
      <c r="B860" s="14">
        <v>45634</v>
      </c>
      <c r="C860" s="13" t="s">
        <v>856</v>
      </c>
      <c r="D860" s="13" t="s">
        <v>267</v>
      </c>
      <c r="E860" s="13" t="s">
        <v>107</v>
      </c>
      <c r="F860" s="15">
        <v>5</v>
      </c>
      <c r="G860" s="15">
        <v>1220</v>
      </c>
      <c r="H860" s="15">
        <v>0.3</v>
      </c>
      <c r="I860" s="15">
        <v>6081.7</v>
      </c>
      <c r="J860" s="13" t="s">
        <v>87</v>
      </c>
      <c r="K860" s="13" t="s">
        <v>88</v>
      </c>
      <c r="L860">
        <f>IF(COUNTIF(A$2:A860, A860)=1, IF(COUNTIF(A$2:A$2001, A860)&gt;1, 1, 0), 0)</f>
        <v>0</v>
      </c>
      <c r="M860" t="b">
        <f>VLOOKUP(D860, Products!A$2:F$61, 6, FALSE)</f>
        <v>1</v>
      </c>
      <c r="N860" t="str">
        <f>VLOOKUP(D860, Products!A$2:C$61, 3, FALSE)</f>
        <v>Electronics</v>
      </c>
      <c r="O860" t="str">
        <f>VLOOKUP(C860, Customers!A$2:E$301, 5, FALSE)</f>
        <v>SMB</v>
      </c>
      <c r="P860">
        <f>VLOOKUP(C860, Customers!A$2:C$301, 3, FALSE)</f>
        <v>59</v>
      </c>
      <c r="Q860" t="str">
        <f>VLOOKUP(E860, Sales_Reps!A$2:C$31, 3, FALSE)</f>
        <v>North</v>
      </c>
      <c r="R860">
        <f>VLOOKUP(D860, Products!A$2:D$61, 4, FALSE)</f>
        <v>517</v>
      </c>
    </row>
    <row r="861" spans="1:18" x14ac:dyDescent="0.3">
      <c r="A861" s="13" t="s">
        <v>1337</v>
      </c>
      <c r="B861" s="14">
        <v>45308</v>
      </c>
      <c r="C861" s="13" t="s">
        <v>1172</v>
      </c>
      <c r="D861" s="13" t="s">
        <v>364</v>
      </c>
      <c r="E861" s="13" t="s">
        <v>86</v>
      </c>
      <c r="F861" s="15">
        <v>5</v>
      </c>
      <c r="G861" s="15">
        <v>5330</v>
      </c>
      <c r="H861" s="15">
        <v>29</v>
      </c>
      <c r="I861" s="15">
        <v>18921.5</v>
      </c>
      <c r="J861" s="13" t="s">
        <v>87</v>
      </c>
      <c r="K861" s="13" t="s">
        <v>88</v>
      </c>
      <c r="L861">
        <f>IF(COUNTIF(A$2:A861, A861)=1, IF(COUNTIF(A$2:A$2001, A861)&gt;1, 1, 0), 0)</f>
        <v>0</v>
      </c>
      <c r="M861" t="b">
        <f>VLOOKUP(D861, Products!A$2:F$61, 6, FALSE)</f>
        <v>1</v>
      </c>
      <c r="N861" t="str">
        <f>VLOOKUP(D861, Products!A$2:C$61, 3, FALSE)</f>
        <v>Electronics</v>
      </c>
      <c r="O861" t="str">
        <f>VLOOKUP(C861, Customers!A$2:E$301, 5, FALSE)</f>
        <v>Retail</v>
      </c>
      <c r="P861">
        <f>VLOOKUP(C861, Customers!A$2:C$301, 3, FALSE)</f>
        <v>39</v>
      </c>
      <c r="Q861" t="str">
        <f>VLOOKUP(E861, Sales_Reps!A$2:C$31, 3, FALSE)</f>
        <v>North</v>
      </c>
      <c r="R861">
        <f>VLOOKUP(D861, Products!A$2:D$61, 4, FALSE)</f>
        <v>2405</v>
      </c>
    </row>
    <row r="862" spans="1:18" x14ac:dyDescent="0.3">
      <c r="A862" s="13" t="s">
        <v>1338</v>
      </c>
      <c r="B862" s="14">
        <v>45641</v>
      </c>
      <c r="C862" s="13" t="s">
        <v>759</v>
      </c>
      <c r="D862" s="13" t="s">
        <v>187</v>
      </c>
      <c r="E862" s="13" t="s">
        <v>128</v>
      </c>
      <c r="F862" s="15">
        <v>3</v>
      </c>
      <c r="G862" s="15">
        <v>3570</v>
      </c>
      <c r="H862" s="15">
        <v>20</v>
      </c>
      <c r="I862" s="15">
        <v>8568</v>
      </c>
      <c r="J862" s="13" t="s">
        <v>140</v>
      </c>
      <c r="K862" s="13" t="s">
        <v>117</v>
      </c>
      <c r="L862">
        <f>IF(COUNTIF(A$2:A862, A862)=1, IF(COUNTIF(A$2:A$2001, A862)&gt;1, 1, 0), 0)</f>
        <v>0</v>
      </c>
      <c r="M862" t="b">
        <f>VLOOKUP(D862, Products!A$2:F$61, 6, FALSE)</f>
        <v>1</v>
      </c>
      <c r="N862" t="str">
        <f>VLOOKUP(D862, Products!A$2:C$61, 3, FALSE)</f>
        <v>Electronics</v>
      </c>
      <c r="O862" t="str">
        <f>VLOOKUP(C862, Customers!A$2:E$301, 5, FALSE)</f>
        <v>Retail</v>
      </c>
      <c r="P862">
        <f>VLOOKUP(C862, Customers!A$2:C$301, 3, FALSE)</f>
        <v>29</v>
      </c>
      <c r="Q862" t="str">
        <f>VLOOKUP(E862, Sales_Reps!A$2:C$31, 3, FALSE)</f>
        <v>West</v>
      </c>
      <c r="R862">
        <f>VLOOKUP(D862, Products!A$2:D$61, 4, FALSE)</f>
        <v>1665</v>
      </c>
    </row>
    <row r="863" spans="1:18" x14ac:dyDescent="0.3">
      <c r="A863" s="13" t="s">
        <v>1339</v>
      </c>
      <c r="B863" s="14">
        <v>45396</v>
      </c>
      <c r="C863" s="13" t="s">
        <v>729</v>
      </c>
      <c r="D863" s="13" t="s">
        <v>338</v>
      </c>
      <c r="E863" s="13" t="s">
        <v>201</v>
      </c>
      <c r="F863" s="15">
        <v>9</v>
      </c>
      <c r="G863" s="15">
        <v>2210</v>
      </c>
      <c r="H863" s="15">
        <v>12.4</v>
      </c>
      <c r="I863" s="15">
        <v>17423.64</v>
      </c>
      <c r="J863" s="13" t="s">
        <v>87</v>
      </c>
      <c r="K863" s="13" t="s">
        <v>112</v>
      </c>
      <c r="L863">
        <f>IF(COUNTIF(A$2:A863, A863)=1, IF(COUNTIF(A$2:A$2001, A863)&gt;1, 1, 0), 0)</f>
        <v>0</v>
      </c>
      <c r="M863" t="b">
        <f>VLOOKUP(D863, Products!A$2:F$61, 6, FALSE)</f>
        <v>1</v>
      </c>
      <c r="N863" t="str">
        <f>VLOOKUP(D863, Products!A$2:C$61, 3, FALSE)</f>
        <v>Grocery</v>
      </c>
      <c r="O863" t="str">
        <f>VLOOKUP(C863, Customers!A$2:E$301, 5, FALSE)</f>
        <v>Retail</v>
      </c>
      <c r="P863">
        <f>VLOOKUP(C863, Customers!A$2:C$301, 3, FALSE)</f>
        <v>56</v>
      </c>
      <c r="Q863" t="str">
        <f>VLOOKUP(E863, Sales_Reps!A$2:C$31, 3, FALSE)</f>
        <v>West</v>
      </c>
      <c r="R863">
        <f>VLOOKUP(D863, Products!A$2:D$61, 4, FALSE)</f>
        <v>1010</v>
      </c>
    </row>
    <row r="864" spans="1:18" x14ac:dyDescent="0.3">
      <c r="A864" s="13" t="s">
        <v>1340</v>
      </c>
      <c r="B864" s="14">
        <v>45302</v>
      </c>
      <c r="C864" s="13" t="s">
        <v>142</v>
      </c>
      <c r="D864" s="13" t="s">
        <v>461</v>
      </c>
      <c r="E864" s="13" t="s">
        <v>229</v>
      </c>
      <c r="F864" s="15">
        <v>5</v>
      </c>
      <c r="G864" s="15">
        <v>3780</v>
      </c>
      <c r="H864" s="15">
        <v>3.9</v>
      </c>
      <c r="I864" s="15">
        <v>18162.900000000001</v>
      </c>
      <c r="J864" s="13" t="s">
        <v>87</v>
      </c>
      <c r="K864" s="13" t="s">
        <v>88</v>
      </c>
      <c r="L864">
        <f>IF(COUNTIF(A$2:A864, A864)=1, IF(COUNTIF(A$2:A$2001, A864)&gt;1, 1, 0), 0)</f>
        <v>0</v>
      </c>
      <c r="M864" t="b">
        <f>VLOOKUP(D864, Products!A$2:F$61, 6, FALSE)</f>
        <v>1</v>
      </c>
      <c r="N864" t="str">
        <f>VLOOKUP(D864, Products!A$2:C$61, 3, FALSE)</f>
        <v>Sports</v>
      </c>
      <c r="O864" t="str">
        <f>VLOOKUP(C864, Customers!A$2:E$301, 5, FALSE)</f>
        <v>SMB</v>
      </c>
      <c r="P864">
        <f>VLOOKUP(C864, Customers!A$2:C$301, 3, FALSE)</f>
        <v>39</v>
      </c>
      <c r="Q864" t="str">
        <f>VLOOKUP(E864, Sales_Reps!A$2:C$31, 3, FALSE)</f>
        <v>West</v>
      </c>
      <c r="R864">
        <f>VLOOKUP(D864, Products!A$2:D$61, 4, FALSE)</f>
        <v>1860</v>
      </c>
    </row>
    <row r="865" spans="1:18" x14ac:dyDescent="0.3">
      <c r="A865" s="13" t="s">
        <v>1341</v>
      </c>
      <c r="B865" s="14">
        <v>45626</v>
      </c>
      <c r="C865" s="13" t="s">
        <v>169</v>
      </c>
      <c r="D865" s="13" t="s">
        <v>135</v>
      </c>
      <c r="E865" s="13" t="s">
        <v>107</v>
      </c>
      <c r="F865" s="15">
        <v>10</v>
      </c>
      <c r="G865" s="15">
        <v>2640</v>
      </c>
      <c r="H865" s="15">
        <v>17.8</v>
      </c>
      <c r="I865" s="15">
        <v>21700.799999999999</v>
      </c>
      <c r="J865" s="13" t="s">
        <v>144</v>
      </c>
      <c r="K865" s="13" t="s">
        <v>112</v>
      </c>
      <c r="L865">
        <f>IF(COUNTIF(A$2:A865, A865)=1, IF(COUNTIF(A$2:A$2001, A865)&gt;1, 1, 0), 0)</f>
        <v>0</v>
      </c>
      <c r="M865" t="b">
        <f>VLOOKUP(D865, Products!A$2:F$61, 6, FALSE)</f>
        <v>1</v>
      </c>
      <c r="N865" t="str">
        <f>VLOOKUP(D865, Products!A$2:C$61, 3, FALSE)</f>
        <v>Electronics</v>
      </c>
      <c r="O865" t="str">
        <f>VLOOKUP(C865, Customers!A$2:E$301, 5, FALSE)</f>
        <v>Retail</v>
      </c>
      <c r="P865">
        <f>VLOOKUP(C865, Customers!A$2:C$301, 3, FALSE)</f>
        <v>34</v>
      </c>
      <c r="Q865" t="str">
        <f>VLOOKUP(E865, Sales_Reps!A$2:C$31, 3, FALSE)</f>
        <v>North</v>
      </c>
      <c r="R865">
        <f>VLOOKUP(D865, Products!A$2:D$61, 4, FALSE)</f>
        <v>1149</v>
      </c>
    </row>
    <row r="866" spans="1:18" x14ac:dyDescent="0.3">
      <c r="A866" s="13" t="s">
        <v>1342</v>
      </c>
      <c r="B866" s="14">
        <v>45352</v>
      </c>
      <c r="C866" s="13" t="s">
        <v>610</v>
      </c>
      <c r="D866" s="13" t="s">
        <v>282</v>
      </c>
      <c r="E866" s="13" t="s">
        <v>116</v>
      </c>
      <c r="F866" s="15">
        <v>5</v>
      </c>
      <c r="G866" s="15">
        <v>300</v>
      </c>
      <c r="H866" s="15">
        <v>12.9</v>
      </c>
      <c r="I866" s="15">
        <v>1306.5</v>
      </c>
      <c r="J866" s="13" t="s">
        <v>87</v>
      </c>
      <c r="K866" s="13" t="s">
        <v>117</v>
      </c>
      <c r="L866">
        <f>IF(COUNTIF(A$2:A866, A866)=1, IF(COUNTIF(A$2:A$2001, A866)&gt;1, 1, 0), 0)</f>
        <v>0</v>
      </c>
      <c r="M866" t="b">
        <f>VLOOKUP(D866, Products!A$2:F$61, 6, FALSE)</f>
        <v>1</v>
      </c>
      <c r="N866" t="str">
        <f>VLOOKUP(D866, Products!A$2:C$61, 3, FALSE)</f>
        <v>Electronics</v>
      </c>
      <c r="O866" t="str">
        <f>VLOOKUP(C866, Customers!A$2:E$301, 5, FALSE)</f>
        <v>SMB</v>
      </c>
      <c r="P866">
        <f>VLOOKUP(C866, Customers!A$2:C$301, 3, FALSE)</f>
        <v>42</v>
      </c>
      <c r="Q866" t="str">
        <f>VLOOKUP(E866, Sales_Reps!A$2:C$31, 3, FALSE)</f>
        <v>West</v>
      </c>
      <c r="R866">
        <f>VLOOKUP(D866, Products!A$2:D$61, 4, FALSE)</f>
        <v>128</v>
      </c>
    </row>
    <row r="867" spans="1:18" x14ac:dyDescent="0.3">
      <c r="A867" s="13" t="s">
        <v>1343</v>
      </c>
      <c r="B867" s="14">
        <v>45588</v>
      </c>
      <c r="C867" s="13" t="s">
        <v>294</v>
      </c>
      <c r="D867" s="13" t="s">
        <v>151</v>
      </c>
      <c r="E867" s="13" t="s">
        <v>252</v>
      </c>
      <c r="F867" s="15">
        <v>2</v>
      </c>
      <c r="G867" s="15">
        <v>2400</v>
      </c>
      <c r="H867" s="15">
        <v>17.100000000000001</v>
      </c>
      <c r="I867" s="15">
        <v>3979.2</v>
      </c>
      <c r="J867" s="13" t="s">
        <v>93</v>
      </c>
      <c r="K867" s="13" t="s">
        <v>133</v>
      </c>
      <c r="L867">
        <f>IF(COUNTIF(A$2:A867, A867)=1, IF(COUNTIF(A$2:A$2001, A867)&gt;1, 1, 0), 0)</f>
        <v>0</v>
      </c>
      <c r="M867" t="b">
        <f>VLOOKUP(D867, Products!A$2:F$61, 6, FALSE)</f>
        <v>1</v>
      </c>
      <c r="N867" t="str">
        <f>VLOOKUP(D867, Products!A$2:C$61, 3, FALSE)</f>
        <v>Sports</v>
      </c>
      <c r="O867" t="str">
        <f>VLOOKUP(C867, Customers!A$2:E$301, 5, FALSE)</f>
        <v>SMB</v>
      </c>
      <c r="P867">
        <f>VLOOKUP(C867, Customers!A$2:C$301, 3, FALSE)</f>
        <v>43</v>
      </c>
      <c r="Q867" t="str">
        <f>VLOOKUP(E867, Sales_Reps!A$2:C$31, 3, FALSE)</f>
        <v>South</v>
      </c>
      <c r="R867">
        <f>VLOOKUP(D867, Products!A$2:D$61, 4, FALSE)</f>
        <v>974</v>
      </c>
    </row>
    <row r="868" spans="1:18" x14ac:dyDescent="0.3">
      <c r="A868" s="13" t="s">
        <v>1344</v>
      </c>
      <c r="B868" s="14">
        <v>45583</v>
      </c>
      <c r="C868" s="13" t="s">
        <v>299</v>
      </c>
      <c r="D868" s="13" t="s">
        <v>164</v>
      </c>
      <c r="E868" s="13" t="s">
        <v>201</v>
      </c>
      <c r="F868" s="15">
        <v>5</v>
      </c>
      <c r="G868" s="15">
        <v>1080</v>
      </c>
      <c r="H868" s="15">
        <v>15.7</v>
      </c>
      <c r="I868" s="15">
        <v>4552.2</v>
      </c>
      <c r="J868" s="13" t="s">
        <v>93</v>
      </c>
      <c r="K868" s="13" t="s">
        <v>133</v>
      </c>
      <c r="L868">
        <f>IF(COUNTIF(A$2:A868, A868)=1, IF(COUNTIF(A$2:A$2001, A868)&gt;1, 1, 0), 0)</f>
        <v>0</v>
      </c>
      <c r="M868" t="b">
        <f>VLOOKUP(D868, Products!A$2:F$61, 6, FALSE)</f>
        <v>1</v>
      </c>
      <c r="N868" t="str">
        <f>VLOOKUP(D868, Products!A$2:C$61, 3, FALSE)</f>
        <v>Home</v>
      </c>
      <c r="O868" t="str">
        <f>VLOOKUP(C868, Customers!A$2:E$301, 5, FALSE)</f>
        <v>Retail</v>
      </c>
      <c r="P868">
        <f>VLOOKUP(C868, Customers!A$2:C$301, 3, FALSE)</f>
        <v>29</v>
      </c>
      <c r="Q868" t="str">
        <f>VLOOKUP(E868, Sales_Reps!A$2:C$31, 3, FALSE)</f>
        <v>West</v>
      </c>
      <c r="R868">
        <f>VLOOKUP(D868, Products!A$2:D$61, 4, FALSE)</f>
        <v>519</v>
      </c>
    </row>
    <row r="869" spans="1:18" x14ac:dyDescent="0.3">
      <c r="A869" s="13" t="s">
        <v>1345</v>
      </c>
      <c r="B869" s="14">
        <v>45528</v>
      </c>
      <c r="C869" s="13" t="s">
        <v>714</v>
      </c>
      <c r="D869" s="13" t="s">
        <v>143</v>
      </c>
      <c r="E869" s="13" t="s">
        <v>148</v>
      </c>
      <c r="F869" s="15">
        <v>1</v>
      </c>
      <c r="G869" s="15">
        <v>3250</v>
      </c>
      <c r="H869" s="15">
        <v>14.7</v>
      </c>
      <c r="I869" s="15">
        <v>2772.25</v>
      </c>
      <c r="J869" s="13" t="s">
        <v>87</v>
      </c>
      <c r="K869" s="13" t="s">
        <v>99</v>
      </c>
      <c r="L869">
        <f>IF(COUNTIF(A$2:A869, A869)=1, IF(COUNTIF(A$2:A$2001, A869)&gt;1, 1, 0), 0)</f>
        <v>0</v>
      </c>
      <c r="M869" t="b">
        <f>VLOOKUP(D869, Products!A$2:F$61, 6, FALSE)</f>
        <v>1</v>
      </c>
      <c r="N869" t="str">
        <f>VLOOKUP(D869, Products!A$2:C$61, 3, FALSE)</f>
        <v>Home</v>
      </c>
      <c r="O869" t="str">
        <f>VLOOKUP(C869, Customers!A$2:E$301, 5, FALSE)</f>
        <v>Retail</v>
      </c>
      <c r="P869">
        <f>VLOOKUP(C869, Customers!A$2:C$301, 3, FALSE)</f>
        <v>24</v>
      </c>
      <c r="Q869" t="str">
        <f>VLOOKUP(E869, Sales_Reps!A$2:C$31, 3, FALSE)</f>
        <v>North</v>
      </c>
      <c r="R869">
        <f>VLOOKUP(D869, Products!A$2:D$61, 4, FALSE)</f>
        <v>1556</v>
      </c>
    </row>
    <row r="870" spans="1:18" x14ac:dyDescent="0.3">
      <c r="A870" s="13" t="s">
        <v>1346</v>
      </c>
      <c r="B870" s="14">
        <v>45400</v>
      </c>
      <c r="C870" s="13" t="s">
        <v>416</v>
      </c>
      <c r="D870" s="13" t="s">
        <v>110</v>
      </c>
      <c r="E870" s="13" t="s">
        <v>158</v>
      </c>
      <c r="F870" s="15">
        <v>7</v>
      </c>
      <c r="G870" s="15">
        <v>370</v>
      </c>
      <c r="H870" s="15">
        <v>6</v>
      </c>
      <c r="I870" s="15">
        <v>2434.6</v>
      </c>
      <c r="J870" s="13" t="s">
        <v>140</v>
      </c>
      <c r="K870" s="13" t="s">
        <v>117</v>
      </c>
      <c r="L870">
        <f>IF(COUNTIF(A$2:A870, A870)=1, IF(COUNTIF(A$2:A$2001, A870)&gt;1, 1, 0), 0)</f>
        <v>0</v>
      </c>
      <c r="M870" t="b">
        <f>VLOOKUP(D870, Products!A$2:F$61, 6, FALSE)</f>
        <v>1</v>
      </c>
      <c r="N870" t="str">
        <f>VLOOKUP(D870, Products!A$2:C$61, 3, FALSE)</f>
        <v>Home</v>
      </c>
      <c r="O870" t="str">
        <f>VLOOKUP(C870, Customers!A$2:E$301, 5, FALSE)</f>
        <v>Corporate</v>
      </c>
      <c r="P870">
        <f>VLOOKUP(C870, Customers!A$2:C$301, 3, FALSE)</f>
        <v>42</v>
      </c>
      <c r="Q870" t="str">
        <f>VLOOKUP(E870, Sales_Reps!A$2:C$31, 3, FALSE)</f>
        <v>East</v>
      </c>
      <c r="R870">
        <f>VLOOKUP(D870, Products!A$2:D$61, 4, FALSE)</f>
        <v>288</v>
      </c>
    </row>
    <row r="871" spans="1:18" x14ac:dyDescent="0.3">
      <c r="A871" s="13" t="s">
        <v>1347</v>
      </c>
      <c r="B871" s="14">
        <v>45337</v>
      </c>
      <c r="C871" s="13" t="s">
        <v>1348</v>
      </c>
      <c r="D871" s="13" t="s">
        <v>124</v>
      </c>
      <c r="E871" s="13" t="s">
        <v>229</v>
      </c>
      <c r="F871" s="15">
        <v>7</v>
      </c>
      <c r="G871" s="15">
        <v>5490</v>
      </c>
      <c r="H871" s="15">
        <v>10.199999999999999</v>
      </c>
      <c r="I871" s="15">
        <v>34510.14</v>
      </c>
      <c r="J871" s="13" t="s">
        <v>87</v>
      </c>
      <c r="K871" s="13" t="s">
        <v>88</v>
      </c>
      <c r="L871">
        <f>IF(COUNTIF(A$2:A871, A871)=1, IF(COUNTIF(A$2:A$2001, A871)&gt;1, 1, 0), 0)</f>
        <v>0</v>
      </c>
      <c r="M871" t="b">
        <f>VLOOKUP(D871, Products!A$2:F$61, 6, FALSE)</f>
        <v>1</v>
      </c>
      <c r="N871" t="str">
        <f>VLOOKUP(D871, Products!A$2:C$61, 3, FALSE)</f>
        <v>Home</v>
      </c>
      <c r="O871" t="e">
        <f>VLOOKUP(C871, Customers!A$2:E$301, 5, FALSE)</f>
        <v>#N/A</v>
      </c>
      <c r="P871" t="e">
        <f>VLOOKUP(C871, Customers!A$2:C$301, 3, FALSE)</f>
        <v>#N/A</v>
      </c>
      <c r="Q871" t="str">
        <f>VLOOKUP(E871, Sales_Reps!A$2:C$31, 3, FALSE)</f>
        <v>West</v>
      </c>
      <c r="R871">
        <f>VLOOKUP(D871, Products!A$2:D$61, 4, FALSE)</f>
        <v>2549</v>
      </c>
    </row>
    <row r="872" spans="1:18" x14ac:dyDescent="0.3">
      <c r="A872" s="13" t="s">
        <v>1349</v>
      </c>
      <c r="B872" s="14">
        <v>45482</v>
      </c>
      <c r="C872" s="13" t="s">
        <v>1350</v>
      </c>
      <c r="D872" s="13" t="s">
        <v>408</v>
      </c>
      <c r="E872" s="13" t="s">
        <v>128</v>
      </c>
      <c r="F872" s="15">
        <v>3</v>
      </c>
      <c r="G872" s="15">
        <v>3970</v>
      </c>
      <c r="H872" s="15">
        <v>2.4</v>
      </c>
      <c r="I872" s="15">
        <v>11624.16</v>
      </c>
      <c r="J872" s="13" t="s">
        <v>87</v>
      </c>
      <c r="K872" s="13" t="s">
        <v>112</v>
      </c>
      <c r="L872">
        <f>IF(COUNTIF(A$2:A872, A872)=1, IF(COUNTIF(A$2:A$2001, A872)&gt;1, 1, 0), 0)</f>
        <v>0</v>
      </c>
      <c r="M872" t="b">
        <f>VLOOKUP(D872, Products!A$2:F$61, 6, FALSE)</f>
        <v>1</v>
      </c>
      <c r="N872" t="str">
        <f>VLOOKUP(D872, Products!A$2:C$61, 3, FALSE)</f>
        <v>Electronics</v>
      </c>
      <c r="O872" t="str">
        <f>VLOOKUP(C872, Customers!A$2:E$301, 5, FALSE)</f>
        <v>Retail</v>
      </c>
      <c r="P872">
        <f>VLOOKUP(C872, Customers!A$2:C$301, 3, FALSE)</f>
        <v>38</v>
      </c>
      <c r="Q872" t="str">
        <f>VLOOKUP(E872, Sales_Reps!A$2:C$31, 3, FALSE)</f>
        <v>West</v>
      </c>
      <c r="R872">
        <f>VLOOKUP(D872, Products!A$2:D$61, 4, FALSE)</f>
        <v>2865</v>
      </c>
    </row>
    <row r="873" spans="1:18" x14ac:dyDescent="0.3">
      <c r="A873" s="13" t="s">
        <v>1351</v>
      </c>
      <c r="B873" s="14">
        <v>45583</v>
      </c>
      <c r="C873" s="13" t="s">
        <v>762</v>
      </c>
      <c r="D873" s="13" t="s">
        <v>267</v>
      </c>
      <c r="E873" s="13" t="s">
        <v>86</v>
      </c>
      <c r="F873" s="15">
        <v>4</v>
      </c>
      <c r="G873" s="15">
        <v>1220</v>
      </c>
      <c r="H873" s="15">
        <v>25.3</v>
      </c>
      <c r="I873" s="15">
        <v>3645.36</v>
      </c>
      <c r="J873" s="13" t="s">
        <v>87</v>
      </c>
      <c r="K873" s="13" t="s">
        <v>133</v>
      </c>
      <c r="L873">
        <f>IF(COUNTIF(A$2:A873, A873)=1, IF(COUNTIF(A$2:A$2001, A873)&gt;1, 1, 0), 0)</f>
        <v>0</v>
      </c>
      <c r="M873" t="b">
        <f>VLOOKUP(D873, Products!A$2:F$61, 6, FALSE)</f>
        <v>1</v>
      </c>
      <c r="N873" t="str">
        <f>VLOOKUP(D873, Products!A$2:C$61, 3, FALSE)</f>
        <v>Electronics</v>
      </c>
      <c r="O873" t="str">
        <f>VLOOKUP(C873, Customers!A$2:E$301, 5, FALSE)</f>
        <v>Retail</v>
      </c>
      <c r="P873">
        <f>VLOOKUP(C873, Customers!A$2:C$301, 3, FALSE)</f>
        <v>52</v>
      </c>
      <c r="Q873" t="str">
        <f>VLOOKUP(E873, Sales_Reps!A$2:C$31, 3, FALSE)</f>
        <v>North</v>
      </c>
      <c r="R873">
        <f>VLOOKUP(D873, Products!A$2:D$61, 4, FALSE)</f>
        <v>517</v>
      </c>
    </row>
    <row r="874" spans="1:18" x14ac:dyDescent="0.3">
      <c r="A874" s="13" t="s">
        <v>1352</v>
      </c>
      <c r="B874" s="14">
        <v>45409</v>
      </c>
      <c r="C874" s="13" t="s">
        <v>744</v>
      </c>
      <c r="D874" s="13" t="s">
        <v>106</v>
      </c>
      <c r="E874" s="13" t="s">
        <v>201</v>
      </c>
      <c r="F874" s="15">
        <v>3</v>
      </c>
      <c r="G874" s="15">
        <v>3160</v>
      </c>
      <c r="H874" s="15">
        <v>19.8</v>
      </c>
      <c r="I874" s="15">
        <v>7602.96</v>
      </c>
      <c r="J874" s="13" t="s">
        <v>87</v>
      </c>
      <c r="K874" s="13" t="s">
        <v>133</v>
      </c>
      <c r="L874">
        <f>IF(COUNTIF(A$2:A874, A874)=1, IF(COUNTIF(A$2:A$2001, A874)&gt;1, 1, 0), 0)</f>
        <v>0</v>
      </c>
      <c r="M874" t="b">
        <f>VLOOKUP(D874, Products!A$2:F$61, 6, FALSE)</f>
        <v>1</v>
      </c>
      <c r="N874" t="str">
        <f>VLOOKUP(D874, Products!A$2:C$61, 3, FALSE)</f>
        <v>Apparel</v>
      </c>
      <c r="O874" t="str">
        <f>VLOOKUP(C874, Customers!A$2:E$301, 5, FALSE)</f>
        <v>Retail</v>
      </c>
      <c r="P874">
        <f>VLOOKUP(C874, Customers!A$2:C$301, 3, FALSE)</f>
        <v>64</v>
      </c>
      <c r="Q874" t="str">
        <f>VLOOKUP(E874, Sales_Reps!A$2:C$31, 3, FALSE)</f>
        <v>West</v>
      </c>
      <c r="R874">
        <f>VLOOKUP(D874, Products!A$2:D$61, 4, FALSE)</f>
        <v>1886</v>
      </c>
    </row>
    <row r="875" spans="1:18" x14ac:dyDescent="0.3">
      <c r="A875" s="13" t="s">
        <v>1353</v>
      </c>
      <c r="B875" s="14">
        <v>45430</v>
      </c>
      <c r="C875" s="13" t="s">
        <v>613</v>
      </c>
      <c r="D875" s="13" t="s">
        <v>282</v>
      </c>
      <c r="E875" s="13" t="s">
        <v>107</v>
      </c>
      <c r="F875" s="15">
        <v>1</v>
      </c>
      <c r="G875" s="15">
        <v>300</v>
      </c>
      <c r="H875" s="15">
        <v>24.5</v>
      </c>
      <c r="I875" s="15">
        <v>226.5</v>
      </c>
      <c r="J875" s="13" t="s">
        <v>87</v>
      </c>
      <c r="K875" s="13" t="s">
        <v>112</v>
      </c>
      <c r="L875">
        <f>IF(COUNTIF(A$2:A875, A875)=1, IF(COUNTIF(A$2:A$2001, A875)&gt;1, 1, 0), 0)</f>
        <v>0</v>
      </c>
      <c r="M875" t="b">
        <f>VLOOKUP(D875, Products!A$2:F$61, 6, FALSE)</f>
        <v>1</v>
      </c>
      <c r="N875" t="str">
        <f>VLOOKUP(D875, Products!A$2:C$61, 3, FALSE)</f>
        <v>Electronics</v>
      </c>
      <c r="O875" t="str">
        <f>VLOOKUP(C875, Customers!A$2:E$301, 5, FALSE)</f>
        <v>Retail</v>
      </c>
      <c r="P875">
        <f>VLOOKUP(C875, Customers!A$2:C$301, 3, FALSE)</f>
        <v>44</v>
      </c>
      <c r="Q875" t="str">
        <f>VLOOKUP(E875, Sales_Reps!A$2:C$31, 3, FALSE)</f>
        <v>North</v>
      </c>
      <c r="R875">
        <f>VLOOKUP(D875, Products!A$2:D$61, 4, FALSE)</f>
        <v>128</v>
      </c>
    </row>
    <row r="876" spans="1:18" x14ac:dyDescent="0.3">
      <c r="A876" s="13" t="s">
        <v>1354</v>
      </c>
      <c r="B876" s="14">
        <v>45654</v>
      </c>
      <c r="C876" s="13" t="s">
        <v>1308</v>
      </c>
      <c r="D876" s="13" t="s">
        <v>157</v>
      </c>
      <c r="E876" s="13" t="s">
        <v>229</v>
      </c>
      <c r="F876" s="15">
        <v>5</v>
      </c>
      <c r="G876" s="15">
        <v>3450</v>
      </c>
      <c r="H876" s="15">
        <v>13.4</v>
      </c>
      <c r="I876" s="15">
        <v>14938.5</v>
      </c>
      <c r="J876" s="13" t="s">
        <v>93</v>
      </c>
      <c r="K876" s="13" t="s">
        <v>94</v>
      </c>
      <c r="L876">
        <f>IF(COUNTIF(A$2:A876, A876)=1, IF(COUNTIF(A$2:A$2001, A876)&gt;1, 1, 0), 0)</f>
        <v>0</v>
      </c>
      <c r="M876" t="b">
        <f>VLOOKUP(D876, Products!A$2:F$61, 6, FALSE)</f>
        <v>1</v>
      </c>
      <c r="N876" t="str">
        <f>VLOOKUP(D876, Products!A$2:C$61, 3, FALSE)</f>
        <v>Beauty</v>
      </c>
      <c r="O876" t="str">
        <f>VLOOKUP(C876, Customers!A$2:E$301, 5, FALSE)</f>
        <v>SMB</v>
      </c>
      <c r="P876">
        <f>VLOOKUP(C876, Customers!A$2:C$301, 3, FALSE)</f>
        <v>51</v>
      </c>
      <c r="Q876" t="str">
        <f>VLOOKUP(E876, Sales_Reps!A$2:C$31, 3, FALSE)</f>
        <v>West</v>
      </c>
      <c r="R876">
        <f>VLOOKUP(D876, Products!A$2:D$61, 4, FALSE)</f>
        <v>2420</v>
      </c>
    </row>
    <row r="877" spans="1:18" x14ac:dyDescent="0.3">
      <c r="A877" s="13" t="s">
        <v>1355</v>
      </c>
      <c r="B877" s="14">
        <v>45397</v>
      </c>
      <c r="C877" s="13" t="s">
        <v>289</v>
      </c>
      <c r="D877" s="13" t="s">
        <v>85</v>
      </c>
      <c r="E877" s="13" t="s">
        <v>343</v>
      </c>
      <c r="F877" s="15">
        <v>7</v>
      </c>
      <c r="G877" s="15">
        <v>3620</v>
      </c>
      <c r="H877" s="15">
        <v>19.2</v>
      </c>
      <c r="I877" s="15">
        <v>20474.72</v>
      </c>
      <c r="J877" s="13" t="s">
        <v>87</v>
      </c>
      <c r="K877" s="13" t="s">
        <v>94</v>
      </c>
      <c r="L877">
        <f>IF(COUNTIF(A$2:A877, A877)=1, IF(COUNTIF(A$2:A$2001, A877)&gt;1, 1, 0), 0)</f>
        <v>0</v>
      </c>
      <c r="M877" t="b">
        <f>VLOOKUP(D877, Products!A$2:F$61, 6, FALSE)</f>
        <v>1</v>
      </c>
      <c r="N877" t="str">
        <f>VLOOKUP(D877, Products!A$2:C$61, 3, FALSE)</f>
        <v>Apparel</v>
      </c>
      <c r="O877" t="str">
        <f>VLOOKUP(C877, Customers!A$2:E$301, 5, FALSE)</f>
        <v>Retail</v>
      </c>
      <c r="P877">
        <f>VLOOKUP(C877, Customers!A$2:C$301, 3, FALSE)</f>
        <v>38</v>
      </c>
      <c r="Q877" t="str">
        <f>VLOOKUP(E877, Sales_Reps!A$2:C$31, 3, FALSE)</f>
        <v>West</v>
      </c>
      <c r="R877">
        <f>VLOOKUP(D877, Products!A$2:D$61, 4, FALSE)</f>
        <v>2509</v>
      </c>
    </row>
    <row r="878" spans="1:18" x14ac:dyDescent="0.3">
      <c r="A878" s="13" t="s">
        <v>1356</v>
      </c>
      <c r="B878" s="14">
        <v>45505</v>
      </c>
      <c r="C878" s="13" t="s">
        <v>109</v>
      </c>
      <c r="D878" s="13" t="s">
        <v>131</v>
      </c>
      <c r="E878" s="13" t="s">
        <v>132</v>
      </c>
      <c r="F878" s="15">
        <v>10</v>
      </c>
      <c r="G878" s="15">
        <v>2270</v>
      </c>
      <c r="H878" s="15">
        <v>20.5</v>
      </c>
      <c r="I878" s="15">
        <v>18046.5</v>
      </c>
      <c r="J878" s="13" t="s">
        <v>87</v>
      </c>
      <c r="K878" s="13" t="s">
        <v>112</v>
      </c>
      <c r="L878">
        <f>IF(COUNTIF(A$2:A878, A878)=1, IF(COUNTIF(A$2:A$2001, A878)&gt;1, 1, 0), 0)</f>
        <v>0</v>
      </c>
      <c r="M878" t="b">
        <f>VLOOKUP(D878, Products!A$2:F$61, 6, FALSE)</f>
        <v>1</v>
      </c>
      <c r="N878" t="str">
        <f>VLOOKUP(D878, Products!A$2:C$61, 3, FALSE)</f>
        <v>Grocery</v>
      </c>
      <c r="O878" t="str">
        <f>VLOOKUP(C878, Customers!A$2:E$301, 5, FALSE)</f>
        <v>Retail</v>
      </c>
      <c r="P878">
        <f>VLOOKUP(C878, Customers!A$2:C$301, 3, FALSE)</f>
        <v>36</v>
      </c>
      <c r="Q878" t="str">
        <f>VLOOKUP(E878, Sales_Reps!A$2:C$31, 3, FALSE)</f>
        <v>South</v>
      </c>
      <c r="R878">
        <f>VLOOKUP(D878, Products!A$2:D$61, 4, FALSE)</f>
        <v>1203</v>
      </c>
    </row>
    <row r="879" spans="1:18" x14ac:dyDescent="0.3">
      <c r="A879" s="13" t="s">
        <v>1357</v>
      </c>
      <c r="B879" s="14">
        <v>45386</v>
      </c>
      <c r="C879" s="13" t="s">
        <v>1358</v>
      </c>
      <c r="D879" s="13" t="s">
        <v>173</v>
      </c>
      <c r="E879" s="13" t="s">
        <v>116</v>
      </c>
      <c r="F879" s="15">
        <v>5</v>
      </c>
      <c r="G879" s="15">
        <v>2720</v>
      </c>
      <c r="H879" s="15">
        <v>29.3</v>
      </c>
      <c r="I879" s="15">
        <v>9615.2000000000007</v>
      </c>
      <c r="J879" s="13" t="s">
        <v>87</v>
      </c>
      <c r="K879" s="13" t="s">
        <v>112</v>
      </c>
      <c r="L879">
        <f>IF(COUNTIF(A$2:A879, A879)=1, IF(COUNTIF(A$2:A$2001, A879)&gt;1, 1, 0), 0)</f>
        <v>0</v>
      </c>
      <c r="M879" t="b">
        <f>VLOOKUP(D879, Products!A$2:F$61, 6, FALSE)</f>
        <v>1</v>
      </c>
      <c r="N879" t="str">
        <f>VLOOKUP(D879, Products!A$2:C$61, 3, FALSE)</f>
        <v>Apparel</v>
      </c>
      <c r="O879" t="str">
        <f>VLOOKUP(C879, Customers!A$2:E$301, 5, FALSE)</f>
        <v>Corporate</v>
      </c>
      <c r="P879">
        <f>VLOOKUP(C879, Customers!A$2:C$301, 3, FALSE)</f>
        <v>42</v>
      </c>
      <c r="Q879" t="str">
        <f>VLOOKUP(E879, Sales_Reps!A$2:C$31, 3, FALSE)</f>
        <v>West</v>
      </c>
      <c r="R879">
        <f>VLOOKUP(D879, Products!A$2:D$61, 4, FALSE)</f>
        <v>1962</v>
      </c>
    </row>
    <row r="880" spans="1:18" x14ac:dyDescent="0.3">
      <c r="A880" s="13" t="s">
        <v>1359</v>
      </c>
      <c r="B880" s="14">
        <v>45499</v>
      </c>
      <c r="C880" s="13" t="s">
        <v>963</v>
      </c>
      <c r="D880" s="13" t="s">
        <v>234</v>
      </c>
      <c r="E880" s="13" t="s">
        <v>285</v>
      </c>
      <c r="F880" s="15">
        <v>9</v>
      </c>
      <c r="G880" s="15">
        <v>3780</v>
      </c>
      <c r="H880" s="15">
        <v>2.2999999999999998</v>
      </c>
      <c r="I880" s="15">
        <v>33237.54</v>
      </c>
      <c r="J880" s="13" t="s">
        <v>87</v>
      </c>
      <c r="K880" s="13" t="s">
        <v>94</v>
      </c>
      <c r="L880">
        <f>IF(COUNTIF(A$2:A880, A880)=1, IF(COUNTIF(A$2:A$2001, A880)&gt;1, 1, 0), 0)</f>
        <v>0</v>
      </c>
      <c r="M880" t="b">
        <f>VLOOKUP(D880, Products!A$2:F$61, 6, FALSE)</f>
        <v>1</v>
      </c>
      <c r="N880" t="str">
        <f>VLOOKUP(D880, Products!A$2:C$61, 3, FALSE)</f>
        <v>Grocery</v>
      </c>
      <c r="O880" t="str">
        <f>VLOOKUP(C880, Customers!A$2:E$301, 5, FALSE)</f>
        <v>Retail</v>
      </c>
      <c r="P880">
        <f>VLOOKUP(C880, Customers!A$2:C$301, 3, FALSE)</f>
        <v>31</v>
      </c>
      <c r="Q880" t="str">
        <f>VLOOKUP(E880, Sales_Reps!A$2:C$31, 3, FALSE)</f>
        <v>East</v>
      </c>
      <c r="R880">
        <f>VLOOKUP(D880, Products!A$2:D$61, 4, FALSE)</f>
        <v>2436</v>
      </c>
    </row>
    <row r="881" spans="1:18" x14ac:dyDescent="0.3">
      <c r="A881" s="13" t="s">
        <v>1360</v>
      </c>
      <c r="B881" s="14">
        <v>45636</v>
      </c>
      <c r="C881" s="13" t="s">
        <v>1361</v>
      </c>
      <c r="D881" s="13" t="s">
        <v>351</v>
      </c>
      <c r="E881" s="13" t="s">
        <v>98</v>
      </c>
      <c r="F881" s="15">
        <v>9</v>
      </c>
      <c r="G881" s="15">
        <v>4060</v>
      </c>
      <c r="H881" s="15">
        <v>11.5</v>
      </c>
      <c r="I881" s="15">
        <v>32337.9</v>
      </c>
      <c r="J881" s="13" t="s">
        <v>87</v>
      </c>
      <c r="K881" s="13" t="s">
        <v>94</v>
      </c>
      <c r="L881">
        <f>IF(COUNTIF(A$2:A881, A881)=1, IF(COUNTIF(A$2:A$2001, A881)&gt;1, 1, 0), 0)</f>
        <v>0</v>
      </c>
      <c r="M881" t="b">
        <f>VLOOKUP(D881, Products!A$2:F$61, 6, FALSE)</f>
        <v>1</v>
      </c>
      <c r="N881" t="str">
        <f>VLOOKUP(D881, Products!A$2:C$61, 3, FALSE)</f>
        <v>Grocery</v>
      </c>
      <c r="O881" t="str">
        <f>VLOOKUP(C881, Customers!A$2:E$301, 5, FALSE)</f>
        <v>Retail</v>
      </c>
      <c r="P881">
        <f>VLOOKUP(C881, Customers!A$2:C$301, 3, FALSE)</f>
        <v>34</v>
      </c>
      <c r="Q881" t="str">
        <f>VLOOKUP(E881, Sales_Reps!A$2:C$31, 3, FALSE)</f>
        <v>South</v>
      </c>
      <c r="R881">
        <f>VLOOKUP(D881, Products!A$2:D$61, 4, FALSE)</f>
        <v>2911</v>
      </c>
    </row>
    <row r="882" spans="1:18" x14ac:dyDescent="0.3">
      <c r="A882" s="13" t="s">
        <v>677</v>
      </c>
      <c r="B882" s="14">
        <v>45517</v>
      </c>
      <c r="C882" s="13" t="s">
        <v>420</v>
      </c>
      <c r="D882" s="13" t="s">
        <v>200</v>
      </c>
      <c r="E882" s="13" t="s">
        <v>325</v>
      </c>
      <c r="F882" s="15">
        <v>10</v>
      </c>
      <c r="G882" s="15">
        <v>2760</v>
      </c>
      <c r="H882" s="15">
        <v>3.9</v>
      </c>
      <c r="I882" s="15">
        <v>26523.599999999999</v>
      </c>
      <c r="J882" s="13" t="s">
        <v>144</v>
      </c>
      <c r="K882" s="13" t="s">
        <v>99</v>
      </c>
      <c r="L882">
        <f>IF(COUNTIF(A$2:A882, A882)=1, IF(COUNTIF(A$2:A$2001, A882)&gt;1, 1, 0), 0)</f>
        <v>0</v>
      </c>
      <c r="M882" t="b">
        <f>VLOOKUP(D882, Products!A$2:F$61, 6, FALSE)</f>
        <v>1</v>
      </c>
      <c r="N882" t="str">
        <f>VLOOKUP(D882, Products!A$2:C$61, 3, FALSE)</f>
        <v>Grocery</v>
      </c>
      <c r="O882" t="str">
        <f>VLOOKUP(C882, Customers!A$2:E$301, 5, FALSE)</f>
        <v>Retail</v>
      </c>
      <c r="P882">
        <f>VLOOKUP(C882, Customers!A$2:C$301, 3, FALSE)</f>
        <v>44</v>
      </c>
      <c r="Q882" t="str">
        <f>VLOOKUP(E882, Sales_Reps!A$2:C$31, 3, FALSE)</f>
        <v>South</v>
      </c>
      <c r="R882">
        <f>VLOOKUP(D882, Products!A$2:D$61, 4, FALSE)</f>
        <v>1435</v>
      </c>
    </row>
    <row r="883" spans="1:18" x14ac:dyDescent="0.3">
      <c r="A883" s="13" t="s">
        <v>1362</v>
      </c>
      <c r="B883" s="14">
        <v>45593</v>
      </c>
      <c r="C883" s="13" t="s">
        <v>225</v>
      </c>
      <c r="D883" s="13" t="s">
        <v>164</v>
      </c>
      <c r="E883" s="13" t="s">
        <v>158</v>
      </c>
      <c r="F883" s="15">
        <v>10</v>
      </c>
      <c r="G883" s="15">
        <v>1080</v>
      </c>
      <c r="H883" s="15">
        <v>21.4</v>
      </c>
      <c r="I883" s="15">
        <v>8488.7999999999993</v>
      </c>
      <c r="J883" s="13" t="s">
        <v>87</v>
      </c>
      <c r="K883" s="13" t="s">
        <v>94</v>
      </c>
      <c r="L883">
        <f>IF(COUNTIF(A$2:A883, A883)=1, IF(COUNTIF(A$2:A$2001, A883)&gt;1, 1, 0), 0)</f>
        <v>0</v>
      </c>
      <c r="M883" t="b">
        <f>VLOOKUP(D883, Products!A$2:F$61, 6, FALSE)</f>
        <v>1</v>
      </c>
      <c r="N883" t="str">
        <f>VLOOKUP(D883, Products!A$2:C$61, 3, FALSE)</f>
        <v>Home</v>
      </c>
      <c r="O883" t="str">
        <f>VLOOKUP(C883, Customers!A$2:E$301, 5, FALSE)</f>
        <v>Retail</v>
      </c>
      <c r="P883">
        <f>VLOOKUP(C883, Customers!A$2:C$301, 3, FALSE)</f>
        <v>37</v>
      </c>
      <c r="Q883" t="str">
        <f>VLOOKUP(E883, Sales_Reps!A$2:C$31, 3, FALSE)</f>
        <v>East</v>
      </c>
      <c r="R883">
        <f>VLOOKUP(D883, Products!A$2:D$61, 4, FALSE)</f>
        <v>519</v>
      </c>
    </row>
    <row r="884" spans="1:18" x14ac:dyDescent="0.3">
      <c r="A884" s="13" t="s">
        <v>1363</v>
      </c>
      <c r="B884" s="14">
        <v>45497</v>
      </c>
      <c r="C884" s="13" t="s">
        <v>1358</v>
      </c>
      <c r="D884" s="13" t="s">
        <v>443</v>
      </c>
      <c r="E884" s="13" t="s">
        <v>154</v>
      </c>
      <c r="F884" s="15">
        <v>6</v>
      </c>
      <c r="G884" s="15">
        <v>5080</v>
      </c>
      <c r="H884" s="15">
        <v>29.8</v>
      </c>
      <c r="I884" s="15">
        <v>21396.959999999999</v>
      </c>
      <c r="J884" s="13" t="s">
        <v>93</v>
      </c>
      <c r="K884" s="13" t="s">
        <v>112</v>
      </c>
      <c r="L884">
        <f>IF(COUNTIF(A$2:A884, A884)=1, IF(COUNTIF(A$2:A$2001, A884)&gt;1, 1, 0), 0)</f>
        <v>0</v>
      </c>
      <c r="M884" t="b">
        <f>VLOOKUP(D884, Products!A$2:F$61, 6, FALSE)</f>
        <v>1</v>
      </c>
      <c r="N884" t="str">
        <f>VLOOKUP(D884, Products!A$2:C$61, 3, FALSE)</f>
        <v>Home</v>
      </c>
      <c r="O884" t="str">
        <f>VLOOKUP(C884, Customers!A$2:E$301, 5, FALSE)</f>
        <v>Corporate</v>
      </c>
      <c r="P884">
        <f>VLOOKUP(C884, Customers!A$2:C$301, 3, FALSE)</f>
        <v>42</v>
      </c>
      <c r="Q884" t="str">
        <f>VLOOKUP(E884, Sales_Reps!A$2:C$31, 3, FALSE)</f>
        <v>East</v>
      </c>
      <c r="R884">
        <f>VLOOKUP(D884, Products!A$2:D$61, 4, FALSE)</f>
        <v>2459</v>
      </c>
    </row>
    <row r="885" spans="1:18" x14ac:dyDescent="0.3">
      <c r="A885" s="13" t="s">
        <v>1364</v>
      </c>
      <c r="B885" s="14">
        <v>45293</v>
      </c>
      <c r="C885" s="13" t="s">
        <v>126</v>
      </c>
      <c r="D885" s="13" t="s">
        <v>184</v>
      </c>
      <c r="E885" s="13" t="s">
        <v>170</v>
      </c>
      <c r="F885" s="15">
        <v>1</v>
      </c>
      <c r="G885" s="15">
        <v>4880</v>
      </c>
      <c r="H885" s="15">
        <v>28.2</v>
      </c>
      <c r="I885" s="15">
        <v>3503.84</v>
      </c>
      <c r="J885" s="13" t="s">
        <v>87</v>
      </c>
      <c r="K885" s="13" t="s">
        <v>88</v>
      </c>
      <c r="L885">
        <f>IF(COUNTIF(A$2:A885, A885)=1, IF(COUNTIF(A$2:A$2001, A885)&gt;1, 1, 0), 0)</f>
        <v>0</v>
      </c>
      <c r="M885" t="b">
        <f>VLOOKUP(D885, Products!A$2:F$61, 6, FALSE)</f>
        <v>1</v>
      </c>
      <c r="N885" t="str">
        <f>VLOOKUP(D885, Products!A$2:C$61, 3, FALSE)</f>
        <v>Beauty</v>
      </c>
      <c r="O885" t="str">
        <f>VLOOKUP(C885, Customers!A$2:E$301, 5, FALSE)</f>
        <v>Retail</v>
      </c>
      <c r="P885">
        <f>VLOOKUP(C885, Customers!A$2:C$301, 3, FALSE)</f>
        <v>56</v>
      </c>
      <c r="Q885" t="str">
        <f>VLOOKUP(E885, Sales_Reps!A$2:C$31, 3, FALSE)</f>
        <v>West</v>
      </c>
      <c r="R885">
        <f>VLOOKUP(D885, Products!A$2:D$61, 4, FALSE)</f>
        <v>2768</v>
      </c>
    </row>
    <row r="886" spans="1:18" x14ac:dyDescent="0.3">
      <c r="A886" s="13" t="s">
        <v>1365</v>
      </c>
      <c r="B886" s="14">
        <v>45562</v>
      </c>
      <c r="C886" s="13" t="s">
        <v>212</v>
      </c>
      <c r="D886" s="13" t="s">
        <v>245</v>
      </c>
      <c r="E886" s="13" t="s">
        <v>343</v>
      </c>
      <c r="F886" s="15">
        <v>1</v>
      </c>
      <c r="G886" s="15">
        <v>2270</v>
      </c>
      <c r="H886" s="15">
        <v>27.8</v>
      </c>
      <c r="I886" s="15">
        <v>1638.94</v>
      </c>
      <c r="J886" s="13" t="s">
        <v>87</v>
      </c>
      <c r="K886" s="13" t="s">
        <v>112</v>
      </c>
      <c r="L886">
        <f>IF(COUNTIF(A$2:A886, A886)=1, IF(COUNTIF(A$2:A$2001, A886)&gt;1, 1, 0), 0)</f>
        <v>0</v>
      </c>
      <c r="M886" t="b">
        <f>VLOOKUP(D886, Products!A$2:F$61, 6, FALSE)</f>
        <v>1</v>
      </c>
      <c r="N886" t="str">
        <f>VLOOKUP(D886, Products!A$2:C$61, 3, FALSE)</f>
        <v>Grocery</v>
      </c>
      <c r="O886" t="str">
        <f>VLOOKUP(C886, Customers!A$2:E$301, 5, FALSE)</f>
        <v>SMB</v>
      </c>
      <c r="P886">
        <f>VLOOKUP(C886, Customers!A$2:C$301, 3, FALSE)</f>
        <v>36</v>
      </c>
      <c r="Q886" t="str">
        <f>VLOOKUP(E886, Sales_Reps!A$2:C$31, 3, FALSE)</f>
        <v>West</v>
      </c>
      <c r="R886">
        <f>VLOOKUP(D886, Products!A$2:D$61, 4, FALSE)</f>
        <v>1412</v>
      </c>
    </row>
    <row r="887" spans="1:18" x14ac:dyDescent="0.3">
      <c r="A887" s="13" t="s">
        <v>1366</v>
      </c>
      <c r="B887" s="14">
        <v>45638</v>
      </c>
      <c r="C887" s="13" t="s">
        <v>522</v>
      </c>
      <c r="D887" s="13" t="s">
        <v>408</v>
      </c>
      <c r="E887" s="13" t="s">
        <v>121</v>
      </c>
      <c r="F887" s="15">
        <v>9</v>
      </c>
      <c r="G887" s="15">
        <v>3970</v>
      </c>
      <c r="H887" s="15">
        <v>7</v>
      </c>
      <c r="I887" s="15">
        <v>33228.9</v>
      </c>
      <c r="J887" s="13" t="s">
        <v>87</v>
      </c>
      <c r="K887" s="13" t="s">
        <v>99</v>
      </c>
      <c r="L887">
        <f>IF(COUNTIF(A$2:A887, A887)=1, IF(COUNTIF(A$2:A$2001, A887)&gt;1, 1, 0), 0)</f>
        <v>0</v>
      </c>
      <c r="M887" t="b">
        <f>VLOOKUP(D887, Products!A$2:F$61, 6, FALSE)</f>
        <v>1</v>
      </c>
      <c r="N887" t="str">
        <f>VLOOKUP(D887, Products!A$2:C$61, 3, FALSE)</f>
        <v>Electronics</v>
      </c>
      <c r="O887" t="str">
        <f>VLOOKUP(C887, Customers!A$2:E$301, 5, FALSE)</f>
        <v>SMB</v>
      </c>
      <c r="P887">
        <f>VLOOKUP(C887, Customers!A$2:C$301, 3, FALSE)</f>
        <v>55</v>
      </c>
      <c r="Q887" t="str">
        <f>VLOOKUP(E887, Sales_Reps!A$2:C$31, 3, FALSE)</f>
        <v>East</v>
      </c>
      <c r="R887">
        <f>VLOOKUP(D887, Products!A$2:D$61, 4, FALSE)</f>
        <v>2865</v>
      </c>
    </row>
    <row r="888" spans="1:18" x14ac:dyDescent="0.3">
      <c r="A888" s="13" t="s">
        <v>1367</v>
      </c>
      <c r="B888" s="14">
        <v>45408</v>
      </c>
      <c r="C888" s="13" t="s">
        <v>606</v>
      </c>
      <c r="D888" s="13" t="s">
        <v>191</v>
      </c>
      <c r="E888" s="13" t="s">
        <v>148</v>
      </c>
      <c r="F888" s="15">
        <v>9</v>
      </c>
      <c r="G888" s="15">
        <v>5100</v>
      </c>
      <c r="H888" s="15">
        <v>9.6999999999999993</v>
      </c>
      <c r="I888" s="15">
        <v>41447.699999999997</v>
      </c>
      <c r="J888" s="13" t="s">
        <v>87</v>
      </c>
      <c r="K888" s="13" t="s">
        <v>112</v>
      </c>
      <c r="L888">
        <f>IF(COUNTIF(A$2:A888, A888)=1, IF(COUNTIF(A$2:A$2001, A888)&gt;1, 1, 0), 0)</f>
        <v>0</v>
      </c>
      <c r="M888" t="b">
        <f>VLOOKUP(D888, Products!A$2:F$61, 6, FALSE)</f>
        <v>1</v>
      </c>
      <c r="N888" t="str">
        <f>VLOOKUP(D888, Products!A$2:C$61, 3, FALSE)</f>
        <v>Beauty</v>
      </c>
      <c r="O888" t="str">
        <f>VLOOKUP(C888, Customers!A$2:E$301, 5, FALSE)</f>
        <v>Retail</v>
      </c>
      <c r="P888">
        <f>VLOOKUP(C888, Customers!A$2:C$301, 3, FALSE)</f>
        <v>52</v>
      </c>
      <c r="Q888" t="str">
        <f>VLOOKUP(E888, Sales_Reps!A$2:C$31, 3, FALSE)</f>
        <v>North</v>
      </c>
      <c r="R888">
        <f>VLOOKUP(D888, Products!A$2:D$61, 4, FALSE)</f>
        <v>2237</v>
      </c>
    </row>
    <row r="889" spans="1:18" x14ac:dyDescent="0.3">
      <c r="A889" s="13" t="s">
        <v>1368</v>
      </c>
      <c r="B889" s="14">
        <v>45498</v>
      </c>
      <c r="C889" s="13" t="s">
        <v>546</v>
      </c>
      <c r="D889" s="13" t="s">
        <v>147</v>
      </c>
      <c r="E889" s="13" t="s">
        <v>92</v>
      </c>
      <c r="F889" s="15">
        <v>8</v>
      </c>
      <c r="G889" s="15">
        <v>190</v>
      </c>
      <c r="H889" s="15">
        <v>10.199999999999999</v>
      </c>
      <c r="I889" s="15">
        <v>1364.96</v>
      </c>
      <c r="J889" s="13" t="s">
        <v>87</v>
      </c>
      <c r="K889" s="13" t="s">
        <v>99</v>
      </c>
      <c r="L889">
        <f>IF(COUNTIF(A$2:A889, A889)=1, IF(COUNTIF(A$2:A$2001, A889)&gt;1, 1, 0), 0)</f>
        <v>0</v>
      </c>
      <c r="M889" t="b">
        <f>VLOOKUP(D889, Products!A$2:F$61, 6, FALSE)</f>
        <v>1</v>
      </c>
      <c r="N889" t="str">
        <f>VLOOKUP(D889, Products!A$2:C$61, 3, FALSE)</f>
        <v>Sports</v>
      </c>
      <c r="O889" t="str">
        <f>VLOOKUP(C889, Customers!A$2:E$301, 5, FALSE)</f>
        <v>SMB</v>
      </c>
      <c r="P889">
        <f>VLOOKUP(C889, Customers!A$2:C$301, 3, FALSE)</f>
        <v>29</v>
      </c>
      <c r="Q889" t="str">
        <f>VLOOKUP(E889, Sales_Reps!A$2:C$31, 3, FALSE)</f>
        <v>North</v>
      </c>
      <c r="R889">
        <f>VLOOKUP(D889, Products!A$2:D$61, 4, FALSE)</f>
        <v>147</v>
      </c>
    </row>
    <row r="890" spans="1:18" x14ac:dyDescent="0.3">
      <c r="A890" s="13" t="s">
        <v>1369</v>
      </c>
      <c r="B890" s="14">
        <v>45649</v>
      </c>
      <c r="C890" s="13" t="s">
        <v>371</v>
      </c>
      <c r="D890" s="13" t="s">
        <v>241</v>
      </c>
      <c r="E890" s="13" t="s">
        <v>201</v>
      </c>
      <c r="F890" s="15">
        <v>1</v>
      </c>
      <c r="G890" s="15">
        <v>6080</v>
      </c>
      <c r="H890" s="15">
        <v>5.6</v>
      </c>
      <c r="I890" s="15">
        <v>5739.52</v>
      </c>
      <c r="J890" s="13" t="s">
        <v>87</v>
      </c>
      <c r="K890" s="13" t="s">
        <v>112</v>
      </c>
      <c r="L890">
        <f>IF(COUNTIF(A$2:A890, A890)=1, IF(COUNTIF(A$2:A$2001, A890)&gt;1, 1, 0), 0)</f>
        <v>0</v>
      </c>
      <c r="M890" t="b">
        <f>VLOOKUP(D890, Products!A$2:F$61, 6, FALSE)</f>
        <v>1</v>
      </c>
      <c r="N890" t="str">
        <f>VLOOKUP(D890, Products!A$2:C$61, 3, FALSE)</f>
        <v>Beauty</v>
      </c>
      <c r="O890" t="str">
        <f>VLOOKUP(C890, Customers!A$2:E$301, 5, FALSE)</f>
        <v>Retail</v>
      </c>
      <c r="P890">
        <f>VLOOKUP(C890, Customers!A$2:C$301, 3, FALSE)</f>
        <v>42</v>
      </c>
      <c r="Q890" t="str">
        <f>VLOOKUP(E890, Sales_Reps!A$2:C$31, 3, FALSE)</f>
        <v>West</v>
      </c>
      <c r="R890">
        <f>VLOOKUP(D890, Products!A$2:D$61, 4, FALSE)</f>
        <v>2617</v>
      </c>
    </row>
    <row r="891" spans="1:18" x14ac:dyDescent="0.3">
      <c r="A891" s="13" t="s">
        <v>1370</v>
      </c>
      <c r="B891" s="14">
        <v>45484</v>
      </c>
      <c r="C891" s="13" t="s">
        <v>597</v>
      </c>
      <c r="D891" s="13" t="s">
        <v>115</v>
      </c>
      <c r="E891" s="13" t="s">
        <v>192</v>
      </c>
      <c r="F891" s="15">
        <v>6</v>
      </c>
      <c r="G891" s="15">
        <v>960</v>
      </c>
      <c r="H891" s="15">
        <v>1.9</v>
      </c>
      <c r="I891" s="15">
        <v>5650.56</v>
      </c>
      <c r="J891" s="13" t="s">
        <v>87</v>
      </c>
      <c r="K891" s="13" t="s">
        <v>112</v>
      </c>
      <c r="L891">
        <f>IF(COUNTIF(A$2:A891, A891)=1, IF(COUNTIF(A$2:A$2001, A891)&gt;1, 1, 0), 0)</f>
        <v>0</v>
      </c>
      <c r="M891" t="b">
        <f>VLOOKUP(D891, Products!A$2:F$61, 6, FALSE)</f>
        <v>1</v>
      </c>
      <c r="N891" t="str">
        <f>VLOOKUP(D891, Products!A$2:C$61, 3, FALSE)</f>
        <v>Sports</v>
      </c>
      <c r="O891" t="str">
        <f>VLOOKUP(C891, Customers!A$2:E$301, 5, FALSE)</f>
        <v>Retail</v>
      </c>
      <c r="P891">
        <f>VLOOKUP(C891, Customers!A$2:C$301, 3, FALSE)</f>
        <v>39</v>
      </c>
      <c r="Q891" t="str">
        <f>VLOOKUP(E891, Sales_Reps!A$2:C$31, 3, FALSE)</f>
        <v>East</v>
      </c>
      <c r="R891">
        <f>VLOOKUP(D891, Products!A$2:D$61, 4, FALSE)</f>
        <v>705</v>
      </c>
    </row>
    <row r="892" spans="1:18" x14ac:dyDescent="0.3">
      <c r="A892" s="13" t="s">
        <v>1371</v>
      </c>
      <c r="B892" s="14">
        <v>45316</v>
      </c>
      <c r="C892" s="13" t="s">
        <v>533</v>
      </c>
      <c r="D892" s="13" t="s">
        <v>259</v>
      </c>
      <c r="E892" s="13" t="s">
        <v>139</v>
      </c>
      <c r="F892" s="15">
        <v>7</v>
      </c>
      <c r="G892" s="15">
        <v>1540</v>
      </c>
      <c r="H892" s="15">
        <v>7.1</v>
      </c>
      <c r="I892" s="15">
        <v>10014.620000000001</v>
      </c>
      <c r="J892" s="13" t="s">
        <v>87</v>
      </c>
      <c r="K892" s="13" t="s">
        <v>99</v>
      </c>
      <c r="L892">
        <f>IF(COUNTIF(A$2:A892, A892)=1, IF(COUNTIF(A$2:A$2001, A892)&gt;1, 1, 0), 0)</f>
        <v>0</v>
      </c>
      <c r="M892" t="b">
        <f>VLOOKUP(D892, Products!A$2:F$61, 6, FALSE)</f>
        <v>0</v>
      </c>
      <c r="N892" t="str">
        <f>VLOOKUP(D892, Products!A$2:C$61, 3, FALSE)</f>
        <v>Beauty</v>
      </c>
      <c r="O892" t="str">
        <f>VLOOKUP(C892, Customers!A$2:E$301, 5, FALSE)</f>
        <v>SMB</v>
      </c>
      <c r="P892">
        <f>VLOOKUP(C892, Customers!A$2:C$301, 3, FALSE)</f>
        <v>48</v>
      </c>
      <c r="Q892" t="str">
        <f>VLOOKUP(E892, Sales_Reps!A$2:C$31, 3, FALSE)</f>
        <v>North</v>
      </c>
      <c r="R892">
        <f>VLOOKUP(D892, Products!A$2:D$61, 4, FALSE)</f>
        <v>647</v>
      </c>
    </row>
    <row r="893" spans="1:18" x14ac:dyDescent="0.3">
      <c r="A893" s="13" t="s">
        <v>1372</v>
      </c>
      <c r="B893" s="14">
        <v>45328</v>
      </c>
      <c r="C893" s="13" t="s">
        <v>261</v>
      </c>
      <c r="D893" s="13" t="s">
        <v>282</v>
      </c>
      <c r="E893" s="13" t="s">
        <v>273</v>
      </c>
      <c r="F893" s="15">
        <v>10</v>
      </c>
      <c r="G893" s="15">
        <v>300</v>
      </c>
      <c r="H893" s="15">
        <v>12.8</v>
      </c>
      <c r="I893" s="15">
        <v>2616</v>
      </c>
      <c r="J893" s="13" t="s">
        <v>140</v>
      </c>
      <c r="K893" s="13" t="s">
        <v>99</v>
      </c>
      <c r="L893">
        <f>IF(COUNTIF(A$2:A893, A893)=1, IF(COUNTIF(A$2:A$2001, A893)&gt;1, 1, 0), 0)</f>
        <v>0</v>
      </c>
      <c r="M893" t="b">
        <f>VLOOKUP(D893, Products!A$2:F$61, 6, FALSE)</f>
        <v>1</v>
      </c>
      <c r="N893" t="str">
        <f>VLOOKUP(D893, Products!A$2:C$61, 3, FALSE)</f>
        <v>Electronics</v>
      </c>
      <c r="O893" t="str">
        <f>VLOOKUP(C893, Customers!A$2:E$301, 5, FALSE)</f>
        <v>Retail</v>
      </c>
      <c r="P893">
        <f>VLOOKUP(C893, Customers!A$2:C$301, 3, FALSE)</f>
        <v>54</v>
      </c>
      <c r="Q893" t="str">
        <f>VLOOKUP(E893, Sales_Reps!A$2:C$31, 3, FALSE)</f>
        <v>South</v>
      </c>
      <c r="R893">
        <f>VLOOKUP(D893, Products!A$2:D$61, 4, FALSE)</f>
        <v>128</v>
      </c>
    </row>
    <row r="894" spans="1:18" x14ac:dyDescent="0.3">
      <c r="A894" s="13" t="s">
        <v>1373</v>
      </c>
      <c r="B894" s="14">
        <v>45456</v>
      </c>
      <c r="C894" s="13" t="s">
        <v>537</v>
      </c>
      <c r="D894" s="13" t="s">
        <v>184</v>
      </c>
      <c r="E894" s="13" t="s">
        <v>273</v>
      </c>
      <c r="F894" s="15">
        <v>4</v>
      </c>
      <c r="G894" s="15">
        <v>4880</v>
      </c>
      <c r="H894" s="15">
        <v>26.5</v>
      </c>
      <c r="I894" s="15">
        <v>14347.2</v>
      </c>
      <c r="J894" s="13" t="s">
        <v>87</v>
      </c>
      <c r="K894" s="13" t="s">
        <v>133</v>
      </c>
      <c r="L894">
        <f>IF(COUNTIF(A$2:A894, A894)=1, IF(COUNTIF(A$2:A$2001, A894)&gt;1, 1, 0), 0)</f>
        <v>0</v>
      </c>
      <c r="M894" t="b">
        <f>VLOOKUP(D894, Products!A$2:F$61, 6, FALSE)</f>
        <v>1</v>
      </c>
      <c r="N894" t="str">
        <f>VLOOKUP(D894, Products!A$2:C$61, 3, FALSE)</f>
        <v>Beauty</v>
      </c>
      <c r="O894" t="str">
        <f>VLOOKUP(C894, Customers!A$2:E$301, 5, FALSE)</f>
        <v>SMB</v>
      </c>
      <c r="P894">
        <f>VLOOKUP(C894, Customers!A$2:C$301, 3, FALSE)</f>
        <v>48</v>
      </c>
      <c r="Q894" t="str">
        <f>VLOOKUP(E894, Sales_Reps!A$2:C$31, 3, FALSE)</f>
        <v>South</v>
      </c>
      <c r="R894">
        <f>VLOOKUP(D894, Products!A$2:D$61, 4, FALSE)</f>
        <v>2768</v>
      </c>
    </row>
    <row r="895" spans="1:18" x14ac:dyDescent="0.3">
      <c r="A895" s="13" t="s">
        <v>1374</v>
      </c>
      <c r="B895" s="14">
        <v>45589</v>
      </c>
      <c r="C895" s="13" t="s">
        <v>1261</v>
      </c>
      <c r="D895" s="13" t="s">
        <v>110</v>
      </c>
      <c r="E895" s="13" t="s">
        <v>148</v>
      </c>
      <c r="F895" s="15">
        <v>2</v>
      </c>
      <c r="G895" s="15">
        <v>370</v>
      </c>
      <c r="H895" s="15">
        <v>26.5</v>
      </c>
      <c r="I895" s="15">
        <v>543.9</v>
      </c>
      <c r="J895" s="13" t="s">
        <v>87</v>
      </c>
      <c r="K895" s="13" t="s">
        <v>117</v>
      </c>
      <c r="L895">
        <f>IF(COUNTIF(A$2:A895, A895)=1, IF(COUNTIF(A$2:A$2001, A895)&gt;1, 1, 0), 0)</f>
        <v>0</v>
      </c>
      <c r="M895" t="b">
        <f>VLOOKUP(D895, Products!A$2:F$61, 6, FALSE)</f>
        <v>1</v>
      </c>
      <c r="N895" t="str">
        <f>VLOOKUP(D895, Products!A$2:C$61, 3, FALSE)</f>
        <v>Home</v>
      </c>
      <c r="O895" t="str">
        <f>VLOOKUP(C895, Customers!A$2:E$301, 5, FALSE)</f>
        <v>Retail</v>
      </c>
      <c r="P895">
        <f>VLOOKUP(C895, Customers!A$2:C$301, 3, FALSE)</f>
        <v>54</v>
      </c>
      <c r="Q895" t="str">
        <f>VLOOKUP(E895, Sales_Reps!A$2:C$31, 3, FALSE)</f>
        <v>North</v>
      </c>
      <c r="R895">
        <f>VLOOKUP(D895, Products!A$2:D$61, 4, FALSE)</f>
        <v>288</v>
      </c>
    </row>
    <row r="896" spans="1:18" x14ac:dyDescent="0.3">
      <c r="A896" s="13" t="s">
        <v>1375</v>
      </c>
      <c r="B896" s="14">
        <v>45593</v>
      </c>
      <c r="C896" s="13" t="s">
        <v>376</v>
      </c>
      <c r="D896" s="13" t="s">
        <v>270</v>
      </c>
      <c r="E896" s="13" t="s">
        <v>297</v>
      </c>
      <c r="F896" s="15">
        <v>3</v>
      </c>
      <c r="G896" s="15">
        <v>4610</v>
      </c>
      <c r="H896" s="15">
        <v>29.7</v>
      </c>
      <c r="I896" s="15">
        <v>9722.49</v>
      </c>
      <c r="J896" s="13" t="s">
        <v>87</v>
      </c>
      <c r="K896" s="13" t="s">
        <v>117</v>
      </c>
      <c r="L896">
        <f>IF(COUNTIF(A$2:A896, A896)=1, IF(COUNTIF(A$2:A$2001, A896)&gt;1, 1, 0), 0)</f>
        <v>0</v>
      </c>
      <c r="M896" t="b">
        <f>VLOOKUP(D896, Products!A$2:F$61, 6, FALSE)</f>
        <v>1</v>
      </c>
      <c r="N896" t="str">
        <f>VLOOKUP(D896, Products!A$2:C$61, 3, FALSE)</f>
        <v>Home</v>
      </c>
      <c r="O896" t="str">
        <f>VLOOKUP(C896, Customers!A$2:E$301, 5, FALSE)</f>
        <v>SMB</v>
      </c>
      <c r="P896">
        <f>VLOOKUP(C896, Customers!A$2:C$301, 3, FALSE)</f>
        <v>44</v>
      </c>
      <c r="Q896" t="str">
        <f>VLOOKUP(E896, Sales_Reps!A$2:C$31, 3, FALSE)</f>
        <v>North</v>
      </c>
      <c r="R896">
        <f>VLOOKUP(D896, Products!A$2:D$61, 4, FALSE)</f>
        <v>1850</v>
      </c>
    </row>
    <row r="897" spans="1:18" x14ac:dyDescent="0.3">
      <c r="A897" s="13" t="s">
        <v>1376</v>
      </c>
      <c r="B897" s="14">
        <v>45539</v>
      </c>
      <c r="C897" s="13" t="s">
        <v>673</v>
      </c>
      <c r="D897" s="13" t="s">
        <v>138</v>
      </c>
      <c r="E897" s="13" t="s">
        <v>252</v>
      </c>
      <c r="F897" s="15">
        <v>5</v>
      </c>
      <c r="G897" s="15">
        <v>2600</v>
      </c>
      <c r="H897" s="15">
        <v>21.4</v>
      </c>
      <c r="I897" s="15">
        <v>10218</v>
      </c>
      <c r="J897" s="13" t="s">
        <v>87</v>
      </c>
      <c r="K897" s="13" t="s">
        <v>112</v>
      </c>
      <c r="L897">
        <f>IF(COUNTIF(A$2:A897, A897)=1, IF(COUNTIF(A$2:A$2001, A897)&gt;1, 1, 0), 0)</f>
        <v>0</v>
      </c>
      <c r="M897" t="b">
        <f>VLOOKUP(D897, Products!A$2:F$61, 6, FALSE)</f>
        <v>1</v>
      </c>
      <c r="N897" t="str">
        <f>VLOOKUP(D897, Products!A$2:C$61, 3, FALSE)</f>
        <v>Electronics</v>
      </c>
      <c r="O897" t="str">
        <f>VLOOKUP(C897, Customers!A$2:E$301, 5, FALSE)</f>
        <v>Retail</v>
      </c>
      <c r="P897">
        <f>VLOOKUP(C897, Customers!A$2:C$301, 3, FALSE)</f>
        <v>35</v>
      </c>
      <c r="Q897" t="str">
        <f>VLOOKUP(E897, Sales_Reps!A$2:C$31, 3, FALSE)</f>
        <v>South</v>
      </c>
      <c r="R897">
        <f>VLOOKUP(D897, Products!A$2:D$61, 4, FALSE)</f>
        <v>1052</v>
      </c>
    </row>
    <row r="898" spans="1:18" x14ac:dyDescent="0.3">
      <c r="A898" s="13" t="s">
        <v>1054</v>
      </c>
      <c r="B898" s="14">
        <v>45436</v>
      </c>
      <c r="C898" s="13" t="s">
        <v>720</v>
      </c>
      <c r="D898" s="13" t="s">
        <v>267</v>
      </c>
      <c r="E898" s="13" t="s">
        <v>111</v>
      </c>
      <c r="F898" s="15">
        <v>10</v>
      </c>
      <c r="G898" s="15">
        <v>1220</v>
      </c>
      <c r="H898" s="15">
        <v>24.3</v>
      </c>
      <c r="I898" s="15">
        <v>9235.4</v>
      </c>
      <c r="J898" s="13" t="s">
        <v>87</v>
      </c>
      <c r="K898" s="13" t="s">
        <v>88</v>
      </c>
      <c r="L898">
        <f>IF(COUNTIF(A$2:A898, A898)=1, IF(COUNTIF(A$2:A$2001, A898)&gt;1, 1, 0), 0)</f>
        <v>0</v>
      </c>
      <c r="M898" t="b">
        <f>VLOOKUP(D898, Products!A$2:F$61, 6, FALSE)</f>
        <v>1</v>
      </c>
      <c r="N898" t="str">
        <f>VLOOKUP(D898, Products!A$2:C$61, 3, FALSE)</f>
        <v>Electronics</v>
      </c>
      <c r="O898" t="str">
        <f>VLOOKUP(C898, Customers!A$2:E$301, 5, FALSE)</f>
        <v>Retail</v>
      </c>
      <c r="P898">
        <f>VLOOKUP(C898, Customers!A$2:C$301, 3, FALSE)</f>
        <v>48</v>
      </c>
      <c r="Q898" t="str">
        <f>VLOOKUP(E898, Sales_Reps!A$2:C$31, 3, FALSE)</f>
        <v>West</v>
      </c>
      <c r="R898">
        <f>VLOOKUP(D898, Products!A$2:D$61, 4, FALSE)</f>
        <v>517</v>
      </c>
    </row>
    <row r="899" spans="1:18" x14ac:dyDescent="0.3">
      <c r="A899" s="13" t="s">
        <v>1377</v>
      </c>
      <c r="B899" s="14">
        <v>45646</v>
      </c>
      <c r="C899" s="13" t="s">
        <v>1378</v>
      </c>
      <c r="D899" s="13" t="s">
        <v>120</v>
      </c>
      <c r="E899" s="13" t="s">
        <v>188</v>
      </c>
      <c r="F899" s="15">
        <v>10</v>
      </c>
      <c r="G899" s="15">
        <v>1430</v>
      </c>
      <c r="H899" s="15">
        <v>5.0999999999999996</v>
      </c>
      <c r="I899" s="15">
        <v>13570.7</v>
      </c>
      <c r="J899" s="13" t="s">
        <v>140</v>
      </c>
      <c r="K899" s="13" t="s">
        <v>94</v>
      </c>
      <c r="L899">
        <f>IF(COUNTIF(A$2:A899, A899)=1, IF(COUNTIF(A$2:A$2001, A899)&gt;1, 1, 0), 0)</f>
        <v>0</v>
      </c>
      <c r="M899" t="b">
        <f>VLOOKUP(D899, Products!A$2:F$61, 6, FALSE)</f>
        <v>1</v>
      </c>
      <c r="N899" t="str">
        <f>VLOOKUP(D899, Products!A$2:C$61, 3, FALSE)</f>
        <v>Electronics</v>
      </c>
      <c r="O899" t="e">
        <f>VLOOKUP(C899, Customers!A$2:E$301, 5, FALSE)</f>
        <v>#N/A</v>
      </c>
      <c r="P899" t="e">
        <f>VLOOKUP(C899, Customers!A$2:C$301, 3, FALSE)</f>
        <v>#N/A</v>
      </c>
      <c r="Q899" t="str">
        <f>VLOOKUP(E899, Sales_Reps!A$2:C$31, 3, FALSE)</f>
        <v>South</v>
      </c>
      <c r="R899">
        <f>VLOOKUP(D899, Products!A$2:D$61, 4, FALSE)</f>
        <v>861</v>
      </c>
    </row>
    <row r="900" spans="1:18" x14ac:dyDescent="0.3">
      <c r="A900" s="13" t="s">
        <v>1379</v>
      </c>
      <c r="B900" s="14">
        <v>45478</v>
      </c>
      <c r="C900" s="13" t="s">
        <v>301</v>
      </c>
      <c r="D900" s="13" t="s">
        <v>184</v>
      </c>
      <c r="E900" s="13" t="s">
        <v>170</v>
      </c>
      <c r="F900" s="15">
        <v>10</v>
      </c>
      <c r="G900" s="15">
        <v>4880</v>
      </c>
      <c r="H900" s="15">
        <v>25.5</v>
      </c>
      <c r="I900" s="15">
        <v>36356</v>
      </c>
      <c r="J900" s="13" t="s">
        <v>140</v>
      </c>
      <c r="K900" s="13" t="s">
        <v>94</v>
      </c>
      <c r="L900">
        <f>IF(COUNTIF(A$2:A900, A900)=1, IF(COUNTIF(A$2:A$2001, A900)&gt;1, 1, 0), 0)</f>
        <v>0</v>
      </c>
      <c r="M900" t="b">
        <f>VLOOKUP(D900, Products!A$2:F$61, 6, FALSE)</f>
        <v>1</v>
      </c>
      <c r="N900" t="str">
        <f>VLOOKUP(D900, Products!A$2:C$61, 3, FALSE)</f>
        <v>Beauty</v>
      </c>
      <c r="O900" t="str">
        <f>VLOOKUP(C900, Customers!A$2:E$301, 5, FALSE)</f>
        <v>Retail</v>
      </c>
      <c r="P900">
        <f>VLOOKUP(C900, Customers!A$2:C$301, 3, FALSE)</f>
        <v>41</v>
      </c>
      <c r="Q900" t="str">
        <f>VLOOKUP(E900, Sales_Reps!A$2:C$31, 3, FALSE)</f>
        <v>West</v>
      </c>
      <c r="R900">
        <f>VLOOKUP(D900, Products!A$2:D$61, 4, FALSE)</f>
        <v>2768</v>
      </c>
    </row>
    <row r="901" spans="1:18" x14ac:dyDescent="0.3">
      <c r="A901" s="13" t="s">
        <v>1380</v>
      </c>
      <c r="B901" s="14">
        <v>45518</v>
      </c>
      <c r="C901" s="13" t="s">
        <v>966</v>
      </c>
      <c r="D901" s="13" t="s">
        <v>241</v>
      </c>
      <c r="E901" s="13" t="s">
        <v>128</v>
      </c>
      <c r="F901" s="15">
        <v>6</v>
      </c>
      <c r="G901" s="15">
        <v>6080</v>
      </c>
      <c r="H901" s="15">
        <v>21.6</v>
      </c>
      <c r="I901" s="15">
        <v>28600.32</v>
      </c>
      <c r="J901" s="13" t="s">
        <v>87</v>
      </c>
      <c r="K901" s="13" t="s">
        <v>133</v>
      </c>
      <c r="L901">
        <f>IF(COUNTIF(A$2:A901, A901)=1, IF(COUNTIF(A$2:A$2001, A901)&gt;1, 1, 0), 0)</f>
        <v>0</v>
      </c>
      <c r="M901" t="b">
        <f>VLOOKUP(D901, Products!A$2:F$61, 6, FALSE)</f>
        <v>1</v>
      </c>
      <c r="N901" t="str">
        <f>VLOOKUP(D901, Products!A$2:C$61, 3, FALSE)</f>
        <v>Beauty</v>
      </c>
      <c r="O901" t="str">
        <f>VLOOKUP(C901, Customers!A$2:E$301, 5, FALSE)</f>
        <v>SMB</v>
      </c>
      <c r="P901">
        <f>VLOOKUP(C901, Customers!A$2:C$301, 3, FALSE)</f>
        <v>31</v>
      </c>
      <c r="Q901" t="str">
        <f>VLOOKUP(E901, Sales_Reps!A$2:C$31, 3, FALSE)</f>
        <v>West</v>
      </c>
      <c r="R901">
        <f>VLOOKUP(D901, Products!A$2:D$61, 4, FALSE)</f>
        <v>2617</v>
      </c>
    </row>
    <row r="902" spans="1:18" x14ac:dyDescent="0.3">
      <c r="A902" s="13" t="s">
        <v>1381</v>
      </c>
      <c r="B902" s="14">
        <v>45319</v>
      </c>
      <c r="C902" s="13" t="s">
        <v>541</v>
      </c>
      <c r="D902" s="13" t="s">
        <v>276</v>
      </c>
      <c r="E902" s="13" t="s">
        <v>252</v>
      </c>
      <c r="F902" s="15">
        <v>3</v>
      </c>
      <c r="G902" s="15">
        <v>3020</v>
      </c>
      <c r="H902" s="15">
        <v>20.7</v>
      </c>
      <c r="I902" s="15">
        <v>7184.58</v>
      </c>
      <c r="J902" s="13" t="s">
        <v>87</v>
      </c>
      <c r="K902" s="13" t="s">
        <v>94</v>
      </c>
      <c r="L902">
        <f>IF(COUNTIF(A$2:A902, A902)=1, IF(COUNTIF(A$2:A$2001, A902)&gt;1, 1, 0), 0)</f>
        <v>0</v>
      </c>
      <c r="M902" t="b">
        <f>VLOOKUP(D902, Products!A$2:F$61, 6, FALSE)</f>
        <v>1</v>
      </c>
      <c r="N902" t="str">
        <f>VLOOKUP(D902, Products!A$2:C$61, 3, FALSE)</f>
        <v>Beauty</v>
      </c>
      <c r="O902" t="str">
        <f>VLOOKUP(C902, Customers!A$2:E$301, 5, FALSE)</f>
        <v>Corporate</v>
      </c>
      <c r="P902">
        <f>VLOOKUP(C902, Customers!A$2:C$301, 3, FALSE)</f>
        <v>34</v>
      </c>
      <c r="Q902" t="str">
        <f>VLOOKUP(E902, Sales_Reps!A$2:C$31, 3, FALSE)</f>
        <v>South</v>
      </c>
      <c r="R902">
        <f>VLOOKUP(D902, Products!A$2:D$61, 4, FALSE)</f>
        <v>1626</v>
      </c>
    </row>
    <row r="903" spans="1:18" x14ac:dyDescent="0.3">
      <c r="A903" s="13" t="s">
        <v>1382</v>
      </c>
      <c r="B903" s="14">
        <v>45445</v>
      </c>
      <c r="C903" s="13" t="s">
        <v>331</v>
      </c>
      <c r="D903" s="13" t="s">
        <v>173</v>
      </c>
      <c r="E903" s="13" t="s">
        <v>252</v>
      </c>
      <c r="F903" s="15">
        <v>9</v>
      </c>
      <c r="G903" s="15">
        <v>2720</v>
      </c>
      <c r="H903" s="15">
        <v>21.4</v>
      </c>
      <c r="I903" s="15">
        <v>19241.28</v>
      </c>
      <c r="J903" s="13" t="s">
        <v>87</v>
      </c>
      <c r="K903" s="13" t="s">
        <v>117</v>
      </c>
      <c r="L903">
        <f>IF(COUNTIF(A$2:A903, A903)=1, IF(COUNTIF(A$2:A$2001, A903)&gt;1, 1, 0), 0)</f>
        <v>0</v>
      </c>
      <c r="M903" t="b">
        <f>VLOOKUP(D903, Products!A$2:F$61, 6, FALSE)</f>
        <v>1</v>
      </c>
      <c r="N903" t="str">
        <f>VLOOKUP(D903, Products!A$2:C$61, 3, FALSE)</f>
        <v>Apparel</v>
      </c>
      <c r="O903" t="str">
        <f>VLOOKUP(C903, Customers!A$2:E$301, 5, FALSE)</f>
        <v>Corporate</v>
      </c>
      <c r="P903">
        <f>VLOOKUP(C903, Customers!A$2:C$301, 3, FALSE)</f>
        <v>59</v>
      </c>
      <c r="Q903" t="str">
        <f>VLOOKUP(E903, Sales_Reps!A$2:C$31, 3, FALSE)</f>
        <v>South</v>
      </c>
      <c r="R903">
        <f>VLOOKUP(D903, Products!A$2:D$61, 4, FALSE)</f>
        <v>1962</v>
      </c>
    </row>
    <row r="904" spans="1:18" x14ac:dyDescent="0.3">
      <c r="A904" s="13" t="s">
        <v>1383</v>
      </c>
      <c r="B904" s="14">
        <v>45417</v>
      </c>
      <c r="C904" s="13" t="s">
        <v>272</v>
      </c>
      <c r="D904" s="13" t="s">
        <v>187</v>
      </c>
      <c r="E904" s="13" t="s">
        <v>111</v>
      </c>
      <c r="F904" s="15">
        <v>10</v>
      </c>
      <c r="G904" s="15">
        <v>3570</v>
      </c>
      <c r="H904" s="15">
        <v>4.4000000000000004</v>
      </c>
      <c r="I904" s="15">
        <v>34129.199999999997</v>
      </c>
      <c r="J904" s="13" t="s">
        <v>87</v>
      </c>
      <c r="K904" s="13" t="s">
        <v>94</v>
      </c>
      <c r="L904">
        <f>IF(COUNTIF(A$2:A904, A904)=1, IF(COUNTIF(A$2:A$2001, A904)&gt;1, 1, 0), 0)</f>
        <v>0</v>
      </c>
      <c r="M904" t="b">
        <f>VLOOKUP(D904, Products!A$2:F$61, 6, FALSE)</f>
        <v>1</v>
      </c>
      <c r="N904" t="str">
        <f>VLOOKUP(D904, Products!A$2:C$61, 3, FALSE)</f>
        <v>Electronics</v>
      </c>
      <c r="O904" t="str">
        <f>VLOOKUP(C904, Customers!A$2:E$301, 5, FALSE)</f>
        <v>SMB</v>
      </c>
      <c r="P904">
        <f>VLOOKUP(C904, Customers!A$2:C$301, 3, FALSE)</f>
        <v>55</v>
      </c>
      <c r="Q904" t="str">
        <f>VLOOKUP(E904, Sales_Reps!A$2:C$31, 3, FALSE)</f>
        <v>West</v>
      </c>
      <c r="R904">
        <f>VLOOKUP(D904, Products!A$2:D$61, 4, FALSE)</f>
        <v>1665</v>
      </c>
    </row>
    <row r="905" spans="1:18" x14ac:dyDescent="0.3">
      <c r="A905" s="13" t="s">
        <v>1384</v>
      </c>
      <c r="B905" s="14">
        <v>45309</v>
      </c>
      <c r="C905" s="13" t="s">
        <v>1027</v>
      </c>
      <c r="D905" s="13" t="s">
        <v>164</v>
      </c>
      <c r="E905" s="13" t="s">
        <v>98</v>
      </c>
      <c r="F905" s="15">
        <v>8</v>
      </c>
      <c r="G905" s="15">
        <v>1080</v>
      </c>
      <c r="H905" s="15">
        <v>23.8</v>
      </c>
      <c r="I905" s="15">
        <v>6583.68</v>
      </c>
      <c r="J905" s="13" t="s">
        <v>87</v>
      </c>
      <c r="K905" s="13" t="s">
        <v>112</v>
      </c>
      <c r="L905">
        <f>IF(COUNTIF(A$2:A905, A905)=1, IF(COUNTIF(A$2:A$2001, A905)&gt;1, 1, 0), 0)</f>
        <v>0</v>
      </c>
      <c r="M905" t="b">
        <f>VLOOKUP(D905, Products!A$2:F$61, 6, FALSE)</f>
        <v>1</v>
      </c>
      <c r="N905" t="str">
        <f>VLOOKUP(D905, Products!A$2:C$61, 3, FALSE)</f>
        <v>Home</v>
      </c>
      <c r="O905" t="str">
        <f>VLOOKUP(C905, Customers!A$2:E$301, 5, FALSE)</f>
        <v>SMB</v>
      </c>
      <c r="P905">
        <f>VLOOKUP(C905, Customers!A$2:C$301, 3, FALSE)</f>
        <v>47</v>
      </c>
      <c r="Q905" t="str">
        <f>VLOOKUP(E905, Sales_Reps!A$2:C$31, 3, FALSE)</f>
        <v>South</v>
      </c>
      <c r="R905">
        <f>VLOOKUP(D905, Products!A$2:D$61, 4, FALSE)</f>
        <v>519</v>
      </c>
    </row>
    <row r="906" spans="1:18" x14ac:dyDescent="0.3">
      <c r="A906" s="13" t="s">
        <v>1385</v>
      </c>
      <c r="B906" s="14">
        <v>45367</v>
      </c>
      <c r="C906" s="13" t="s">
        <v>837</v>
      </c>
      <c r="D906" s="13" t="s">
        <v>502</v>
      </c>
      <c r="E906" s="13" t="s">
        <v>273</v>
      </c>
      <c r="F906" s="15">
        <v>8</v>
      </c>
      <c r="G906" s="15">
        <v>1090</v>
      </c>
      <c r="H906" s="15">
        <v>17.5</v>
      </c>
      <c r="I906" s="15">
        <v>7194</v>
      </c>
      <c r="J906" s="13" t="s">
        <v>87</v>
      </c>
      <c r="K906" s="13" t="s">
        <v>117</v>
      </c>
      <c r="L906">
        <f>IF(COUNTIF(A$2:A906, A906)=1, IF(COUNTIF(A$2:A$2001, A906)&gt;1, 1, 0), 0)</f>
        <v>0</v>
      </c>
      <c r="M906" t="b">
        <f>VLOOKUP(D906, Products!A$2:F$61, 6, FALSE)</f>
        <v>1</v>
      </c>
      <c r="N906" t="str">
        <f>VLOOKUP(D906, Products!A$2:C$61, 3, FALSE)</f>
        <v>Home</v>
      </c>
      <c r="O906" t="str">
        <f>VLOOKUP(C906, Customers!A$2:E$301, 5, FALSE)</f>
        <v>Retail</v>
      </c>
      <c r="P906">
        <f>VLOOKUP(C906, Customers!A$2:C$301, 3, FALSE)</f>
        <v>37</v>
      </c>
      <c r="Q906" t="str">
        <f>VLOOKUP(E906, Sales_Reps!A$2:C$31, 3, FALSE)</f>
        <v>South</v>
      </c>
      <c r="R906">
        <f>VLOOKUP(D906, Products!A$2:D$61, 4, FALSE)</f>
        <v>464</v>
      </c>
    </row>
    <row r="907" spans="1:18" x14ac:dyDescent="0.3">
      <c r="A907" s="13" t="s">
        <v>1386</v>
      </c>
      <c r="B907" s="14">
        <v>45615</v>
      </c>
      <c r="C907" s="13" t="s">
        <v>1308</v>
      </c>
      <c r="D907" s="13" t="s">
        <v>659</v>
      </c>
      <c r="E907" s="13" t="s">
        <v>343</v>
      </c>
      <c r="F907" s="15">
        <v>7</v>
      </c>
      <c r="G907" s="15">
        <v>3560</v>
      </c>
      <c r="H907" s="15">
        <v>11.1</v>
      </c>
      <c r="I907" s="15">
        <v>22153.88</v>
      </c>
      <c r="J907" s="13" t="s">
        <v>87</v>
      </c>
      <c r="K907" s="13" t="s">
        <v>94</v>
      </c>
      <c r="L907">
        <f>IF(COUNTIF(A$2:A907, A907)=1, IF(COUNTIF(A$2:A$2001, A907)&gt;1, 1, 0), 0)</f>
        <v>0</v>
      </c>
      <c r="M907" t="b">
        <f>VLOOKUP(D907, Products!A$2:F$61, 6, FALSE)</f>
        <v>1</v>
      </c>
      <c r="N907" t="str">
        <f>VLOOKUP(D907, Products!A$2:C$61, 3, FALSE)</f>
        <v>Apparel</v>
      </c>
      <c r="O907" t="str">
        <f>VLOOKUP(C907, Customers!A$2:E$301, 5, FALSE)</f>
        <v>SMB</v>
      </c>
      <c r="P907">
        <f>VLOOKUP(C907, Customers!A$2:C$301, 3, FALSE)</f>
        <v>51</v>
      </c>
      <c r="Q907" t="str">
        <f>VLOOKUP(E907, Sales_Reps!A$2:C$31, 3, FALSE)</f>
        <v>West</v>
      </c>
      <c r="R907">
        <f>VLOOKUP(D907, Products!A$2:D$61, 4, FALSE)</f>
        <v>2629</v>
      </c>
    </row>
    <row r="908" spans="1:18" x14ac:dyDescent="0.3">
      <c r="A908" s="13" t="s">
        <v>1387</v>
      </c>
      <c r="B908" s="14">
        <v>45499</v>
      </c>
      <c r="C908" s="13" t="s">
        <v>228</v>
      </c>
      <c r="D908" s="13" t="s">
        <v>147</v>
      </c>
      <c r="E908" s="13" t="s">
        <v>285</v>
      </c>
      <c r="F908" s="15">
        <v>6</v>
      </c>
      <c r="G908" s="15">
        <v>190</v>
      </c>
      <c r="H908" s="15">
        <v>17.100000000000001</v>
      </c>
      <c r="I908" s="15">
        <v>945.06</v>
      </c>
      <c r="J908" s="13" t="s">
        <v>140</v>
      </c>
      <c r="K908" s="13" t="s">
        <v>112</v>
      </c>
      <c r="L908">
        <f>IF(COUNTIF(A$2:A908, A908)=1, IF(COUNTIF(A$2:A$2001, A908)&gt;1, 1, 0), 0)</f>
        <v>0</v>
      </c>
      <c r="M908" t="b">
        <f>VLOOKUP(D908, Products!A$2:F$61, 6, FALSE)</f>
        <v>1</v>
      </c>
      <c r="N908" t="str">
        <f>VLOOKUP(D908, Products!A$2:C$61, 3, FALSE)</f>
        <v>Sports</v>
      </c>
      <c r="O908" t="str">
        <f>VLOOKUP(C908, Customers!A$2:E$301, 5, FALSE)</f>
        <v>SMB</v>
      </c>
      <c r="P908">
        <f>VLOOKUP(C908, Customers!A$2:C$301, 3, FALSE)</f>
        <v>54</v>
      </c>
      <c r="Q908" t="str">
        <f>VLOOKUP(E908, Sales_Reps!A$2:C$31, 3, FALSE)</f>
        <v>East</v>
      </c>
      <c r="R908">
        <f>VLOOKUP(D908, Products!A$2:D$61, 4, FALSE)</f>
        <v>147</v>
      </c>
    </row>
    <row r="909" spans="1:18" x14ac:dyDescent="0.3">
      <c r="A909" s="13" t="s">
        <v>1388</v>
      </c>
      <c r="B909" s="14">
        <v>45356</v>
      </c>
      <c r="C909" s="13" t="s">
        <v>717</v>
      </c>
      <c r="D909" s="13" t="s">
        <v>351</v>
      </c>
      <c r="E909" s="13" t="s">
        <v>111</v>
      </c>
      <c r="F909" s="15">
        <v>7</v>
      </c>
      <c r="G909" s="15">
        <v>4060</v>
      </c>
      <c r="H909" s="15">
        <v>0.6</v>
      </c>
      <c r="I909" s="15">
        <v>28249.48</v>
      </c>
      <c r="J909" s="13" t="s">
        <v>87</v>
      </c>
      <c r="K909" s="13" t="s">
        <v>94</v>
      </c>
      <c r="L909">
        <f>IF(COUNTIF(A$2:A909, A909)=1, IF(COUNTIF(A$2:A$2001, A909)&gt;1, 1, 0), 0)</f>
        <v>0</v>
      </c>
      <c r="M909" t="b">
        <f>VLOOKUP(D909, Products!A$2:F$61, 6, FALSE)</f>
        <v>1</v>
      </c>
      <c r="N909" t="str">
        <f>VLOOKUP(D909, Products!A$2:C$61, 3, FALSE)</f>
        <v>Grocery</v>
      </c>
      <c r="O909" t="str">
        <f>VLOOKUP(C909, Customers!A$2:E$301, 5, FALSE)</f>
        <v>Retail</v>
      </c>
      <c r="P909">
        <f>VLOOKUP(C909, Customers!A$2:C$301, 3, FALSE)</f>
        <v>24</v>
      </c>
      <c r="Q909" t="str">
        <f>VLOOKUP(E909, Sales_Reps!A$2:C$31, 3, FALSE)</f>
        <v>West</v>
      </c>
      <c r="R909">
        <f>VLOOKUP(D909, Products!A$2:D$61, 4, FALSE)</f>
        <v>2911</v>
      </c>
    </row>
    <row r="910" spans="1:18" x14ac:dyDescent="0.3">
      <c r="A910" s="13" t="s">
        <v>1389</v>
      </c>
      <c r="B910" s="14">
        <v>45346</v>
      </c>
      <c r="C910" s="13" t="s">
        <v>608</v>
      </c>
      <c r="D910" s="13" t="s">
        <v>270</v>
      </c>
      <c r="E910" s="13" t="s">
        <v>158</v>
      </c>
      <c r="F910" s="15">
        <v>4</v>
      </c>
      <c r="G910" s="15">
        <v>4610</v>
      </c>
      <c r="H910" s="15">
        <v>1.9</v>
      </c>
      <c r="I910" s="15">
        <v>18089.64</v>
      </c>
      <c r="J910" s="13" t="s">
        <v>93</v>
      </c>
      <c r="K910" s="13" t="s">
        <v>88</v>
      </c>
      <c r="L910">
        <f>IF(COUNTIF(A$2:A910, A910)=1, IF(COUNTIF(A$2:A$2001, A910)&gt;1, 1, 0), 0)</f>
        <v>0</v>
      </c>
      <c r="M910" t="b">
        <f>VLOOKUP(D910, Products!A$2:F$61, 6, FALSE)</f>
        <v>1</v>
      </c>
      <c r="N910" t="str">
        <f>VLOOKUP(D910, Products!A$2:C$61, 3, FALSE)</f>
        <v>Home</v>
      </c>
      <c r="O910" t="str">
        <f>VLOOKUP(C910, Customers!A$2:E$301, 5, FALSE)</f>
        <v>Corporate</v>
      </c>
      <c r="P910">
        <f>VLOOKUP(C910, Customers!A$2:C$301, 3, FALSE)</f>
        <v>40</v>
      </c>
      <c r="Q910" t="str">
        <f>VLOOKUP(E910, Sales_Reps!A$2:C$31, 3, FALSE)</f>
        <v>East</v>
      </c>
      <c r="R910">
        <f>VLOOKUP(D910, Products!A$2:D$61, 4, FALSE)</f>
        <v>1850</v>
      </c>
    </row>
    <row r="911" spans="1:18" x14ac:dyDescent="0.3">
      <c r="A911" s="13" t="s">
        <v>1390</v>
      </c>
      <c r="B911" s="14">
        <v>45640</v>
      </c>
      <c r="C911" s="13" t="s">
        <v>621</v>
      </c>
      <c r="D911" s="13" t="s">
        <v>264</v>
      </c>
      <c r="E911" s="13" t="s">
        <v>192</v>
      </c>
      <c r="F911" s="15">
        <v>4</v>
      </c>
      <c r="G911" s="15">
        <v>4070</v>
      </c>
      <c r="H911" s="15">
        <v>26.8</v>
      </c>
      <c r="I911" s="15">
        <v>11916.96</v>
      </c>
      <c r="J911" s="13" t="s">
        <v>87</v>
      </c>
      <c r="K911" s="13" t="s">
        <v>94</v>
      </c>
      <c r="L911">
        <f>IF(COUNTIF(A$2:A911, A911)=1, IF(COUNTIF(A$2:A$2001, A911)&gt;1, 1, 0), 0)</f>
        <v>0</v>
      </c>
      <c r="M911" t="b">
        <f>VLOOKUP(D911, Products!A$2:F$61, 6, FALSE)</f>
        <v>1</v>
      </c>
      <c r="N911" t="str">
        <f>VLOOKUP(D911, Products!A$2:C$61, 3, FALSE)</f>
        <v>Grocery</v>
      </c>
      <c r="O911" t="str">
        <f>VLOOKUP(C911, Customers!A$2:E$301, 5, FALSE)</f>
        <v>Corporate</v>
      </c>
      <c r="P911">
        <f>VLOOKUP(C911, Customers!A$2:C$301, 3, FALSE)</f>
        <v>22</v>
      </c>
      <c r="Q911" t="str">
        <f>VLOOKUP(E911, Sales_Reps!A$2:C$31, 3, FALSE)</f>
        <v>East</v>
      </c>
      <c r="R911">
        <f>VLOOKUP(D911, Products!A$2:D$61, 4, FALSE)</f>
        <v>2027</v>
      </c>
    </row>
    <row r="912" spans="1:18" x14ac:dyDescent="0.3">
      <c r="A912" s="13" t="s">
        <v>1391</v>
      </c>
      <c r="B912" s="14">
        <v>45633</v>
      </c>
      <c r="C912" s="13" t="s">
        <v>256</v>
      </c>
      <c r="D912" s="13" t="s">
        <v>85</v>
      </c>
      <c r="E912" s="13" t="s">
        <v>139</v>
      </c>
      <c r="F912" s="15">
        <v>4</v>
      </c>
      <c r="G912" s="15">
        <v>3620</v>
      </c>
      <c r="H912" s="15">
        <v>11.7</v>
      </c>
      <c r="I912" s="15">
        <v>12785.84</v>
      </c>
      <c r="J912" s="13" t="s">
        <v>87</v>
      </c>
      <c r="K912" s="13" t="s">
        <v>133</v>
      </c>
      <c r="L912">
        <f>IF(COUNTIF(A$2:A912, A912)=1, IF(COUNTIF(A$2:A$2001, A912)&gt;1, 1, 0), 0)</f>
        <v>0</v>
      </c>
      <c r="M912" t="b">
        <f>VLOOKUP(D912, Products!A$2:F$61, 6, FALSE)</f>
        <v>1</v>
      </c>
      <c r="N912" t="str">
        <f>VLOOKUP(D912, Products!A$2:C$61, 3, FALSE)</f>
        <v>Apparel</v>
      </c>
      <c r="O912" t="str">
        <f>VLOOKUP(C912, Customers!A$2:E$301, 5, FALSE)</f>
        <v>Retail</v>
      </c>
      <c r="P912">
        <f>VLOOKUP(C912, Customers!A$2:C$301, 3, FALSE)</f>
        <v>27</v>
      </c>
      <c r="Q912" t="str">
        <f>VLOOKUP(E912, Sales_Reps!A$2:C$31, 3, FALSE)</f>
        <v>North</v>
      </c>
      <c r="R912">
        <f>VLOOKUP(D912, Products!A$2:D$61, 4, FALSE)</f>
        <v>2509</v>
      </c>
    </row>
    <row r="913" spans="1:18" x14ac:dyDescent="0.3">
      <c r="A913" s="13" t="s">
        <v>1392</v>
      </c>
      <c r="B913" s="14">
        <v>45430</v>
      </c>
      <c r="C913" s="13" t="s">
        <v>318</v>
      </c>
      <c r="D913" s="13" t="s">
        <v>408</v>
      </c>
      <c r="E913" s="13" t="s">
        <v>170</v>
      </c>
      <c r="F913" s="15">
        <v>3</v>
      </c>
      <c r="G913" s="15">
        <v>3970</v>
      </c>
      <c r="H913" s="15">
        <v>24.7</v>
      </c>
      <c r="I913" s="15">
        <v>8968.23</v>
      </c>
      <c r="J913" s="13" t="s">
        <v>87</v>
      </c>
      <c r="K913" s="13" t="s">
        <v>94</v>
      </c>
      <c r="L913">
        <f>IF(COUNTIF(A$2:A913, A913)=1, IF(COUNTIF(A$2:A$2001, A913)&gt;1, 1, 0), 0)</f>
        <v>0</v>
      </c>
      <c r="M913" t="b">
        <f>VLOOKUP(D913, Products!A$2:F$61, 6, FALSE)</f>
        <v>1</v>
      </c>
      <c r="N913" t="str">
        <f>VLOOKUP(D913, Products!A$2:C$61, 3, FALSE)</f>
        <v>Electronics</v>
      </c>
      <c r="O913" t="str">
        <f>VLOOKUP(C913, Customers!A$2:E$301, 5, FALSE)</f>
        <v>SMB</v>
      </c>
      <c r="P913">
        <f>VLOOKUP(C913, Customers!A$2:C$301, 3, FALSE)</f>
        <v>57</v>
      </c>
      <c r="Q913" t="str">
        <f>VLOOKUP(E913, Sales_Reps!A$2:C$31, 3, FALSE)</f>
        <v>West</v>
      </c>
      <c r="R913">
        <f>VLOOKUP(D913, Products!A$2:D$61, 4, FALSE)</f>
        <v>2865</v>
      </c>
    </row>
    <row r="914" spans="1:18" x14ac:dyDescent="0.3">
      <c r="A914" s="13" t="s">
        <v>1393</v>
      </c>
      <c r="B914" s="14">
        <v>45355</v>
      </c>
      <c r="C914" s="13" t="s">
        <v>416</v>
      </c>
      <c r="D914" s="13" t="s">
        <v>127</v>
      </c>
      <c r="E914" s="13" t="s">
        <v>128</v>
      </c>
      <c r="F914" s="15">
        <v>4</v>
      </c>
      <c r="G914" s="15">
        <v>970</v>
      </c>
      <c r="H914" s="15">
        <v>0.4</v>
      </c>
      <c r="I914" s="15">
        <v>3864.48</v>
      </c>
      <c r="J914" s="13" t="s">
        <v>87</v>
      </c>
      <c r="K914" s="13" t="s">
        <v>117</v>
      </c>
      <c r="L914">
        <f>IF(COUNTIF(A$2:A914, A914)=1, IF(COUNTIF(A$2:A$2001, A914)&gt;1, 1, 0), 0)</f>
        <v>0</v>
      </c>
      <c r="M914" t="b">
        <f>VLOOKUP(D914, Products!A$2:F$61, 6, FALSE)</f>
        <v>1</v>
      </c>
      <c r="N914" t="str">
        <f>VLOOKUP(D914, Products!A$2:C$61, 3, FALSE)</f>
        <v>Grocery</v>
      </c>
      <c r="O914" t="str">
        <f>VLOOKUP(C914, Customers!A$2:E$301, 5, FALSE)</f>
        <v>Corporate</v>
      </c>
      <c r="P914">
        <f>VLOOKUP(C914, Customers!A$2:C$301, 3, FALSE)</f>
        <v>42</v>
      </c>
      <c r="Q914" t="str">
        <f>VLOOKUP(E914, Sales_Reps!A$2:C$31, 3, FALSE)</f>
        <v>West</v>
      </c>
      <c r="R914">
        <f>VLOOKUP(D914, Products!A$2:D$61, 4, FALSE)</f>
        <v>434</v>
      </c>
    </row>
    <row r="915" spans="1:18" x14ac:dyDescent="0.3">
      <c r="A915" s="13" t="s">
        <v>1394</v>
      </c>
      <c r="B915" s="14">
        <v>45379</v>
      </c>
      <c r="C915" s="13" t="s">
        <v>299</v>
      </c>
      <c r="D915" s="13" t="s">
        <v>115</v>
      </c>
      <c r="E915" s="13" t="s">
        <v>154</v>
      </c>
      <c r="F915" s="15">
        <v>2</v>
      </c>
      <c r="G915" s="15">
        <v>960</v>
      </c>
      <c r="H915" s="15">
        <v>1.4</v>
      </c>
      <c r="I915" s="15">
        <v>1893.12</v>
      </c>
      <c r="J915" s="13" t="s">
        <v>87</v>
      </c>
      <c r="K915" s="13" t="s">
        <v>133</v>
      </c>
      <c r="L915">
        <f>IF(COUNTIF(A$2:A915, A915)=1, IF(COUNTIF(A$2:A$2001, A915)&gt;1, 1, 0), 0)</f>
        <v>0</v>
      </c>
      <c r="M915" t="b">
        <f>VLOOKUP(D915, Products!A$2:F$61, 6, FALSE)</f>
        <v>1</v>
      </c>
      <c r="N915" t="str">
        <f>VLOOKUP(D915, Products!A$2:C$61, 3, FALSE)</f>
        <v>Sports</v>
      </c>
      <c r="O915" t="str">
        <f>VLOOKUP(C915, Customers!A$2:E$301, 5, FALSE)</f>
        <v>Retail</v>
      </c>
      <c r="P915">
        <f>VLOOKUP(C915, Customers!A$2:C$301, 3, FALSE)</f>
        <v>29</v>
      </c>
      <c r="Q915" t="str">
        <f>VLOOKUP(E915, Sales_Reps!A$2:C$31, 3, FALSE)</f>
        <v>East</v>
      </c>
      <c r="R915">
        <f>VLOOKUP(D915, Products!A$2:D$61, 4, FALSE)</f>
        <v>705</v>
      </c>
    </row>
    <row r="916" spans="1:18" x14ac:dyDescent="0.3">
      <c r="A916" s="13" t="s">
        <v>1395</v>
      </c>
      <c r="B916" s="14">
        <v>45375</v>
      </c>
      <c r="C916" s="13" t="s">
        <v>160</v>
      </c>
      <c r="D916" s="13" t="s">
        <v>282</v>
      </c>
      <c r="E916" s="13" t="s">
        <v>346</v>
      </c>
      <c r="F916" s="15">
        <v>7</v>
      </c>
      <c r="G916" s="15">
        <v>300</v>
      </c>
      <c r="H916" s="15">
        <v>20.399999999999999</v>
      </c>
      <c r="I916" s="15">
        <v>1671.6</v>
      </c>
      <c r="J916" s="13" t="s">
        <v>87</v>
      </c>
      <c r="K916" s="13" t="s">
        <v>112</v>
      </c>
      <c r="L916">
        <f>IF(COUNTIF(A$2:A916, A916)=1, IF(COUNTIF(A$2:A$2001, A916)&gt;1, 1, 0), 0)</f>
        <v>0</v>
      </c>
      <c r="M916" t="b">
        <f>VLOOKUP(D916, Products!A$2:F$61, 6, FALSE)</f>
        <v>1</v>
      </c>
      <c r="N916" t="str">
        <f>VLOOKUP(D916, Products!A$2:C$61, 3, FALSE)</f>
        <v>Electronics</v>
      </c>
      <c r="O916" t="str">
        <f>VLOOKUP(C916, Customers!A$2:E$301, 5, FALSE)</f>
        <v>Retail</v>
      </c>
      <c r="P916">
        <f>VLOOKUP(C916, Customers!A$2:C$301, 3, FALSE)</f>
        <v>54</v>
      </c>
      <c r="Q916" t="str">
        <f>VLOOKUP(E916, Sales_Reps!A$2:C$31, 3, FALSE)</f>
        <v>South</v>
      </c>
      <c r="R916">
        <f>VLOOKUP(D916, Products!A$2:D$61, 4, FALSE)</f>
        <v>128</v>
      </c>
    </row>
    <row r="917" spans="1:18" x14ac:dyDescent="0.3">
      <c r="A917" s="13" t="s">
        <v>1396</v>
      </c>
      <c r="B917" s="14">
        <v>45397</v>
      </c>
      <c r="C917" s="13" t="s">
        <v>312</v>
      </c>
      <c r="D917" s="13" t="s">
        <v>138</v>
      </c>
      <c r="E917" s="13" t="s">
        <v>98</v>
      </c>
      <c r="F917" s="15">
        <v>8</v>
      </c>
      <c r="G917" s="15">
        <v>2600</v>
      </c>
      <c r="H917" s="15">
        <v>2.2000000000000002</v>
      </c>
      <c r="I917" s="15">
        <v>20342.400000000001</v>
      </c>
      <c r="J917" s="13" t="s">
        <v>140</v>
      </c>
      <c r="K917" s="13" t="s">
        <v>133</v>
      </c>
      <c r="L917">
        <f>IF(COUNTIF(A$2:A917, A917)=1, IF(COUNTIF(A$2:A$2001, A917)&gt;1, 1, 0), 0)</f>
        <v>0</v>
      </c>
      <c r="M917" t="b">
        <f>VLOOKUP(D917, Products!A$2:F$61, 6, FALSE)</f>
        <v>1</v>
      </c>
      <c r="N917" t="str">
        <f>VLOOKUP(D917, Products!A$2:C$61, 3, FALSE)</f>
        <v>Electronics</v>
      </c>
      <c r="O917" t="str">
        <f>VLOOKUP(C917, Customers!A$2:E$301, 5, FALSE)</f>
        <v>Retail</v>
      </c>
      <c r="P917">
        <f>VLOOKUP(C917, Customers!A$2:C$301, 3, FALSE)</f>
        <v>46</v>
      </c>
      <c r="Q917" t="str">
        <f>VLOOKUP(E917, Sales_Reps!A$2:C$31, 3, FALSE)</f>
        <v>South</v>
      </c>
      <c r="R917">
        <f>VLOOKUP(D917, Products!A$2:D$61, 4, FALSE)</f>
        <v>1052</v>
      </c>
    </row>
    <row r="918" spans="1:18" x14ac:dyDescent="0.3">
      <c r="A918" s="13" t="s">
        <v>1397</v>
      </c>
      <c r="B918" s="14">
        <v>45571</v>
      </c>
      <c r="C918" s="13" t="s">
        <v>485</v>
      </c>
      <c r="D918" s="13" t="s">
        <v>110</v>
      </c>
      <c r="E918" s="13" t="s">
        <v>107</v>
      </c>
      <c r="F918" s="15">
        <v>2</v>
      </c>
      <c r="G918" s="15">
        <v>370</v>
      </c>
      <c r="H918" s="15">
        <v>17.7</v>
      </c>
      <c r="I918" s="15">
        <v>609.02</v>
      </c>
      <c r="J918" s="13" t="s">
        <v>87</v>
      </c>
      <c r="K918" s="13" t="s">
        <v>88</v>
      </c>
      <c r="L918">
        <f>IF(COUNTIF(A$2:A918, A918)=1, IF(COUNTIF(A$2:A$2001, A918)&gt;1, 1, 0), 0)</f>
        <v>0</v>
      </c>
      <c r="M918" t="b">
        <f>VLOOKUP(D918, Products!A$2:F$61, 6, FALSE)</f>
        <v>1</v>
      </c>
      <c r="N918" t="str">
        <f>VLOOKUP(D918, Products!A$2:C$61, 3, FALSE)</f>
        <v>Home</v>
      </c>
      <c r="O918" t="str">
        <f>VLOOKUP(C918, Customers!A$2:E$301, 5, FALSE)</f>
        <v>Retail</v>
      </c>
      <c r="P918">
        <f>VLOOKUP(C918, Customers!A$2:C$301, 3, FALSE)</f>
        <v>49</v>
      </c>
      <c r="Q918" t="str">
        <f>VLOOKUP(E918, Sales_Reps!A$2:C$31, 3, FALSE)</f>
        <v>North</v>
      </c>
      <c r="R918">
        <f>VLOOKUP(D918, Products!A$2:D$61, 4, FALSE)</f>
        <v>288</v>
      </c>
    </row>
    <row r="919" spans="1:18" x14ac:dyDescent="0.3">
      <c r="A919" s="13" t="s">
        <v>1398</v>
      </c>
      <c r="B919" s="14">
        <v>45455</v>
      </c>
      <c r="C919" s="13" t="s">
        <v>178</v>
      </c>
      <c r="D919" s="13" t="s">
        <v>157</v>
      </c>
      <c r="E919" s="13" t="s">
        <v>201</v>
      </c>
      <c r="F919" s="15">
        <v>4</v>
      </c>
      <c r="G919" s="15">
        <v>3450</v>
      </c>
      <c r="H919" s="15">
        <v>9.8000000000000007</v>
      </c>
      <c r="I919" s="15">
        <v>12447.6</v>
      </c>
      <c r="J919" s="13" t="s">
        <v>140</v>
      </c>
      <c r="K919" s="13" t="s">
        <v>94</v>
      </c>
      <c r="L919">
        <f>IF(COUNTIF(A$2:A919, A919)=1, IF(COUNTIF(A$2:A$2001, A919)&gt;1, 1, 0), 0)</f>
        <v>0</v>
      </c>
      <c r="M919" t="b">
        <f>VLOOKUP(D919, Products!A$2:F$61, 6, FALSE)</f>
        <v>1</v>
      </c>
      <c r="N919" t="str">
        <f>VLOOKUP(D919, Products!A$2:C$61, 3, FALSE)</f>
        <v>Beauty</v>
      </c>
      <c r="O919" t="str">
        <f>VLOOKUP(C919, Customers!A$2:E$301, 5, FALSE)</f>
        <v>Corporate</v>
      </c>
      <c r="P919">
        <f>VLOOKUP(C919, Customers!A$2:C$301, 3, FALSE)</f>
        <v>55</v>
      </c>
      <c r="Q919" t="str">
        <f>VLOOKUP(E919, Sales_Reps!A$2:C$31, 3, FALSE)</f>
        <v>West</v>
      </c>
      <c r="R919">
        <f>VLOOKUP(D919, Products!A$2:D$61, 4, FALSE)</f>
        <v>2420</v>
      </c>
    </row>
    <row r="920" spans="1:18" x14ac:dyDescent="0.3">
      <c r="A920" s="13" t="s">
        <v>1399</v>
      </c>
      <c r="B920" s="14">
        <v>45486</v>
      </c>
      <c r="C920" s="13" t="s">
        <v>781</v>
      </c>
      <c r="D920" s="13" t="s">
        <v>167</v>
      </c>
      <c r="E920" s="13" t="s">
        <v>192</v>
      </c>
      <c r="F920" s="15">
        <v>1</v>
      </c>
      <c r="G920" s="15">
        <v>2480</v>
      </c>
      <c r="H920" s="15">
        <v>5.8</v>
      </c>
      <c r="I920" s="15">
        <v>2336.16</v>
      </c>
      <c r="J920" s="13" t="s">
        <v>87</v>
      </c>
      <c r="K920" s="13" t="s">
        <v>99</v>
      </c>
      <c r="L920">
        <f>IF(COUNTIF(A$2:A920, A920)=1, IF(COUNTIF(A$2:A$2001, A920)&gt;1, 1, 0), 0)</f>
        <v>0</v>
      </c>
      <c r="M920" t="b">
        <f>VLOOKUP(D920, Products!A$2:F$61, 6, FALSE)</f>
        <v>1</v>
      </c>
      <c r="N920" t="str">
        <f>VLOOKUP(D920, Products!A$2:C$61, 3, FALSE)</f>
        <v>Apparel</v>
      </c>
      <c r="O920" t="str">
        <f>VLOOKUP(C920, Customers!A$2:E$301, 5, FALSE)</f>
        <v>SMB</v>
      </c>
      <c r="P920">
        <f>VLOOKUP(C920, Customers!A$2:C$301, 3, FALSE)</f>
        <v>29</v>
      </c>
      <c r="Q920" t="str">
        <f>VLOOKUP(E920, Sales_Reps!A$2:C$31, 3, FALSE)</f>
        <v>East</v>
      </c>
      <c r="R920">
        <f>VLOOKUP(D920, Products!A$2:D$61, 4, FALSE)</f>
        <v>1173</v>
      </c>
    </row>
    <row r="921" spans="1:18" x14ac:dyDescent="0.3">
      <c r="A921" s="13" t="s">
        <v>1400</v>
      </c>
      <c r="B921" s="14">
        <v>45329</v>
      </c>
      <c r="C921" s="13" t="s">
        <v>551</v>
      </c>
      <c r="D921" s="13" t="s">
        <v>102</v>
      </c>
      <c r="E921" s="13" t="s">
        <v>121</v>
      </c>
      <c r="F921" s="15">
        <v>5</v>
      </c>
      <c r="G921" s="15">
        <v>3660</v>
      </c>
      <c r="H921" s="15">
        <v>4.7</v>
      </c>
      <c r="I921" s="15">
        <v>17439.900000000001</v>
      </c>
      <c r="J921" s="13" t="s">
        <v>93</v>
      </c>
      <c r="K921" s="13" t="s">
        <v>112</v>
      </c>
      <c r="L921">
        <f>IF(COUNTIF(A$2:A921, A921)=1, IF(COUNTIF(A$2:A$2001, A921)&gt;1, 1, 0), 0)</f>
        <v>0</v>
      </c>
      <c r="M921" t="b">
        <f>VLOOKUP(D921, Products!A$2:F$61, 6, FALSE)</f>
        <v>0</v>
      </c>
      <c r="N921" t="str">
        <f>VLOOKUP(D921, Products!A$2:C$61, 3, FALSE)</f>
        <v>Grocery</v>
      </c>
      <c r="O921" t="str">
        <f>VLOOKUP(C921, Customers!A$2:E$301, 5, FALSE)</f>
        <v>Corporate</v>
      </c>
      <c r="P921">
        <f>VLOOKUP(C921, Customers!A$2:C$301, 3, FALSE)</f>
        <v>60</v>
      </c>
      <c r="Q921" t="str">
        <f>VLOOKUP(E921, Sales_Reps!A$2:C$31, 3, FALSE)</f>
        <v>East</v>
      </c>
      <c r="R921">
        <f>VLOOKUP(D921, Products!A$2:D$61, 4, FALSE)</f>
        <v>2214</v>
      </c>
    </row>
    <row r="922" spans="1:18" x14ac:dyDescent="0.3">
      <c r="A922" s="13" t="s">
        <v>1401</v>
      </c>
      <c r="B922" s="14">
        <v>45315</v>
      </c>
      <c r="C922" s="13" t="s">
        <v>342</v>
      </c>
      <c r="D922" s="13" t="s">
        <v>176</v>
      </c>
      <c r="E922" s="13" t="s">
        <v>154</v>
      </c>
      <c r="F922" s="15">
        <v>7</v>
      </c>
      <c r="G922" s="15">
        <v>1650</v>
      </c>
      <c r="H922" s="15">
        <v>8.6</v>
      </c>
      <c r="I922" s="15">
        <v>10556.7</v>
      </c>
      <c r="J922" s="13" t="s">
        <v>87</v>
      </c>
      <c r="K922" s="13" t="s">
        <v>94</v>
      </c>
      <c r="L922">
        <f>IF(COUNTIF(A$2:A922, A922)=1, IF(COUNTIF(A$2:A$2001, A922)&gt;1, 1, 0), 0)</f>
        <v>0</v>
      </c>
      <c r="M922" t="b">
        <f>VLOOKUP(D922, Products!A$2:F$61, 6, FALSE)</f>
        <v>1</v>
      </c>
      <c r="N922" t="str">
        <f>VLOOKUP(D922, Products!A$2:C$61, 3, FALSE)</f>
        <v>Beauty</v>
      </c>
      <c r="O922" t="str">
        <f>VLOOKUP(C922, Customers!A$2:E$301, 5, FALSE)</f>
        <v>Retail</v>
      </c>
      <c r="P922">
        <f>VLOOKUP(C922, Customers!A$2:C$301, 3, FALSE)</f>
        <v>26</v>
      </c>
      <c r="Q922" t="str">
        <f>VLOOKUP(E922, Sales_Reps!A$2:C$31, 3, FALSE)</f>
        <v>East</v>
      </c>
      <c r="R922">
        <f>VLOOKUP(D922, Products!A$2:D$61, 4, FALSE)</f>
        <v>1222</v>
      </c>
    </row>
    <row r="923" spans="1:18" x14ac:dyDescent="0.3">
      <c r="A923" s="13" t="s">
        <v>1402</v>
      </c>
      <c r="B923" s="14">
        <v>45473</v>
      </c>
      <c r="C923" s="13" t="s">
        <v>190</v>
      </c>
      <c r="D923" s="13" t="s">
        <v>147</v>
      </c>
      <c r="E923" s="13" t="s">
        <v>111</v>
      </c>
      <c r="F923" s="15">
        <v>6</v>
      </c>
      <c r="G923" s="15">
        <v>190</v>
      </c>
      <c r="H923" s="15">
        <v>14.6</v>
      </c>
      <c r="I923" s="15">
        <v>973.56</v>
      </c>
      <c r="J923" s="13" t="s">
        <v>87</v>
      </c>
      <c r="K923" s="13" t="s">
        <v>133</v>
      </c>
      <c r="L923">
        <f>IF(COUNTIF(A$2:A923, A923)=1, IF(COUNTIF(A$2:A$2001, A923)&gt;1, 1, 0), 0)</f>
        <v>0</v>
      </c>
      <c r="M923" t="b">
        <f>VLOOKUP(D923, Products!A$2:F$61, 6, FALSE)</f>
        <v>1</v>
      </c>
      <c r="N923" t="str">
        <f>VLOOKUP(D923, Products!A$2:C$61, 3, FALSE)</f>
        <v>Sports</v>
      </c>
      <c r="O923" t="str">
        <f>VLOOKUP(C923, Customers!A$2:E$301, 5, FALSE)</f>
        <v>Corporate</v>
      </c>
      <c r="P923">
        <f>VLOOKUP(C923, Customers!A$2:C$301, 3, FALSE)</f>
        <v>56</v>
      </c>
      <c r="Q923" t="str">
        <f>VLOOKUP(E923, Sales_Reps!A$2:C$31, 3, FALSE)</f>
        <v>West</v>
      </c>
      <c r="R923">
        <f>VLOOKUP(D923, Products!A$2:D$61, 4, FALSE)</f>
        <v>147</v>
      </c>
    </row>
    <row r="924" spans="1:18" x14ac:dyDescent="0.3">
      <c r="A924" s="13" t="s">
        <v>1403</v>
      </c>
      <c r="B924" s="14">
        <v>45546</v>
      </c>
      <c r="C924" s="13" t="s">
        <v>608</v>
      </c>
      <c r="D924" s="13" t="s">
        <v>245</v>
      </c>
      <c r="E924" s="13" t="s">
        <v>215</v>
      </c>
      <c r="F924" s="15">
        <v>5</v>
      </c>
      <c r="G924" s="15">
        <v>2270</v>
      </c>
      <c r="H924" s="15">
        <v>5.9</v>
      </c>
      <c r="I924" s="15">
        <v>10680.35</v>
      </c>
      <c r="J924" s="13" t="s">
        <v>87</v>
      </c>
      <c r="K924" s="13" t="s">
        <v>88</v>
      </c>
      <c r="L924">
        <f>IF(COUNTIF(A$2:A924, A924)=1, IF(COUNTIF(A$2:A$2001, A924)&gt;1, 1, 0), 0)</f>
        <v>0</v>
      </c>
      <c r="M924" t="b">
        <f>VLOOKUP(D924, Products!A$2:F$61, 6, FALSE)</f>
        <v>1</v>
      </c>
      <c r="N924" t="str">
        <f>VLOOKUP(D924, Products!A$2:C$61, 3, FALSE)</f>
        <v>Grocery</v>
      </c>
      <c r="O924" t="str">
        <f>VLOOKUP(C924, Customers!A$2:E$301, 5, FALSE)</f>
        <v>Corporate</v>
      </c>
      <c r="P924">
        <f>VLOOKUP(C924, Customers!A$2:C$301, 3, FALSE)</f>
        <v>40</v>
      </c>
      <c r="Q924" t="str">
        <f>VLOOKUP(E924, Sales_Reps!A$2:C$31, 3, FALSE)</f>
        <v>North</v>
      </c>
      <c r="R924">
        <f>VLOOKUP(D924, Products!A$2:D$61, 4, FALSE)</f>
        <v>1412</v>
      </c>
    </row>
    <row r="925" spans="1:18" x14ac:dyDescent="0.3">
      <c r="A925" s="13" t="s">
        <v>1404</v>
      </c>
      <c r="B925" s="14">
        <v>45625</v>
      </c>
      <c r="C925" s="13" t="s">
        <v>990</v>
      </c>
      <c r="D925" s="13" t="s">
        <v>131</v>
      </c>
      <c r="E925" s="13" t="s">
        <v>273</v>
      </c>
      <c r="F925" s="15">
        <v>1</v>
      </c>
      <c r="G925" s="15">
        <v>2270</v>
      </c>
      <c r="H925" s="15">
        <v>14.9</v>
      </c>
      <c r="I925" s="15">
        <v>1931.77</v>
      </c>
      <c r="J925" s="13" t="s">
        <v>87</v>
      </c>
      <c r="K925" s="13" t="s">
        <v>117</v>
      </c>
      <c r="L925">
        <f>IF(COUNTIF(A$2:A925, A925)=1, IF(COUNTIF(A$2:A$2001, A925)&gt;1, 1, 0), 0)</f>
        <v>0</v>
      </c>
      <c r="M925" t="b">
        <f>VLOOKUP(D925, Products!A$2:F$61, 6, FALSE)</f>
        <v>1</v>
      </c>
      <c r="N925" t="str">
        <f>VLOOKUP(D925, Products!A$2:C$61, 3, FALSE)</f>
        <v>Grocery</v>
      </c>
      <c r="O925" t="str">
        <f>VLOOKUP(C925, Customers!A$2:E$301, 5, FALSE)</f>
        <v>Retail</v>
      </c>
      <c r="P925">
        <f>VLOOKUP(C925, Customers!A$2:C$301, 3, FALSE)</f>
        <v>61</v>
      </c>
      <c r="Q925" t="str">
        <f>VLOOKUP(E925, Sales_Reps!A$2:C$31, 3, FALSE)</f>
        <v>South</v>
      </c>
      <c r="R925">
        <f>VLOOKUP(D925, Products!A$2:D$61, 4, FALSE)</f>
        <v>1203</v>
      </c>
    </row>
    <row r="926" spans="1:18" x14ac:dyDescent="0.3">
      <c r="A926" s="13" t="s">
        <v>1405</v>
      </c>
      <c r="B926" s="14">
        <v>45579</v>
      </c>
      <c r="C926" s="13" t="s">
        <v>606</v>
      </c>
      <c r="D926" s="13" t="s">
        <v>452</v>
      </c>
      <c r="E926" s="13" t="s">
        <v>303</v>
      </c>
      <c r="F926" s="15">
        <v>4</v>
      </c>
      <c r="G926" s="15">
        <v>3450</v>
      </c>
      <c r="H926" s="15">
        <v>11.7</v>
      </c>
      <c r="I926" s="15">
        <v>12185.4</v>
      </c>
      <c r="J926" s="13" t="s">
        <v>140</v>
      </c>
      <c r="K926" s="13" t="s">
        <v>112</v>
      </c>
      <c r="L926">
        <f>IF(COUNTIF(A$2:A926, A926)=1, IF(COUNTIF(A$2:A$2001, A926)&gt;1, 1, 0), 0)</f>
        <v>0</v>
      </c>
      <c r="M926" t="b">
        <f>VLOOKUP(D926, Products!A$2:F$61, 6, FALSE)</f>
        <v>1</v>
      </c>
      <c r="N926" t="str">
        <f>VLOOKUP(D926, Products!A$2:C$61, 3, FALSE)</f>
        <v>Apparel</v>
      </c>
      <c r="O926" t="str">
        <f>VLOOKUP(C926, Customers!A$2:E$301, 5, FALSE)</f>
        <v>Retail</v>
      </c>
      <c r="P926">
        <f>VLOOKUP(C926, Customers!A$2:C$301, 3, FALSE)</f>
        <v>52</v>
      </c>
      <c r="Q926" t="str">
        <f>VLOOKUP(E926, Sales_Reps!A$2:C$31, 3, FALSE)</f>
        <v>East</v>
      </c>
      <c r="R926">
        <f>VLOOKUP(D926, Products!A$2:D$61, 4, FALSE)</f>
        <v>1748</v>
      </c>
    </row>
    <row r="927" spans="1:18" x14ac:dyDescent="0.3">
      <c r="A927" s="13" t="s">
        <v>1406</v>
      </c>
      <c r="B927" s="14">
        <v>45323</v>
      </c>
      <c r="C927" s="13" t="s">
        <v>528</v>
      </c>
      <c r="D927" s="13" t="s">
        <v>276</v>
      </c>
      <c r="E927" s="13" t="s">
        <v>128</v>
      </c>
      <c r="F927" s="15">
        <v>7</v>
      </c>
      <c r="G927" s="15">
        <v>3020</v>
      </c>
      <c r="H927" s="15">
        <v>18.8</v>
      </c>
      <c r="I927" s="15">
        <v>17165.68</v>
      </c>
      <c r="J927" s="13" t="s">
        <v>87</v>
      </c>
      <c r="K927" s="13" t="s">
        <v>112</v>
      </c>
      <c r="L927">
        <f>IF(COUNTIF(A$2:A927, A927)=1, IF(COUNTIF(A$2:A$2001, A927)&gt;1, 1, 0), 0)</f>
        <v>0</v>
      </c>
      <c r="M927" t="b">
        <f>VLOOKUP(D927, Products!A$2:F$61, 6, FALSE)</f>
        <v>1</v>
      </c>
      <c r="N927" t="str">
        <f>VLOOKUP(D927, Products!A$2:C$61, 3, FALSE)</f>
        <v>Beauty</v>
      </c>
      <c r="O927" t="str">
        <f>VLOOKUP(C927, Customers!A$2:E$301, 5, FALSE)</f>
        <v>Retail</v>
      </c>
      <c r="P927">
        <f>VLOOKUP(C927, Customers!A$2:C$301, 3, FALSE)</f>
        <v>44</v>
      </c>
      <c r="Q927" t="str">
        <f>VLOOKUP(E927, Sales_Reps!A$2:C$31, 3, FALSE)</f>
        <v>West</v>
      </c>
      <c r="R927">
        <f>VLOOKUP(D927, Products!A$2:D$61, 4, FALSE)</f>
        <v>1626</v>
      </c>
    </row>
    <row r="928" spans="1:18" x14ac:dyDescent="0.3">
      <c r="A928" s="13" t="s">
        <v>1407</v>
      </c>
      <c r="B928" s="14">
        <v>45613</v>
      </c>
      <c r="C928" s="13" t="s">
        <v>870</v>
      </c>
      <c r="D928" s="13" t="s">
        <v>295</v>
      </c>
      <c r="E928" s="13" t="s">
        <v>346</v>
      </c>
      <c r="F928" s="15">
        <v>4</v>
      </c>
      <c r="G928" s="15">
        <v>2030</v>
      </c>
      <c r="H928" s="15">
        <v>25.7</v>
      </c>
      <c r="I928" s="15">
        <v>6033.16</v>
      </c>
      <c r="J928" s="13" t="s">
        <v>87</v>
      </c>
      <c r="K928" s="13" t="s">
        <v>117</v>
      </c>
      <c r="L928">
        <f>IF(COUNTIF(A$2:A928, A928)=1, IF(COUNTIF(A$2:A$2001, A928)&gt;1, 1, 0), 0)</f>
        <v>0</v>
      </c>
      <c r="M928" t="b">
        <f>VLOOKUP(D928, Products!A$2:F$61, 6, FALSE)</f>
        <v>1</v>
      </c>
      <c r="N928" t="str">
        <f>VLOOKUP(D928, Products!A$2:C$61, 3, FALSE)</f>
        <v>Home</v>
      </c>
      <c r="O928" t="str">
        <f>VLOOKUP(C928, Customers!A$2:E$301, 5, FALSE)</f>
        <v>Retail</v>
      </c>
      <c r="P928">
        <f>VLOOKUP(C928, Customers!A$2:C$301, 3, FALSE)</f>
        <v>47</v>
      </c>
      <c r="Q928" t="str">
        <f>VLOOKUP(E928, Sales_Reps!A$2:C$31, 3, FALSE)</f>
        <v>South</v>
      </c>
      <c r="R928">
        <f>VLOOKUP(D928, Products!A$2:D$61, 4, FALSE)</f>
        <v>1143</v>
      </c>
    </row>
    <row r="929" spans="1:18" x14ac:dyDescent="0.3">
      <c r="A929" s="13" t="s">
        <v>1408</v>
      </c>
      <c r="B929" s="14">
        <v>45362</v>
      </c>
      <c r="C929" s="13" t="s">
        <v>289</v>
      </c>
      <c r="D929" s="13" t="s">
        <v>452</v>
      </c>
      <c r="E929" s="13" t="s">
        <v>98</v>
      </c>
      <c r="F929" s="15">
        <v>4</v>
      </c>
      <c r="G929" s="15">
        <v>3450</v>
      </c>
      <c r="H929" s="15">
        <v>3.9</v>
      </c>
      <c r="I929" s="15">
        <v>13261.8</v>
      </c>
      <c r="J929" s="13" t="s">
        <v>87</v>
      </c>
      <c r="K929" s="13" t="s">
        <v>94</v>
      </c>
      <c r="L929">
        <f>IF(COUNTIF(A$2:A929, A929)=1, IF(COUNTIF(A$2:A$2001, A929)&gt;1, 1, 0), 0)</f>
        <v>0</v>
      </c>
      <c r="M929" t="b">
        <f>VLOOKUP(D929, Products!A$2:F$61, 6, FALSE)</f>
        <v>1</v>
      </c>
      <c r="N929" t="str">
        <f>VLOOKUP(D929, Products!A$2:C$61, 3, FALSE)</f>
        <v>Apparel</v>
      </c>
      <c r="O929" t="str">
        <f>VLOOKUP(C929, Customers!A$2:E$301, 5, FALSE)</f>
        <v>Retail</v>
      </c>
      <c r="P929">
        <f>VLOOKUP(C929, Customers!A$2:C$301, 3, FALSE)</f>
        <v>38</v>
      </c>
      <c r="Q929" t="str">
        <f>VLOOKUP(E929, Sales_Reps!A$2:C$31, 3, FALSE)</f>
        <v>South</v>
      </c>
      <c r="R929">
        <f>VLOOKUP(D929, Products!A$2:D$61, 4, FALSE)</f>
        <v>1748</v>
      </c>
    </row>
    <row r="930" spans="1:18" x14ac:dyDescent="0.3">
      <c r="A930" s="13" t="s">
        <v>1409</v>
      </c>
      <c r="B930" s="14">
        <v>45347</v>
      </c>
      <c r="C930" s="13" t="s">
        <v>528</v>
      </c>
      <c r="D930" s="13" t="s">
        <v>380</v>
      </c>
      <c r="E930" s="13" t="s">
        <v>128</v>
      </c>
      <c r="F930" s="15">
        <v>5</v>
      </c>
      <c r="G930" s="15">
        <v>960</v>
      </c>
      <c r="H930" s="15">
        <v>8</v>
      </c>
      <c r="I930" s="15">
        <v>4416</v>
      </c>
      <c r="J930" s="13" t="s">
        <v>87</v>
      </c>
      <c r="K930" s="13" t="s">
        <v>112</v>
      </c>
      <c r="L930">
        <f>IF(COUNTIF(A$2:A930, A930)=1, IF(COUNTIF(A$2:A$2001, A930)&gt;1, 1, 0), 0)</f>
        <v>0</v>
      </c>
      <c r="M930" t="b">
        <f>VLOOKUP(D930, Products!A$2:F$61, 6, FALSE)</f>
        <v>1</v>
      </c>
      <c r="N930" t="str">
        <f>VLOOKUP(D930, Products!A$2:C$61, 3, FALSE)</f>
        <v>Beauty</v>
      </c>
      <c r="O930" t="str">
        <f>VLOOKUP(C930, Customers!A$2:E$301, 5, FALSE)</f>
        <v>Retail</v>
      </c>
      <c r="P930">
        <f>VLOOKUP(C930, Customers!A$2:C$301, 3, FALSE)</f>
        <v>44</v>
      </c>
      <c r="Q930" t="str">
        <f>VLOOKUP(E930, Sales_Reps!A$2:C$31, 3, FALSE)</f>
        <v>West</v>
      </c>
      <c r="R930">
        <f>VLOOKUP(D930, Products!A$2:D$61, 4, FALSE)</f>
        <v>675</v>
      </c>
    </row>
    <row r="931" spans="1:18" x14ac:dyDescent="0.3">
      <c r="A931" s="13" t="s">
        <v>1410</v>
      </c>
      <c r="B931" s="14">
        <v>45550</v>
      </c>
      <c r="C931" s="13" t="s">
        <v>96</v>
      </c>
      <c r="D931" s="13" t="s">
        <v>408</v>
      </c>
      <c r="E931" s="13" t="s">
        <v>215</v>
      </c>
      <c r="F931" s="15">
        <v>7</v>
      </c>
      <c r="G931" s="15">
        <v>3970</v>
      </c>
      <c r="H931" s="15">
        <v>11.7</v>
      </c>
      <c r="I931" s="15">
        <v>24538.57</v>
      </c>
      <c r="J931" s="13" t="s">
        <v>87</v>
      </c>
      <c r="K931" s="13" t="s">
        <v>99</v>
      </c>
      <c r="L931">
        <f>IF(COUNTIF(A$2:A931, A931)=1, IF(COUNTIF(A$2:A$2001, A931)&gt;1, 1, 0), 0)</f>
        <v>0</v>
      </c>
      <c r="M931" t="b">
        <f>VLOOKUP(D931, Products!A$2:F$61, 6, FALSE)</f>
        <v>1</v>
      </c>
      <c r="N931" t="str">
        <f>VLOOKUP(D931, Products!A$2:C$61, 3, FALSE)</f>
        <v>Electronics</v>
      </c>
      <c r="O931" t="str">
        <f>VLOOKUP(C931, Customers!A$2:E$301, 5, FALSE)</f>
        <v>Retail</v>
      </c>
      <c r="P931">
        <f>VLOOKUP(C931, Customers!A$2:C$301, 3, FALSE)</f>
        <v>52</v>
      </c>
      <c r="Q931" t="str">
        <f>VLOOKUP(E931, Sales_Reps!A$2:C$31, 3, FALSE)</f>
        <v>North</v>
      </c>
      <c r="R931">
        <f>VLOOKUP(D931, Products!A$2:D$61, 4, FALSE)</f>
        <v>2865</v>
      </c>
    </row>
    <row r="932" spans="1:18" x14ac:dyDescent="0.3">
      <c r="A932" s="13" t="s">
        <v>1411</v>
      </c>
      <c r="B932" s="14">
        <v>45554</v>
      </c>
      <c r="C932" s="13" t="s">
        <v>305</v>
      </c>
      <c r="D932" s="13" t="s">
        <v>360</v>
      </c>
      <c r="E932" s="13" t="s">
        <v>201</v>
      </c>
      <c r="F932" s="15">
        <v>3</v>
      </c>
      <c r="G932" s="15">
        <v>5410</v>
      </c>
      <c r="H932" s="15">
        <v>10</v>
      </c>
      <c r="I932" s="15">
        <v>14607</v>
      </c>
      <c r="J932" s="13" t="s">
        <v>87</v>
      </c>
      <c r="K932" s="13" t="s">
        <v>133</v>
      </c>
      <c r="L932">
        <f>IF(COUNTIF(A$2:A932, A932)=1, IF(COUNTIF(A$2:A$2001, A932)&gt;1, 1, 0), 0)</f>
        <v>0</v>
      </c>
      <c r="M932" t="b">
        <f>VLOOKUP(D932, Products!A$2:F$61, 6, FALSE)</f>
        <v>1</v>
      </c>
      <c r="N932" t="str">
        <f>VLOOKUP(D932, Products!A$2:C$61, 3, FALSE)</f>
        <v>Sports</v>
      </c>
      <c r="O932" t="str">
        <f>VLOOKUP(C932, Customers!A$2:E$301, 5, FALSE)</f>
        <v>Corporate</v>
      </c>
      <c r="P932">
        <f>VLOOKUP(C932, Customers!A$2:C$301, 3, FALSE)</f>
        <v>46</v>
      </c>
      <c r="Q932" t="str">
        <f>VLOOKUP(E932, Sales_Reps!A$2:C$31, 3, FALSE)</f>
        <v>West</v>
      </c>
      <c r="R932">
        <f>VLOOKUP(D932, Products!A$2:D$61, 4, FALSE)</f>
        <v>2265</v>
      </c>
    </row>
    <row r="933" spans="1:18" x14ac:dyDescent="0.3">
      <c r="A933" s="13" t="s">
        <v>1412</v>
      </c>
      <c r="B933" s="14">
        <v>45428</v>
      </c>
      <c r="C933" s="13" t="s">
        <v>460</v>
      </c>
      <c r="D933" s="13" t="s">
        <v>187</v>
      </c>
      <c r="E933" s="13" t="s">
        <v>86</v>
      </c>
      <c r="F933" s="15">
        <v>8</v>
      </c>
      <c r="G933" s="15">
        <v>3570</v>
      </c>
      <c r="H933" s="15">
        <v>8.5</v>
      </c>
      <c r="I933" s="15">
        <v>26132.400000000001</v>
      </c>
      <c r="J933" s="13" t="s">
        <v>87</v>
      </c>
      <c r="K933" s="13" t="s">
        <v>88</v>
      </c>
      <c r="L933">
        <f>IF(COUNTIF(A$2:A933, A933)=1, IF(COUNTIF(A$2:A$2001, A933)&gt;1, 1, 0), 0)</f>
        <v>0</v>
      </c>
      <c r="M933" t="b">
        <f>VLOOKUP(D933, Products!A$2:F$61, 6, FALSE)</f>
        <v>1</v>
      </c>
      <c r="N933" t="str">
        <f>VLOOKUP(D933, Products!A$2:C$61, 3, FALSE)</f>
        <v>Electronics</v>
      </c>
      <c r="O933" t="str">
        <f>VLOOKUP(C933, Customers!A$2:E$301, 5, FALSE)</f>
        <v>Corporate</v>
      </c>
      <c r="P933">
        <f>VLOOKUP(C933, Customers!A$2:C$301, 3, FALSE)</f>
        <v>37</v>
      </c>
      <c r="Q933" t="str">
        <f>VLOOKUP(E933, Sales_Reps!A$2:C$31, 3, FALSE)</f>
        <v>North</v>
      </c>
      <c r="R933">
        <f>VLOOKUP(D933, Products!A$2:D$61, 4, FALSE)</f>
        <v>1665</v>
      </c>
    </row>
    <row r="934" spans="1:18" x14ac:dyDescent="0.3">
      <c r="A934" s="13" t="s">
        <v>1413</v>
      </c>
      <c r="B934" s="14">
        <v>45517</v>
      </c>
      <c r="C934" s="13" t="s">
        <v>228</v>
      </c>
      <c r="D934" s="13" t="s">
        <v>138</v>
      </c>
      <c r="E934" s="13" t="s">
        <v>98</v>
      </c>
      <c r="F934" s="15">
        <v>7</v>
      </c>
      <c r="G934" s="15">
        <v>2600</v>
      </c>
      <c r="H934" s="15">
        <v>27.1</v>
      </c>
      <c r="I934" s="15">
        <v>13267.8</v>
      </c>
      <c r="J934" s="13" t="s">
        <v>87</v>
      </c>
      <c r="K934" s="13" t="s">
        <v>112</v>
      </c>
      <c r="L934">
        <f>IF(COUNTIF(A$2:A934, A934)=1, IF(COUNTIF(A$2:A$2001, A934)&gt;1, 1, 0), 0)</f>
        <v>0</v>
      </c>
      <c r="M934" t="b">
        <f>VLOOKUP(D934, Products!A$2:F$61, 6, FALSE)</f>
        <v>1</v>
      </c>
      <c r="N934" t="str">
        <f>VLOOKUP(D934, Products!A$2:C$61, 3, FALSE)</f>
        <v>Electronics</v>
      </c>
      <c r="O934" t="str">
        <f>VLOOKUP(C934, Customers!A$2:E$301, 5, FALSE)</f>
        <v>SMB</v>
      </c>
      <c r="P934">
        <f>VLOOKUP(C934, Customers!A$2:C$301, 3, FALSE)</f>
        <v>54</v>
      </c>
      <c r="Q934" t="str">
        <f>VLOOKUP(E934, Sales_Reps!A$2:C$31, 3, FALSE)</f>
        <v>South</v>
      </c>
      <c r="R934">
        <f>VLOOKUP(D934, Products!A$2:D$61, 4, FALSE)</f>
        <v>1052</v>
      </c>
    </row>
    <row r="935" spans="1:18" x14ac:dyDescent="0.3">
      <c r="A935" s="13" t="s">
        <v>1414</v>
      </c>
      <c r="B935" s="14">
        <v>45442</v>
      </c>
      <c r="C935" s="13" t="s">
        <v>266</v>
      </c>
      <c r="D935" s="13" t="s">
        <v>97</v>
      </c>
      <c r="E935" s="13" t="s">
        <v>201</v>
      </c>
      <c r="F935" s="15">
        <v>6</v>
      </c>
      <c r="G935" s="15">
        <v>470</v>
      </c>
      <c r="H935" s="15">
        <v>2.4</v>
      </c>
      <c r="I935" s="15">
        <v>2752.32</v>
      </c>
      <c r="J935" s="13" t="s">
        <v>93</v>
      </c>
      <c r="K935" s="13" t="s">
        <v>99</v>
      </c>
      <c r="L935">
        <f>IF(COUNTIF(A$2:A935, A935)=1, IF(COUNTIF(A$2:A$2001, A935)&gt;1, 1, 0), 0)</f>
        <v>0</v>
      </c>
      <c r="M935" t="b">
        <f>VLOOKUP(D935, Products!A$2:F$61, 6, FALSE)</f>
        <v>0</v>
      </c>
      <c r="N935" t="str">
        <f>VLOOKUP(D935, Products!A$2:C$61, 3, FALSE)</f>
        <v>Sports</v>
      </c>
      <c r="O935" t="str">
        <f>VLOOKUP(C935, Customers!A$2:E$301, 5, FALSE)</f>
        <v>Corporate</v>
      </c>
      <c r="P935">
        <f>VLOOKUP(C935, Customers!A$2:C$301, 3, FALSE)</f>
        <v>55</v>
      </c>
      <c r="Q935" t="str">
        <f>VLOOKUP(E935, Sales_Reps!A$2:C$31, 3, FALSE)</f>
        <v>West</v>
      </c>
      <c r="R935">
        <f>VLOOKUP(D935, Products!A$2:D$61, 4, FALSE)</f>
        <v>302</v>
      </c>
    </row>
    <row r="936" spans="1:18" x14ac:dyDescent="0.3">
      <c r="A936" s="13" t="s">
        <v>1415</v>
      </c>
      <c r="B936" s="14">
        <v>45371</v>
      </c>
      <c r="C936" s="13" t="s">
        <v>759</v>
      </c>
      <c r="D936" s="13" t="s">
        <v>97</v>
      </c>
      <c r="E936" s="13" t="s">
        <v>111</v>
      </c>
      <c r="F936" s="15">
        <v>3</v>
      </c>
      <c r="G936" s="15">
        <v>470</v>
      </c>
      <c r="H936" s="15">
        <v>6.3</v>
      </c>
      <c r="I936" s="15">
        <v>1321.17</v>
      </c>
      <c r="J936" s="13" t="s">
        <v>87</v>
      </c>
      <c r="K936" s="13" t="s">
        <v>117</v>
      </c>
      <c r="L936">
        <f>IF(COUNTIF(A$2:A936, A936)=1, IF(COUNTIF(A$2:A$2001, A936)&gt;1, 1, 0), 0)</f>
        <v>0</v>
      </c>
      <c r="M936" t="b">
        <f>VLOOKUP(D936, Products!A$2:F$61, 6, FALSE)</f>
        <v>0</v>
      </c>
      <c r="N936" t="str">
        <f>VLOOKUP(D936, Products!A$2:C$61, 3, FALSE)</f>
        <v>Sports</v>
      </c>
      <c r="O936" t="str">
        <f>VLOOKUP(C936, Customers!A$2:E$301, 5, FALSE)</f>
        <v>Retail</v>
      </c>
      <c r="P936">
        <f>VLOOKUP(C936, Customers!A$2:C$301, 3, FALSE)</f>
        <v>29</v>
      </c>
      <c r="Q936" t="str">
        <f>VLOOKUP(E936, Sales_Reps!A$2:C$31, 3, FALSE)</f>
        <v>West</v>
      </c>
      <c r="R936">
        <f>VLOOKUP(D936, Products!A$2:D$61, 4, FALSE)</f>
        <v>302</v>
      </c>
    </row>
    <row r="937" spans="1:18" x14ac:dyDescent="0.3">
      <c r="A937" s="13" t="s">
        <v>1416</v>
      </c>
      <c r="B937" s="14">
        <v>45540</v>
      </c>
      <c r="C937" s="13" t="s">
        <v>1308</v>
      </c>
      <c r="D937" s="13" t="s">
        <v>461</v>
      </c>
      <c r="E937" s="13" t="s">
        <v>139</v>
      </c>
      <c r="F937" s="15">
        <v>3</v>
      </c>
      <c r="G937" s="15">
        <v>3780</v>
      </c>
      <c r="H937" s="15">
        <v>19.399999999999999</v>
      </c>
      <c r="I937" s="15">
        <v>9140.0400000000009</v>
      </c>
      <c r="J937" s="13" t="s">
        <v>93</v>
      </c>
      <c r="K937" s="13" t="s">
        <v>94</v>
      </c>
      <c r="L937">
        <f>IF(COUNTIF(A$2:A937, A937)=1, IF(COUNTIF(A$2:A$2001, A937)&gt;1, 1, 0), 0)</f>
        <v>0</v>
      </c>
      <c r="M937" t="b">
        <f>VLOOKUP(D937, Products!A$2:F$61, 6, FALSE)</f>
        <v>1</v>
      </c>
      <c r="N937" t="str">
        <f>VLOOKUP(D937, Products!A$2:C$61, 3, FALSE)</f>
        <v>Sports</v>
      </c>
      <c r="O937" t="str">
        <f>VLOOKUP(C937, Customers!A$2:E$301, 5, FALSE)</f>
        <v>SMB</v>
      </c>
      <c r="P937">
        <f>VLOOKUP(C937, Customers!A$2:C$301, 3, FALSE)</f>
        <v>51</v>
      </c>
      <c r="Q937" t="str">
        <f>VLOOKUP(E937, Sales_Reps!A$2:C$31, 3, FALSE)</f>
        <v>North</v>
      </c>
      <c r="R937">
        <f>VLOOKUP(D937, Products!A$2:D$61, 4, FALSE)</f>
        <v>1860</v>
      </c>
    </row>
    <row r="938" spans="1:18" x14ac:dyDescent="0.3">
      <c r="A938" s="13" t="s">
        <v>1417</v>
      </c>
      <c r="B938" s="14">
        <v>45392</v>
      </c>
      <c r="C938" s="13" t="s">
        <v>126</v>
      </c>
      <c r="D938" s="13" t="s">
        <v>515</v>
      </c>
      <c r="E938" s="13" t="s">
        <v>121</v>
      </c>
      <c r="F938" s="15">
        <v>5</v>
      </c>
      <c r="G938" s="15">
        <v>6940</v>
      </c>
      <c r="H938" s="15">
        <v>12.6</v>
      </c>
      <c r="I938" s="15">
        <v>30327.8</v>
      </c>
      <c r="J938" s="13" t="s">
        <v>87</v>
      </c>
      <c r="K938" s="13" t="s">
        <v>88</v>
      </c>
      <c r="L938">
        <f>IF(COUNTIF(A$2:A938, A938)=1, IF(COUNTIF(A$2:A$2001, A938)&gt;1, 1, 0), 0)</f>
        <v>0</v>
      </c>
      <c r="M938" t="b">
        <f>VLOOKUP(D938, Products!A$2:F$61, 6, FALSE)</f>
        <v>1</v>
      </c>
      <c r="N938" t="str">
        <f>VLOOKUP(D938, Products!A$2:C$61, 3, FALSE)</f>
        <v>Sports</v>
      </c>
      <c r="O938" t="str">
        <f>VLOOKUP(C938, Customers!A$2:E$301, 5, FALSE)</f>
        <v>Retail</v>
      </c>
      <c r="P938">
        <f>VLOOKUP(C938, Customers!A$2:C$301, 3, FALSE)</f>
        <v>56</v>
      </c>
      <c r="Q938" t="str">
        <f>VLOOKUP(E938, Sales_Reps!A$2:C$31, 3, FALSE)</f>
        <v>East</v>
      </c>
      <c r="R938">
        <f>VLOOKUP(D938, Products!A$2:D$61, 4, FALSE)</f>
        <v>2827</v>
      </c>
    </row>
    <row r="939" spans="1:18" x14ac:dyDescent="0.3">
      <c r="A939" s="13" t="s">
        <v>1418</v>
      </c>
      <c r="B939" s="14">
        <v>45386</v>
      </c>
      <c r="C939" s="13" t="s">
        <v>413</v>
      </c>
      <c r="D939" s="13" t="s">
        <v>248</v>
      </c>
      <c r="E939" s="13" t="s">
        <v>170</v>
      </c>
      <c r="F939" s="15">
        <v>2</v>
      </c>
      <c r="G939" s="15">
        <v>3870</v>
      </c>
      <c r="H939" s="15">
        <v>10.5</v>
      </c>
      <c r="I939" s="15">
        <v>6927.3</v>
      </c>
      <c r="J939" s="13" t="s">
        <v>87</v>
      </c>
      <c r="K939" s="13" t="s">
        <v>88</v>
      </c>
      <c r="L939">
        <f>IF(COUNTIF(A$2:A939, A939)=1, IF(COUNTIF(A$2:A$2001, A939)&gt;1, 1, 0), 0)</f>
        <v>0</v>
      </c>
      <c r="M939" t="b">
        <f>VLOOKUP(D939, Products!A$2:F$61, 6, FALSE)</f>
        <v>1</v>
      </c>
      <c r="N939" t="str">
        <f>VLOOKUP(D939, Products!A$2:C$61, 3, FALSE)</f>
        <v>Electronics</v>
      </c>
      <c r="O939" t="str">
        <f>VLOOKUP(C939, Customers!A$2:E$301, 5, FALSE)</f>
        <v>Retail</v>
      </c>
      <c r="P939">
        <f>VLOOKUP(C939, Customers!A$2:C$301, 3, FALSE)</f>
        <v>22</v>
      </c>
      <c r="Q939" t="str">
        <f>VLOOKUP(E939, Sales_Reps!A$2:C$31, 3, FALSE)</f>
        <v>West</v>
      </c>
      <c r="R939">
        <f>VLOOKUP(D939, Products!A$2:D$61, 4, FALSE)</f>
        <v>1559</v>
      </c>
    </row>
    <row r="940" spans="1:18" x14ac:dyDescent="0.3">
      <c r="A940" s="13" t="s">
        <v>1419</v>
      </c>
      <c r="B940" s="14">
        <v>45516</v>
      </c>
      <c r="C940" s="13" t="s">
        <v>841</v>
      </c>
      <c r="D940" s="13" t="s">
        <v>360</v>
      </c>
      <c r="E940" s="13" t="s">
        <v>98</v>
      </c>
      <c r="F940" s="15">
        <v>8</v>
      </c>
      <c r="G940" s="15">
        <v>5410</v>
      </c>
      <c r="H940" s="15">
        <v>28.4</v>
      </c>
      <c r="I940" s="15">
        <v>30988.48</v>
      </c>
      <c r="J940" s="13" t="s">
        <v>93</v>
      </c>
      <c r="K940" s="13" t="s">
        <v>117</v>
      </c>
      <c r="L940">
        <f>IF(COUNTIF(A$2:A940, A940)=1, IF(COUNTIF(A$2:A$2001, A940)&gt;1, 1, 0), 0)</f>
        <v>0</v>
      </c>
      <c r="M940" t="b">
        <f>VLOOKUP(D940, Products!A$2:F$61, 6, FALSE)</f>
        <v>1</v>
      </c>
      <c r="N940" t="str">
        <f>VLOOKUP(D940, Products!A$2:C$61, 3, FALSE)</f>
        <v>Sports</v>
      </c>
      <c r="O940" t="str">
        <f>VLOOKUP(C940, Customers!A$2:E$301, 5, FALSE)</f>
        <v>Corporate</v>
      </c>
      <c r="P940">
        <f>VLOOKUP(C940, Customers!A$2:C$301, 3, FALSE)</f>
        <v>41</v>
      </c>
      <c r="Q940" t="str">
        <f>VLOOKUP(E940, Sales_Reps!A$2:C$31, 3, FALSE)</f>
        <v>South</v>
      </c>
      <c r="R940">
        <f>VLOOKUP(D940, Products!A$2:D$61, 4, FALSE)</f>
        <v>2265</v>
      </c>
    </row>
    <row r="941" spans="1:18" x14ac:dyDescent="0.3">
      <c r="A941" s="13" t="s">
        <v>1420</v>
      </c>
      <c r="B941" s="14">
        <v>45618</v>
      </c>
      <c r="C941" s="13" t="s">
        <v>197</v>
      </c>
      <c r="D941" s="13" t="s">
        <v>408</v>
      </c>
      <c r="E941" s="13" t="s">
        <v>170</v>
      </c>
      <c r="F941" s="15">
        <v>7</v>
      </c>
      <c r="G941" s="15">
        <v>3970</v>
      </c>
      <c r="H941" s="15">
        <v>12.3</v>
      </c>
      <c r="I941" s="15">
        <v>24371.83</v>
      </c>
      <c r="J941" s="13" t="s">
        <v>87</v>
      </c>
      <c r="K941" s="13" t="s">
        <v>88</v>
      </c>
      <c r="L941">
        <f>IF(COUNTIF(A$2:A941, A941)=1, IF(COUNTIF(A$2:A$2001, A941)&gt;1, 1, 0), 0)</f>
        <v>0</v>
      </c>
      <c r="M941" t="b">
        <f>VLOOKUP(D941, Products!A$2:F$61, 6, FALSE)</f>
        <v>1</v>
      </c>
      <c r="N941" t="str">
        <f>VLOOKUP(D941, Products!A$2:C$61, 3, FALSE)</f>
        <v>Electronics</v>
      </c>
      <c r="O941" t="str">
        <f>VLOOKUP(C941, Customers!A$2:E$301, 5, FALSE)</f>
        <v>Corporate</v>
      </c>
      <c r="P941">
        <f>VLOOKUP(C941, Customers!A$2:C$301, 3, FALSE)</f>
        <v>47</v>
      </c>
      <c r="Q941" t="str">
        <f>VLOOKUP(E941, Sales_Reps!A$2:C$31, 3, FALSE)</f>
        <v>West</v>
      </c>
      <c r="R941">
        <f>VLOOKUP(D941, Products!A$2:D$61, 4, FALSE)</f>
        <v>2865</v>
      </c>
    </row>
    <row r="942" spans="1:18" x14ac:dyDescent="0.3">
      <c r="A942" s="13" t="s">
        <v>1421</v>
      </c>
      <c r="B942" s="14">
        <v>45610</v>
      </c>
      <c r="C942" s="13" t="s">
        <v>615</v>
      </c>
      <c r="D942" s="13" t="s">
        <v>515</v>
      </c>
      <c r="E942" s="13" t="s">
        <v>215</v>
      </c>
      <c r="F942" s="15">
        <v>5</v>
      </c>
      <c r="G942" s="15">
        <v>6940</v>
      </c>
      <c r="H942" s="15">
        <v>1.5</v>
      </c>
      <c r="I942" s="15">
        <v>34179.5</v>
      </c>
      <c r="J942" s="13" t="s">
        <v>87</v>
      </c>
      <c r="K942" s="13" t="s">
        <v>112</v>
      </c>
      <c r="L942">
        <f>IF(COUNTIF(A$2:A942, A942)=1, IF(COUNTIF(A$2:A$2001, A942)&gt;1, 1, 0), 0)</f>
        <v>0</v>
      </c>
      <c r="M942" t="b">
        <f>VLOOKUP(D942, Products!A$2:F$61, 6, FALSE)</f>
        <v>1</v>
      </c>
      <c r="N942" t="str">
        <f>VLOOKUP(D942, Products!A$2:C$61, 3, FALSE)</f>
        <v>Sports</v>
      </c>
      <c r="O942" t="str">
        <f>VLOOKUP(C942, Customers!A$2:E$301, 5, FALSE)</f>
        <v>Retail</v>
      </c>
      <c r="P942">
        <f>VLOOKUP(C942, Customers!A$2:C$301, 3, FALSE)</f>
        <v>53</v>
      </c>
      <c r="Q942" t="str">
        <f>VLOOKUP(E942, Sales_Reps!A$2:C$31, 3, FALSE)</f>
        <v>North</v>
      </c>
      <c r="R942">
        <f>VLOOKUP(D942, Products!A$2:D$61, 4, FALSE)</f>
        <v>2827</v>
      </c>
    </row>
    <row r="943" spans="1:18" x14ac:dyDescent="0.3">
      <c r="A943" s="13" t="s">
        <v>1422</v>
      </c>
      <c r="B943" s="14">
        <v>45541</v>
      </c>
      <c r="C943" s="13" t="s">
        <v>1038</v>
      </c>
      <c r="D943" s="13" t="s">
        <v>106</v>
      </c>
      <c r="E943" s="13" t="s">
        <v>103</v>
      </c>
      <c r="F943" s="15">
        <v>7</v>
      </c>
      <c r="G943" s="15">
        <v>3160</v>
      </c>
      <c r="H943" s="15">
        <v>2.4</v>
      </c>
      <c r="I943" s="15">
        <v>21589.119999999999</v>
      </c>
      <c r="J943" s="13" t="s">
        <v>144</v>
      </c>
      <c r="K943" s="13" t="s">
        <v>117</v>
      </c>
      <c r="L943">
        <f>IF(COUNTIF(A$2:A943, A943)=1, IF(COUNTIF(A$2:A$2001, A943)&gt;1, 1, 0), 0)</f>
        <v>0</v>
      </c>
      <c r="M943" t="b">
        <f>VLOOKUP(D943, Products!A$2:F$61, 6, FALSE)</f>
        <v>1</v>
      </c>
      <c r="N943" t="str">
        <f>VLOOKUP(D943, Products!A$2:C$61, 3, FALSE)</f>
        <v>Apparel</v>
      </c>
      <c r="O943" t="str">
        <f>VLOOKUP(C943, Customers!A$2:E$301, 5, FALSE)</f>
        <v>Corporate</v>
      </c>
      <c r="P943">
        <f>VLOOKUP(C943, Customers!A$2:C$301, 3, FALSE)</f>
        <v>55</v>
      </c>
      <c r="Q943" t="str">
        <f>VLOOKUP(E943, Sales_Reps!A$2:C$31, 3, FALSE)</f>
        <v>North</v>
      </c>
      <c r="R943">
        <f>VLOOKUP(D943, Products!A$2:D$61, 4, FALSE)</f>
        <v>1886</v>
      </c>
    </row>
    <row r="944" spans="1:18" x14ac:dyDescent="0.3">
      <c r="A944" s="13" t="s">
        <v>1423</v>
      </c>
      <c r="B944" s="14">
        <v>45497</v>
      </c>
      <c r="C944" s="13" t="s">
        <v>757</v>
      </c>
      <c r="D944" s="13" t="s">
        <v>91</v>
      </c>
      <c r="E944" s="13" t="s">
        <v>116</v>
      </c>
      <c r="F944" s="15">
        <v>2</v>
      </c>
      <c r="G944" s="15">
        <v>820</v>
      </c>
      <c r="H944" s="15">
        <v>8.1</v>
      </c>
      <c r="I944" s="15">
        <v>1507.16</v>
      </c>
      <c r="J944" s="13" t="s">
        <v>87</v>
      </c>
      <c r="K944" s="13" t="s">
        <v>117</v>
      </c>
      <c r="L944">
        <f>IF(COUNTIF(A$2:A944, A944)=1, IF(COUNTIF(A$2:A$2001, A944)&gt;1, 1, 0), 0)</f>
        <v>0</v>
      </c>
      <c r="M944" t="b">
        <f>VLOOKUP(D944, Products!A$2:F$61, 6, FALSE)</f>
        <v>1</v>
      </c>
      <c r="N944" t="str">
        <f>VLOOKUP(D944, Products!A$2:C$61, 3, FALSE)</f>
        <v>Apparel</v>
      </c>
      <c r="O944" t="str">
        <f>VLOOKUP(C944, Customers!A$2:E$301, 5, FALSE)</f>
        <v>Corporate</v>
      </c>
      <c r="P944">
        <f>VLOOKUP(C944, Customers!A$2:C$301, 3, FALSE)</f>
        <v>43</v>
      </c>
      <c r="Q944" t="str">
        <f>VLOOKUP(E944, Sales_Reps!A$2:C$31, 3, FALSE)</f>
        <v>West</v>
      </c>
      <c r="R944">
        <f>VLOOKUP(D944, Products!A$2:D$61, 4, FALSE)</f>
        <v>391</v>
      </c>
    </row>
    <row r="945" spans="1:18" x14ac:dyDescent="0.3">
      <c r="A945" s="13" t="s">
        <v>1424</v>
      </c>
      <c r="B945" s="14">
        <v>45567</v>
      </c>
      <c r="C945" s="13" t="s">
        <v>250</v>
      </c>
      <c r="D945" s="13" t="s">
        <v>259</v>
      </c>
      <c r="E945" s="13" t="s">
        <v>170</v>
      </c>
      <c r="F945" s="15">
        <v>2</v>
      </c>
      <c r="G945" s="15">
        <v>1540</v>
      </c>
      <c r="H945" s="15">
        <v>17.7</v>
      </c>
      <c r="I945" s="15">
        <v>2534.84</v>
      </c>
      <c r="J945" s="13" t="s">
        <v>87</v>
      </c>
      <c r="K945" s="13" t="s">
        <v>117</v>
      </c>
      <c r="L945">
        <f>IF(COUNTIF(A$2:A945, A945)=1, IF(COUNTIF(A$2:A$2001, A945)&gt;1, 1, 0), 0)</f>
        <v>0</v>
      </c>
      <c r="M945" t="b">
        <f>VLOOKUP(D945, Products!A$2:F$61, 6, FALSE)</f>
        <v>0</v>
      </c>
      <c r="N945" t="str">
        <f>VLOOKUP(D945, Products!A$2:C$61, 3, FALSE)</f>
        <v>Beauty</v>
      </c>
      <c r="O945" t="str">
        <f>VLOOKUP(C945, Customers!A$2:E$301, 5, FALSE)</f>
        <v>SMB</v>
      </c>
      <c r="P945">
        <f>VLOOKUP(C945, Customers!A$2:C$301, 3, FALSE)</f>
        <v>34</v>
      </c>
      <c r="Q945" t="str">
        <f>VLOOKUP(E945, Sales_Reps!A$2:C$31, 3, FALSE)</f>
        <v>West</v>
      </c>
      <c r="R945">
        <f>VLOOKUP(D945, Products!A$2:D$61, 4, FALSE)</f>
        <v>647</v>
      </c>
    </row>
    <row r="946" spans="1:18" x14ac:dyDescent="0.3">
      <c r="A946" s="13" t="s">
        <v>1425</v>
      </c>
      <c r="B946" s="14">
        <v>45451</v>
      </c>
      <c r="C946" s="13" t="s">
        <v>759</v>
      </c>
      <c r="D946" s="13" t="s">
        <v>248</v>
      </c>
      <c r="E946" s="13" t="s">
        <v>215</v>
      </c>
      <c r="F946" s="15">
        <v>10</v>
      </c>
      <c r="G946" s="15">
        <v>3870</v>
      </c>
      <c r="H946" s="15">
        <v>12.2</v>
      </c>
      <c r="I946" s="15">
        <v>33978.6</v>
      </c>
      <c r="J946" s="13" t="s">
        <v>144</v>
      </c>
      <c r="K946" s="13" t="s">
        <v>117</v>
      </c>
      <c r="L946">
        <f>IF(COUNTIF(A$2:A946, A946)=1, IF(COUNTIF(A$2:A$2001, A946)&gt;1, 1, 0), 0)</f>
        <v>0</v>
      </c>
      <c r="M946" t="b">
        <f>VLOOKUP(D946, Products!A$2:F$61, 6, FALSE)</f>
        <v>1</v>
      </c>
      <c r="N946" t="str">
        <f>VLOOKUP(D946, Products!A$2:C$61, 3, FALSE)</f>
        <v>Electronics</v>
      </c>
      <c r="O946" t="str">
        <f>VLOOKUP(C946, Customers!A$2:E$301, 5, FALSE)</f>
        <v>Retail</v>
      </c>
      <c r="P946">
        <f>VLOOKUP(C946, Customers!A$2:C$301, 3, FALSE)</f>
        <v>29</v>
      </c>
      <c r="Q946" t="str">
        <f>VLOOKUP(E946, Sales_Reps!A$2:C$31, 3, FALSE)</f>
        <v>North</v>
      </c>
      <c r="R946">
        <f>VLOOKUP(D946, Products!A$2:D$61, 4, FALSE)</f>
        <v>1559</v>
      </c>
    </row>
    <row r="947" spans="1:18" x14ac:dyDescent="0.3">
      <c r="A947" s="13" t="s">
        <v>1426</v>
      </c>
      <c r="B947" s="14">
        <v>45488</v>
      </c>
      <c r="C947" s="13" t="s">
        <v>392</v>
      </c>
      <c r="D947" s="13" t="s">
        <v>279</v>
      </c>
      <c r="E947" s="13" t="s">
        <v>297</v>
      </c>
      <c r="F947" s="15">
        <v>7</v>
      </c>
      <c r="G947" s="15">
        <v>2660</v>
      </c>
      <c r="H947" s="15">
        <v>4.7</v>
      </c>
      <c r="I947" s="15">
        <v>17744.86</v>
      </c>
      <c r="J947" s="13" t="s">
        <v>87</v>
      </c>
      <c r="K947" s="13" t="s">
        <v>112</v>
      </c>
      <c r="L947">
        <f>IF(COUNTIF(A$2:A947, A947)=1, IF(COUNTIF(A$2:A$2001, A947)&gt;1, 1, 0), 0)</f>
        <v>0</v>
      </c>
      <c r="M947" t="b">
        <f>VLOOKUP(D947, Products!A$2:F$61, 6, FALSE)</f>
        <v>0</v>
      </c>
      <c r="N947" t="str">
        <f>VLOOKUP(D947, Products!A$2:C$61, 3, FALSE)</f>
        <v>Electronics</v>
      </c>
      <c r="O947" t="str">
        <f>VLOOKUP(C947, Customers!A$2:E$301, 5, FALSE)</f>
        <v>Retail</v>
      </c>
      <c r="P947">
        <f>VLOOKUP(C947, Customers!A$2:C$301, 3, FALSE)</f>
        <v>50</v>
      </c>
      <c r="Q947" t="str">
        <f>VLOOKUP(E947, Sales_Reps!A$2:C$31, 3, FALSE)</f>
        <v>North</v>
      </c>
      <c r="R947">
        <f>VLOOKUP(D947, Products!A$2:D$61, 4, FALSE)</f>
        <v>1259</v>
      </c>
    </row>
    <row r="948" spans="1:18" x14ac:dyDescent="0.3">
      <c r="A948" s="13" t="s">
        <v>1427</v>
      </c>
      <c r="B948" s="14">
        <v>45431</v>
      </c>
      <c r="C948" s="13" t="s">
        <v>401</v>
      </c>
      <c r="D948" s="13" t="s">
        <v>187</v>
      </c>
      <c r="E948" s="13" t="s">
        <v>204</v>
      </c>
      <c r="F948" s="15">
        <v>4</v>
      </c>
      <c r="G948" s="15">
        <v>3570</v>
      </c>
      <c r="H948" s="15">
        <v>19.3</v>
      </c>
      <c r="I948" s="15">
        <v>11523.96</v>
      </c>
      <c r="J948" s="13" t="s">
        <v>87</v>
      </c>
      <c r="K948" s="13" t="s">
        <v>94</v>
      </c>
      <c r="L948">
        <f>IF(COUNTIF(A$2:A948, A948)=1, IF(COUNTIF(A$2:A$2001, A948)&gt;1, 1, 0), 0)</f>
        <v>1</v>
      </c>
      <c r="M948" t="b">
        <f>VLOOKUP(D948, Products!A$2:F$61, 6, FALSE)</f>
        <v>1</v>
      </c>
      <c r="N948" t="str">
        <f>VLOOKUP(D948, Products!A$2:C$61, 3, FALSE)</f>
        <v>Electronics</v>
      </c>
      <c r="O948" t="str">
        <f>VLOOKUP(C948, Customers!A$2:E$301, 5, FALSE)</f>
        <v>SMB</v>
      </c>
      <c r="P948">
        <f>VLOOKUP(C948, Customers!A$2:C$301, 3, FALSE)</f>
        <v>51</v>
      </c>
      <c r="Q948" t="str">
        <f>VLOOKUP(E948, Sales_Reps!A$2:C$31, 3, FALSE)</f>
        <v>South</v>
      </c>
      <c r="R948">
        <f>VLOOKUP(D948, Products!A$2:D$61, 4, FALSE)</f>
        <v>1665</v>
      </c>
    </row>
    <row r="949" spans="1:18" x14ac:dyDescent="0.3">
      <c r="A949" s="13" t="s">
        <v>1428</v>
      </c>
      <c r="B949" s="14">
        <v>45393</v>
      </c>
      <c r="C949" s="13" t="s">
        <v>186</v>
      </c>
      <c r="D949" s="13" t="s">
        <v>295</v>
      </c>
      <c r="E949" s="13" t="s">
        <v>297</v>
      </c>
      <c r="F949" s="15">
        <v>2</v>
      </c>
      <c r="G949" s="15">
        <v>2030</v>
      </c>
      <c r="H949" s="15">
        <v>2.6</v>
      </c>
      <c r="I949" s="15">
        <v>3954.44</v>
      </c>
      <c r="J949" s="13" t="s">
        <v>87</v>
      </c>
      <c r="K949" s="13" t="s">
        <v>94</v>
      </c>
      <c r="L949">
        <f>IF(COUNTIF(A$2:A949, A949)=1, IF(COUNTIF(A$2:A$2001, A949)&gt;1, 1, 0), 0)</f>
        <v>0</v>
      </c>
      <c r="M949" t="b">
        <f>VLOOKUP(D949, Products!A$2:F$61, 6, FALSE)</f>
        <v>1</v>
      </c>
      <c r="N949" t="str">
        <f>VLOOKUP(D949, Products!A$2:C$61, 3, FALSE)</f>
        <v>Home</v>
      </c>
      <c r="O949" t="str">
        <f>VLOOKUP(C949, Customers!A$2:E$301, 5, FALSE)</f>
        <v>SMB</v>
      </c>
      <c r="P949">
        <f>VLOOKUP(C949, Customers!A$2:C$301, 3, FALSE)</f>
        <v>52</v>
      </c>
      <c r="Q949" t="str">
        <f>VLOOKUP(E949, Sales_Reps!A$2:C$31, 3, FALSE)</f>
        <v>North</v>
      </c>
      <c r="R949">
        <f>VLOOKUP(D949, Products!A$2:D$61, 4, FALSE)</f>
        <v>1143</v>
      </c>
    </row>
    <row r="950" spans="1:18" x14ac:dyDescent="0.3">
      <c r="A950" s="13" t="s">
        <v>1429</v>
      </c>
      <c r="B950" s="14">
        <v>45427</v>
      </c>
      <c r="C950" s="13" t="s">
        <v>454</v>
      </c>
      <c r="D950" s="13" t="s">
        <v>106</v>
      </c>
      <c r="E950" s="13" t="s">
        <v>252</v>
      </c>
      <c r="F950" s="15">
        <v>6</v>
      </c>
      <c r="G950" s="15">
        <v>3160</v>
      </c>
      <c r="H950" s="15">
        <v>25.8</v>
      </c>
      <c r="I950" s="15">
        <v>14068.32</v>
      </c>
      <c r="J950" s="13" t="s">
        <v>87</v>
      </c>
      <c r="K950" s="13" t="s">
        <v>133</v>
      </c>
      <c r="L950">
        <f>IF(COUNTIF(A$2:A950, A950)=1, IF(COUNTIF(A$2:A$2001, A950)&gt;1, 1, 0), 0)</f>
        <v>0</v>
      </c>
      <c r="M950" t="b">
        <f>VLOOKUP(D950, Products!A$2:F$61, 6, FALSE)</f>
        <v>1</v>
      </c>
      <c r="N950" t="str">
        <f>VLOOKUP(D950, Products!A$2:C$61, 3, FALSE)</f>
        <v>Apparel</v>
      </c>
      <c r="O950" t="str">
        <f>VLOOKUP(C950, Customers!A$2:E$301, 5, FALSE)</f>
        <v>Corporate</v>
      </c>
      <c r="P950">
        <f>VLOOKUP(C950, Customers!A$2:C$301, 3, FALSE)</f>
        <v>43</v>
      </c>
      <c r="Q950" t="str">
        <f>VLOOKUP(E950, Sales_Reps!A$2:C$31, 3, FALSE)</f>
        <v>South</v>
      </c>
      <c r="R950">
        <f>VLOOKUP(D950, Products!A$2:D$61, 4, FALSE)</f>
        <v>1886</v>
      </c>
    </row>
    <row r="951" spans="1:18" x14ac:dyDescent="0.3">
      <c r="A951" s="13" t="s">
        <v>1430</v>
      </c>
      <c r="B951" s="14">
        <v>45591</v>
      </c>
      <c r="C951" s="13" t="s">
        <v>522</v>
      </c>
      <c r="D951" s="13" t="s">
        <v>443</v>
      </c>
      <c r="E951" s="13" t="s">
        <v>98</v>
      </c>
      <c r="F951" s="15">
        <v>4</v>
      </c>
      <c r="G951" s="15">
        <v>5080</v>
      </c>
      <c r="H951" s="15">
        <v>2</v>
      </c>
      <c r="I951" s="15">
        <v>19913.599999999999</v>
      </c>
      <c r="J951" s="13" t="s">
        <v>87</v>
      </c>
      <c r="K951" s="13" t="s">
        <v>1431</v>
      </c>
      <c r="L951">
        <f>IF(COUNTIF(A$2:A951, A951)=1, IF(COUNTIF(A$2:A$2001, A951)&gt;1, 1, 0), 0)</f>
        <v>0</v>
      </c>
      <c r="M951" t="b">
        <f>VLOOKUP(D951, Products!A$2:F$61, 6, FALSE)</f>
        <v>1</v>
      </c>
      <c r="N951" t="str">
        <f>VLOOKUP(D951, Products!A$2:C$61, 3, FALSE)</f>
        <v>Home</v>
      </c>
      <c r="O951" t="str">
        <f>VLOOKUP(C951, Customers!A$2:E$301, 5, FALSE)</f>
        <v>SMB</v>
      </c>
      <c r="P951">
        <f>VLOOKUP(C951, Customers!A$2:C$301, 3, FALSE)</f>
        <v>55</v>
      </c>
      <c r="Q951" t="str">
        <f>VLOOKUP(E951, Sales_Reps!A$2:C$31, 3, FALSE)</f>
        <v>South</v>
      </c>
      <c r="R951">
        <f>VLOOKUP(D951, Products!A$2:D$61, 4, FALSE)</f>
        <v>2459</v>
      </c>
    </row>
    <row r="952" spans="1:18" x14ac:dyDescent="0.3">
      <c r="A952" s="13" t="s">
        <v>1432</v>
      </c>
      <c r="B952" s="14">
        <v>45327</v>
      </c>
      <c r="C952" s="13" t="s">
        <v>460</v>
      </c>
      <c r="D952" s="13" t="s">
        <v>157</v>
      </c>
      <c r="E952" s="13" t="s">
        <v>132</v>
      </c>
      <c r="F952" s="15">
        <v>6</v>
      </c>
      <c r="G952" s="15">
        <v>3450</v>
      </c>
      <c r="H952" s="15">
        <v>1.8</v>
      </c>
      <c r="I952" s="15">
        <v>20327.400000000001</v>
      </c>
      <c r="J952" s="13" t="s">
        <v>140</v>
      </c>
      <c r="K952" s="13" t="s">
        <v>88</v>
      </c>
      <c r="L952">
        <f>IF(COUNTIF(A$2:A952, A952)=1, IF(COUNTIF(A$2:A$2001, A952)&gt;1, 1, 0), 0)</f>
        <v>0</v>
      </c>
      <c r="M952" t="b">
        <f>VLOOKUP(D952, Products!A$2:F$61, 6, FALSE)</f>
        <v>1</v>
      </c>
      <c r="N952" t="str">
        <f>VLOOKUP(D952, Products!A$2:C$61, 3, FALSE)</f>
        <v>Beauty</v>
      </c>
      <c r="O952" t="str">
        <f>VLOOKUP(C952, Customers!A$2:E$301, 5, FALSE)</f>
        <v>Corporate</v>
      </c>
      <c r="P952">
        <f>VLOOKUP(C952, Customers!A$2:C$301, 3, FALSE)</f>
        <v>37</v>
      </c>
      <c r="Q952" t="str">
        <f>VLOOKUP(E952, Sales_Reps!A$2:C$31, 3, FALSE)</f>
        <v>South</v>
      </c>
      <c r="R952">
        <f>VLOOKUP(D952, Products!A$2:D$61, 4, FALSE)</f>
        <v>2420</v>
      </c>
    </row>
    <row r="953" spans="1:18" x14ac:dyDescent="0.3">
      <c r="A953" s="13" t="s">
        <v>1433</v>
      </c>
      <c r="B953" s="14">
        <v>45575</v>
      </c>
      <c r="C953" s="13" t="s">
        <v>597</v>
      </c>
      <c r="D953" s="13" t="s">
        <v>161</v>
      </c>
      <c r="E953" s="13" t="s">
        <v>346</v>
      </c>
      <c r="F953" s="15">
        <v>3</v>
      </c>
      <c r="G953" s="15">
        <v>3450</v>
      </c>
      <c r="H953" s="15">
        <v>4.7</v>
      </c>
      <c r="I953" s="15">
        <v>9863.5499999999993</v>
      </c>
      <c r="J953" s="13" t="s">
        <v>93</v>
      </c>
      <c r="K953" s="13" t="s">
        <v>112</v>
      </c>
      <c r="L953">
        <f>IF(COUNTIF(A$2:A953, A953)=1, IF(COUNTIF(A$2:A$2001, A953)&gt;1, 1, 0), 0)</f>
        <v>0</v>
      </c>
      <c r="M953" t="b">
        <f>VLOOKUP(D953, Products!A$2:F$61, 6, FALSE)</f>
        <v>1</v>
      </c>
      <c r="N953" t="str">
        <f>VLOOKUP(D953, Products!A$2:C$61, 3, FALSE)</f>
        <v>Sports</v>
      </c>
      <c r="O953" t="str">
        <f>VLOOKUP(C953, Customers!A$2:E$301, 5, FALSE)</f>
        <v>Retail</v>
      </c>
      <c r="P953">
        <f>VLOOKUP(C953, Customers!A$2:C$301, 3, FALSE)</f>
        <v>39</v>
      </c>
      <c r="Q953" t="str">
        <f>VLOOKUP(E953, Sales_Reps!A$2:C$31, 3, FALSE)</f>
        <v>South</v>
      </c>
      <c r="R953">
        <f>VLOOKUP(D953, Products!A$2:D$61, 4, FALSE)</f>
        <v>2467</v>
      </c>
    </row>
    <row r="954" spans="1:18" x14ac:dyDescent="0.3">
      <c r="A954" s="13" t="s">
        <v>1434</v>
      </c>
      <c r="B954" s="14">
        <v>45367</v>
      </c>
      <c r="C954" s="13" t="s">
        <v>208</v>
      </c>
      <c r="D954" s="13" t="s">
        <v>364</v>
      </c>
      <c r="E954" s="13" t="s">
        <v>343</v>
      </c>
      <c r="F954" s="15">
        <v>7</v>
      </c>
      <c r="G954" s="15">
        <v>5330</v>
      </c>
      <c r="H954" s="15">
        <v>16.399999999999999</v>
      </c>
      <c r="I954" s="15">
        <v>31191.16</v>
      </c>
      <c r="J954" s="13" t="s">
        <v>87</v>
      </c>
      <c r="K954" s="13" t="s">
        <v>133</v>
      </c>
      <c r="L954">
        <f>IF(COUNTIF(A$2:A954, A954)=1, IF(COUNTIF(A$2:A$2001, A954)&gt;1, 1, 0), 0)</f>
        <v>0</v>
      </c>
      <c r="M954" t="b">
        <f>VLOOKUP(D954, Products!A$2:F$61, 6, FALSE)</f>
        <v>1</v>
      </c>
      <c r="N954" t="str">
        <f>VLOOKUP(D954, Products!A$2:C$61, 3, FALSE)</f>
        <v>Electronics</v>
      </c>
      <c r="O954" t="str">
        <f>VLOOKUP(C954, Customers!A$2:E$301, 5, FALSE)</f>
        <v>Retail</v>
      </c>
      <c r="P954">
        <f>VLOOKUP(C954, Customers!A$2:C$301, 3, FALSE)</f>
        <v>26</v>
      </c>
      <c r="Q954" t="str">
        <f>VLOOKUP(E954, Sales_Reps!A$2:C$31, 3, FALSE)</f>
        <v>West</v>
      </c>
      <c r="R954">
        <f>VLOOKUP(D954, Products!A$2:D$61, 4, FALSE)</f>
        <v>2405</v>
      </c>
    </row>
    <row r="955" spans="1:18" x14ac:dyDescent="0.3">
      <c r="A955" s="13" t="s">
        <v>1435</v>
      </c>
      <c r="B955" s="14">
        <v>45522</v>
      </c>
      <c r="C955" s="13" t="s">
        <v>606</v>
      </c>
      <c r="D955" s="13" t="s">
        <v>338</v>
      </c>
      <c r="E955" s="13" t="s">
        <v>148</v>
      </c>
      <c r="F955" s="15">
        <v>6</v>
      </c>
      <c r="G955" s="15">
        <v>2210</v>
      </c>
      <c r="H955" s="15">
        <v>13.1</v>
      </c>
      <c r="I955" s="15">
        <v>11522.94</v>
      </c>
      <c r="J955" s="13" t="s">
        <v>87</v>
      </c>
      <c r="K955" s="13" t="s">
        <v>112</v>
      </c>
      <c r="L955">
        <f>IF(COUNTIF(A$2:A955, A955)=1, IF(COUNTIF(A$2:A$2001, A955)&gt;1, 1, 0), 0)</f>
        <v>0</v>
      </c>
      <c r="M955" t="b">
        <f>VLOOKUP(D955, Products!A$2:F$61, 6, FALSE)</f>
        <v>1</v>
      </c>
      <c r="N955" t="str">
        <f>VLOOKUP(D955, Products!A$2:C$61, 3, FALSE)</f>
        <v>Grocery</v>
      </c>
      <c r="O955" t="str">
        <f>VLOOKUP(C955, Customers!A$2:E$301, 5, FALSE)</f>
        <v>Retail</v>
      </c>
      <c r="P955">
        <f>VLOOKUP(C955, Customers!A$2:C$301, 3, FALSE)</f>
        <v>52</v>
      </c>
      <c r="Q955" t="str">
        <f>VLOOKUP(E955, Sales_Reps!A$2:C$31, 3, FALSE)</f>
        <v>North</v>
      </c>
      <c r="R955">
        <f>VLOOKUP(D955, Products!A$2:D$61, 4, FALSE)</f>
        <v>1010</v>
      </c>
    </row>
    <row r="956" spans="1:18" x14ac:dyDescent="0.3">
      <c r="A956" s="13" t="s">
        <v>1436</v>
      </c>
      <c r="B956" s="14">
        <v>45579</v>
      </c>
      <c r="C956" s="13" t="s">
        <v>447</v>
      </c>
      <c r="D956" s="13" t="s">
        <v>164</v>
      </c>
      <c r="E956" s="13" t="s">
        <v>201</v>
      </c>
      <c r="F956" s="15">
        <v>8</v>
      </c>
      <c r="G956" s="15">
        <v>1080</v>
      </c>
      <c r="H956" s="15">
        <v>8.6999999999999993</v>
      </c>
      <c r="I956" s="15">
        <v>7888.32</v>
      </c>
      <c r="J956" s="13" t="s">
        <v>87</v>
      </c>
      <c r="K956" s="13" t="s">
        <v>112</v>
      </c>
      <c r="L956">
        <f>IF(COUNTIF(A$2:A956, A956)=1, IF(COUNTIF(A$2:A$2001, A956)&gt;1, 1, 0), 0)</f>
        <v>0</v>
      </c>
      <c r="M956" t="b">
        <f>VLOOKUP(D956, Products!A$2:F$61, 6, FALSE)</f>
        <v>1</v>
      </c>
      <c r="N956" t="str">
        <f>VLOOKUP(D956, Products!A$2:C$61, 3, FALSE)</f>
        <v>Home</v>
      </c>
      <c r="O956" t="str">
        <f>VLOOKUP(C956, Customers!A$2:E$301, 5, FALSE)</f>
        <v>Retail</v>
      </c>
      <c r="P956">
        <f>VLOOKUP(C956, Customers!A$2:C$301, 3, FALSE)</f>
        <v>41</v>
      </c>
      <c r="Q956" t="str">
        <f>VLOOKUP(E956, Sales_Reps!A$2:C$31, 3, FALSE)</f>
        <v>West</v>
      </c>
      <c r="R956">
        <f>VLOOKUP(D956, Products!A$2:D$61, 4, FALSE)</f>
        <v>519</v>
      </c>
    </row>
    <row r="957" spans="1:18" x14ac:dyDescent="0.3">
      <c r="A957" s="13" t="s">
        <v>1437</v>
      </c>
      <c r="B957" s="14">
        <v>45495</v>
      </c>
      <c r="C957" s="13" t="s">
        <v>376</v>
      </c>
      <c r="D957" s="13" t="s">
        <v>85</v>
      </c>
      <c r="E957" s="13" t="s">
        <v>188</v>
      </c>
      <c r="F957" s="15">
        <v>5</v>
      </c>
      <c r="G957" s="15">
        <v>3620</v>
      </c>
      <c r="H957" s="15">
        <v>16.100000000000001</v>
      </c>
      <c r="I957" s="15">
        <v>15185.9</v>
      </c>
      <c r="J957" s="13" t="s">
        <v>87</v>
      </c>
      <c r="K957" s="13" t="s">
        <v>117</v>
      </c>
      <c r="L957">
        <f>IF(COUNTIF(A$2:A957, A957)=1, IF(COUNTIF(A$2:A$2001, A957)&gt;1, 1, 0), 0)</f>
        <v>0</v>
      </c>
      <c r="M957" t="b">
        <f>VLOOKUP(D957, Products!A$2:F$61, 6, FALSE)</f>
        <v>1</v>
      </c>
      <c r="N957" t="str">
        <f>VLOOKUP(D957, Products!A$2:C$61, 3, FALSE)</f>
        <v>Apparel</v>
      </c>
      <c r="O957" t="str">
        <f>VLOOKUP(C957, Customers!A$2:E$301, 5, FALSE)</f>
        <v>SMB</v>
      </c>
      <c r="P957">
        <f>VLOOKUP(C957, Customers!A$2:C$301, 3, FALSE)</f>
        <v>44</v>
      </c>
      <c r="Q957" t="str">
        <f>VLOOKUP(E957, Sales_Reps!A$2:C$31, 3, FALSE)</f>
        <v>South</v>
      </c>
      <c r="R957">
        <f>VLOOKUP(D957, Products!A$2:D$61, 4, FALSE)</f>
        <v>2509</v>
      </c>
    </row>
    <row r="958" spans="1:18" x14ac:dyDescent="0.3">
      <c r="A958" s="13" t="s">
        <v>1438</v>
      </c>
      <c r="B958" s="14">
        <v>45483</v>
      </c>
      <c r="C958" s="13" t="s">
        <v>109</v>
      </c>
      <c r="D958" s="13" t="s">
        <v>659</v>
      </c>
      <c r="E958" s="13" t="s">
        <v>273</v>
      </c>
      <c r="F958" s="15">
        <v>7</v>
      </c>
      <c r="G958" s="15">
        <v>3560</v>
      </c>
      <c r="H958" s="15">
        <v>8.5</v>
      </c>
      <c r="I958" s="15">
        <v>22801.8</v>
      </c>
      <c r="J958" s="13" t="s">
        <v>87</v>
      </c>
      <c r="K958" s="13" t="s">
        <v>112</v>
      </c>
      <c r="L958">
        <f>IF(COUNTIF(A$2:A958, A958)=1, IF(COUNTIF(A$2:A$2001, A958)&gt;1, 1, 0), 0)</f>
        <v>0</v>
      </c>
      <c r="M958" t="b">
        <f>VLOOKUP(D958, Products!A$2:F$61, 6, FALSE)</f>
        <v>1</v>
      </c>
      <c r="N958" t="str">
        <f>VLOOKUP(D958, Products!A$2:C$61, 3, FALSE)</f>
        <v>Apparel</v>
      </c>
      <c r="O958" t="str">
        <f>VLOOKUP(C958, Customers!A$2:E$301, 5, FALSE)</f>
        <v>Retail</v>
      </c>
      <c r="P958">
        <f>VLOOKUP(C958, Customers!A$2:C$301, 3, FALSE)</f>
        <v>36</v>
      </c>
      <c r="Q958" t="str">
        <f>VLOOKUP(E958, Sales_Reps!A$2:C$31, 3, FALSE)</f>
        <v>South</v>
      </c>
      <c r="R958">
        <f>VLOOKUP(D958, Products!A$2:D$61, 4, FALSE)</f>
        <v>2629</v>
      </c>
    </row>
    <row r="959" spans="1:18" x14ac:dyDescent="0.3">
      <c r="A959" s="13" t="s">
        <v>1439</v>
      </c>
      <c r="B959" s="14">
        <v>45496</v>
      </c>
      <c r="C959" s="13" t="s">
        <v>301</v>
      </c>
      <c r="D959" s="13" t="s">
        <v>295</v>
      </c>
      <c r="E959" s="13" t="s">
        <v>111</v>
      </c>
      <c r="F959" s="15">
        <v>8</v>
      </c>
      <c r="G959" s="15">
        <v>2030</v>
      </c>
      <c r="H959" s="15">
        <v>18.100000000000001</v>
      </c>
      <c r="I959" s="15">
        <v>13300.56</v>
      </c>
      <c r="J959" s="13" t="s">
        <v>87</v>
      </c>
      <c r="K959" s="13" t="s">
        <v>94</v>
      </c>
      <c r="L959">
        <f>IF(COUNTIF(A$2:A959, A959)=1, IF(COUNTIF(A$2:A$2001, A959)&gt;1, 1, 0), 0)</f>
        <v>0</v>
      </c>
      <c r="M959" t="b">
        <f>VLOOKUP(D959, Products!A$2:F$61, 6, FALSE)</f>
        <v>1</v>
      </c>
      <c r="N959" t="str">
        <f>VLOOKUP(D959, Products!A$2:C$61, 3, FALSE)</f>
        <v>Home</v>
      </c>
      <c r="O959" t="str">
        <f>VLOOKUP(C959, Customers!A$2:E$301, 5, FALSE)</f>
        <v>Retail</v>
      </c>
      <c r="P959">
        <f>VLOOKUP(C959, Customers!A$2:C$301, 3, FALSE)</f>
        <v>41</v>
      </c>
      <c r="Q959" t="str">
        <f>VLOOKUP(E959, Sales_Reps!A$2:C$31, 3, FALSE)</f>
        <v>West</v>
      </c>
      <c r="R959">
        <f>VLOOKUP(D959, Products!A$2:D$61, 4, FALSE)</f>
        <v>1143</v>
      </c>
    </row>
    <row r="960" spans="1:18" x14ac:dyDescent="0.3">
      <c r="A960" s="13" t="s">
        <v>1440</v>
      </c>
      <c r="B960" s="14">
        <v>45350</v>
      </c>
      <c r="C960" s="13" t="s">
        <v>1308</v>
      </c>
      <c r="D960" s="13" t="s">
        <v>176</v>
      </c>
      <c r="E960" s="13" t="s">
        <v>273</v>
      </c>
      <c r="F960" s="15">
        <v>10</v>
      </c>
      <c r="G960" s="15">
        <v>1650</v>
      </c>
      <c r="H960" s="15">
        <v>7.1</v>
      </c>
      <c r="I960" s="15">
        <v>15328.5</v>
      </c>
      <c r="J960" s="13" t="s">
        <v>87</v>
      </c>
      <c r="K960" s="13" t="s">
        <v>94</v>
      </c>
      <c r="L960">
        <f>IF(COUNTIF(A$2:A960, A960)=1, IF(COUNTIF(A$2:A$2001, A960)&gt;1, 1, 0), 0)</f>
        <v>0</v>
      </c>
      <c r="M960" t="b">
        <f>VLOOKUP(D960, Products!A$2:F$61, 6, FALSE)</f>
        <v>1</v>
      </c>
      <c r="N960" t="str">
        <f>VLOOKUP(D960, Products!A$2:C$61, 3, FALSE)</f>
        <v>Beauty</v>
      </c>
      <c r="O960" t="str">
        <f>VLOOKUP(C960, Customers!A$2:E$301, 5, FALSE)</f>
        <v>SMB</v>
      </c>
      <c r="P960">
        <f>VLOOKUP(C960, Customers!A$2:C$301, 3, FALSE)</f>
        <v>51</v>
      </c>
      <c r="Q960" t="str">
        <f>VLOOKUP(E960, Sales_Reps!A$2:C$31, 3, FALSE)</f>
        <v>South</v>
      </c>
      <c r="R960">
        <f>VLOOKUP(D960, Products!A$2:D$61, 4, FALSE)</f>
        <v>1222</v>
      </c>
    </row>
    <row r="961" spans="1:18" x14ac:dyDescent="0.3">
      <c r="A961" s="13" t="s">
        <v>1441</v>
      </c>
      <c r="B961" s="14">
        <v>45517</v>
      </c>
      <c r="C961" s="13" t="s">
        <v>501</v>
      </c>
      <c r="D961" s="13" t="s">
        <v>200</v>
      </c>
      <c r="E961" s="13" t="s">
        <v>238</v>
      </c>
      <c r="F961" s="15">
        <v>4</v>
      </c>
      <c r="G961" s="15">
        <v>2760</v>
      </c>
      <c r="H961" s="15">
        <v>17.600000000000001</v>
      </c>
      <c r="I961" s="15">
        <v>9096.9599999999991</v>
      </c>
      <c r="J961" s="13" t="s">
        <v>140</v>
      </c>
      <c r="K961" s="13" t="s">
        <v>133</v>
      </c>
      <c r="L961">
        <f>IF(COUNTIF(A$2:A961, A961)=1, IF(COUNTIF(A$2:A$2001, A961)&gt;1, 1, 0), 0)</f>
        <v>0</v>
      </c>
      <c r="M961" t="b">
        <f>VLOOKUP(D961, Products!A$2:F$61, 6, FALSE)</f>
        <v>1</v>
      </c>
      <c r="N961" t="str">
        <f>VLOOKUP(D961, Products!A$2:C$61, 3, FALSE)</f>
        <v>Grocery</v>
      </c>
      <c r="O961" t="str">
        <f>VLOOKUP(C961, Customers!A$2:E$301, 5, FALSE)</f>
        <v>SMB</v>
      </c>
      <c r="P961">
        <f>VLOOKUP(C961, Customers!A$2:C$301, 3, FALSE)</f>
        <v>65</v>
      </c>
      <c r="Q961" t="str">
        <f>VLOOKUP(E961, Sales_Reps!A$2:C$31, 3, FALSE)</f>
        <v>East</v>
      </c>
      <c r="R961">
        <f>VLOOKUP(D961, Products!A$2:D$61, 4, FALSE)</f>
        <v>1435</v>
      </c>
    </row>
    <row r="962" spans="1:18" x14ac:dyDescent="0.3">
      <c r="A962" s="13" t="s">
        <v>1442</v>
      </c>
      <c r="B962" s="14">
        <v>45460</v>
      </c>
      <c r="C962" s="13" t="s">
        <v>570</v>
      </c>
      <c r="D962" s="13" t="s">
        <v>408</v>
      </c>
      <c r="E962" s="13" t="s">
        <v>204</v>
      </c>
      <c r="F962" s="15">
        <v>4</v>
      </c>
      <c r="G962" s="15">
        <v>3970</v>
      </c>
      <c r="H962" s="15">
        <v>4.3</v>
      </c>
      <c r="I962" s="15">
        <v>15197.16</v>
      </c>
      <c r="J962" s="13" t="s">
        <v>87</v>
      </c>
      <c r="K962" s="13" t="s">
        <v>99</v>
      </c>
      <c r="L962">
        <f>IF(COUNTIF(A$2:A962, A962)=1, IF(COUNTIF(A$2:A$2001, A962)&gt;1, 1, 0), 0)</f>
        <v>0</v>
      </c>
      <c r="M962" t="b">
        <f>VLOOKUP(D962, Products!A$2:F$61, 6, FALSE)</f>
        <v>1</v>
      </c>
      <c r="N962" t="str">
        <f>VLOOKUP(D962, Products!A$2:C$61, 3, FALSE)</f>
        <v>Electronics</v>
      </c>
      <c r="O962" t="str">
        <f>VLOOKUP(C962, Customers!A$2:E$301, 5, FALSE)</f>
        <v>Corporate</v>
      </c>
      <c r="P962">
        <f>VLOOKUP(C962, Customers!A$2:C$301, 3, FALSE)</f>
        <v>47</v>
      </c>
      <c r="Q962" t="str">
        <f>VLOOKUP(E962, Sales_Reps!A$2:C$31, 3, FALSE)</f>
        <v>South</v>
      </c>
      <c r="R962">
        <f>VLOOKUP(D962, Products!A$2:D$61, 4, FALSE)</f>
        <v>2865</v>
      </c>
    </row>
    <row r="963" spans="1:18" x14ac:dyDescent="0.3">
      <c r="A963" s="13" t="s">
        <v>1443</v>
      </c>
      <c r="B963" s="14">
        <v>45509</v>
      </c>
      <c r="C963" s="13" t="s">
        <v>479</v>
      </c>
      <c r="D963" s="13" t="s">
        <v>241</v>
      </c>
      <c r="E963" s="13" t="s">
        <v>132</v>
      </c>
      <c r="F963" s="15">
        <v>2</v>
      </c>
      <c r="G963" s="15">
        <v>6080</v>
      </c>
      <c r="H963" s="15">
        <v>23.8</v>
      </c>
      <c r="I963" s="15">
        <v>9265.92</v>
      </c>
      <c r="J963" s="13" t="s">
        <v>87</v>
      </c>
      <c r="K963" s="13" t="s">
        <v>88</v>
      </c>
      <c r="L963">
        <f>IF(COUNTIF(A$2:A963, A963)=1, IF(COUNTIF(A$2:A$2001, A963)&gt;1, 1, 0), 0)</f>
        <v>0</v>
      </c>
      <c r="M963" t="b">
        <f>VLOOKUP(D963, Products!A$2:F$61, 6, FALSE)</f>
        <v>1</v>
      </c>
      <c r="N963" t="str">
        <f>VLOOKUP(D963, Products!A$2:C$61, 3, FALSE)</f>
        <v>Beauty</v>
      </c>
      <c r="O963" t="str">
        <f>VLOOKUP(C963, Customers!A$2:E$301, 5, FALSE)</f>
        <v>SMB</v>
      </c>
      <c r="P963">
        <f>VLOOKUP(C963, Customers!A$2:C$301, 3, FALSE)</f>
        <v>49</v>
      </c>
      <c r="Q963" t="str">
        <f>VLOOKUP(E963, Sales_Reps!A$2:C$31, 3, FALSE)</f>
        <v>South</v>
      </c>
      <c r="R963">
        <f>VLOOKUP(D963, Products!A$2:D$61, 4, FALSE)</f>
        <v>2617</v>
      </c>
    </row>
    <row r="964" spans="1:18" x14ac:dyDescent="0.3">
      <c r="A964" s="13" t="s">
        <v>1444</v>
      </c>
      <c r="B964" s="14">
        <v>45602</v>
      </c>
      <c r="C964" s="13" t="s">
        <v>373</v>
      </c>
      <c r="D964" s="13" t="s">
        <v>131</v>
      </c>
      <c r="E964" s="13" t="s">
        <v>139</v>
      </c>
      <c r="F964" s="15">
        <v>4</v>
      </c>
      <c r="G964" s="15">
        <v>2270</v>
      </c>
      <c r="H964" s="15">
        <v>28.9</v>
      </c>
      <c r="I964" s="15">
        <v>6455.88</v>
      </c>
      <c r="J964" s="13" t="s">
        <v>87</v>
      </c>
      <c r="K964" s="13" t="s">
        <v>88</v>
      </c>
      <c r="L964">
        <f>IF(COUNTIF(A$2:A964, A964)=1, IF(COUNTIF(A$2:A$2001, A964)&gt;1, 1, 0), 0)</f>
        <v>0</v>
      </c>
      <c r="M964" t="b">
        <f>VLOOKUP(D964, Products!A$2:F$61, 6, FALSE)</f>
        <v>1</v>
      </c>
      <c r="N964" t="str">
        <f>VLOOKUP(D964, Products!A$2:C$61, 3, FALSE)</f>
        <v>Grocery</v>
      </c>
      <c r="O964" t="str">
        <f>VLOOKUP(C964, Customers!A$2:E$301, 5, FALSE)</f>
        <v>Retail</v>
      </c>
      <c r="P964">
        <f>VLOOKUP(C964, Customers!A$2:C$301, 3, FALSE)</f>
        <v>43</v>
      </c>
      <c r="Q964" t="str">
        <f>VLOOKUP(E964, Sales_Reps!A$2:C$31, 3, FALSE)</f>
        <v>North</v>
      </c>
      <c r="R964">
        <f>VLOOKUP(D964, Products!A$2:D$61, 4, FALSE)</f>
        <v>1203</v>
      </c>
    </row>
    <row r="965" spans="1:18" x14ac:dyDescent="0.3">
      <c r="A965" s="13" t="s">
        <v>1445</v>
      </c>
      <c r="B965" s="14">
        <v>45441</v>
      </c>
      <c r="C965" s="13" t="s">
        <v>197</v>
      </c>
      <c r="D965" s="13" t="s">
        <v>408</v>
      </c>
      <c r="E965" s="13" t="s">
        <v>139</v>
      </c>
      <c r="F965" s="15">
        <v>10</v>
      </c>
      <c r="G965" s="15">
        <v>3970</v>
      </c>
      <c r="H965" s="15">
        <v>26.2</v>
      </c>
      <c r="I965" s="15">
        <v>29298.6</v>
      </c>
      <c r="J965" s="13" t="s">
        <v>87</v>
      </c>
      <c r="K965" s="13" t="s">
        <v>88</v>
      </c>
      <c r="L965">
        <f>IF(COUNTIF(A$2:A965, A965)=1, IF(COUNTIF(A$2:A$2001, A965)&gt;1, 1, 0), 0)</f>
        <v>0</v>
      </c>
      <c r="M965" t="b">
        <f>VLOOKUP(D965, Products!A$2:F$61, 6, FALSE)</f>
        <v>1</v>
      </c>
      <c r="N965" t="str">
        <f>VLOOKUP(D965, Products!A$2:C$61, 3, FALSE)</f>
        <v>Electronics</v>
      </c>
      <c r="O965" t="str">
        <f>VLOOKUP(C965, Customers!A$2:E$301, 5, FALSE)</f>
        <v>Corporate</v>
      </c>
      <c r="P965">
        <f>VLOOKUP(C965, Customers!A$2:C$301, 3, FALSE)</f>
        <v>47</v>
      </c>
      <c r="Q965" t="str">
        <f>VLOOKUP(E965, Sales_Reps!A$2:C$31, 3, FALSE)</f>
        <v>North</v>
      </c>
      <c r="R965">
        <f>VLOOKUP(D965, Products!A$2:D$61, 4, FALSE)</f>
        <v>2865</v>
      </c>
    </row>
    <row r="966" spans="1:18" x14ac:dyDescent="0.3">
      <c r="A966" s="13" t="s">
        <v>1446</v>
      </c>
      <c r="B966" s="14">
        <v>45378</v>
      </c>
      <c r="C966" s="13" t="s">
        <v>342</v>
      </c>
      <c r="D966" s="13" t="s">
        <v>191</v>
      </c>
      <c r="E966" s="13" t="s">
        <v>252</v>
      </c>
      <c r="F966" s="15">
        <v>4</v>
      </c>
      <c r="G966" s="15">
        <v>5100</v>
      </c>
      <c r="H966" s="15">
        <v>2.1</v>
      </c>
      <c r="I966" s="15">
        <v>19971.599999999999</v>
      </c>
      <c r="J966" s="13" t="s">
        <v>87</v>
      </c>
      <c r="K966" s="13" t="s">
        <v>94</v>
      </c>
      <c r="L966">
        <f>IF(COUNTIF(A$2:A966, A966)=1, IF(COUNTIF(A$2:A$2001, A966)&gt;1, 1, 0), 0)</f>
        <v>0</v>
      </c>
      <c r="M966" t="b">
        <f>VLOOKUP(D966, Products!A$2:F$61, 6, FALSE)</f>
        <v>1</v>
      </c>
      <c r="N966" t="str">
        <f>VLOOKUP(D966, Products!A$2:C$61, 3, FALSE)</f>
        <v>Beauty</v>
      </c>
      <c r="O966" t="str">
        <f>VLOOKUP(C966, Customers!A$2:E$301, 5, FALSE)</f>
        <v>Retail</v>
      </c>
      <c r="P966">
        <f>VLOOKUP(C966, Customers!A$2:C$301, 3, FALSE)</f>
        <v>26</v>
      </c>
      <c r="Q966" t="str">
        <f>VLOOKUP(E966, Sales_Reps!A$2:C$31, 3, FALSE)</f>
        <v>South</v>
      </c>
      <c r="R966">
        <f>VLOOKUP(D966, Products!A$2:D$61, 4, FALSE)</f>
        <v>2237</v>
      </c>
    </row>
    <row r="967" spans="1:18" x14ac:dyDescent="0.3">
      <c r="A967" s="13" t="s">
        <v>1447</v>
      </c>
      <c r="B967" s="14">
        <v>45428</v>
      </c>
      <c r="C967" s="13" t="s">
        <v>314</v>
      </c>
      <c r="D967" s="13" t="s">
        <v>276</v>
      </c>
      <c r="E967" s="13" t="s">
        <v>116</v>
      </c>
      <c r="F967" s="15">
        <v>5</v>
      </c>
      <c r="G967" s="15">
        <v>3020</v>
      </c>
      <c r="H967" s="15">
        <v>17.3</v>
      </c>
      <c r="I967" s="15">
        <v>12487.7</v>
      </c>
      <c r="J967" s="13" t="s">
        <v>87</v>
      </c>
      <c r="K967" s="13" t="s">
        <v>88</v>
      </c>
      <c r="L967">
        <f>IF(COUNTIF(A$2:A967, A967)=1, IF(COUNTIF(A$2:A$2001, A967)&gt;1, 1, 0), 0)</f>
        <v>0</v>
      </c>
      <c r="M967" t="b">
        <f>VLOOKUP(D967, Products!A$2:F$61, 6, FALSE)</f>
        <v>1</v>
      </c>
      <c r="N967" t="str">
        <f>VLOOKUP(D967, Products!A$2:C$61, 3, FALSE)</f>
        <v>Beauty</v>
      </c>
      <c r="O967" t="str">
        <f>VLOOKUP(C967, Customers!A$2:E$301, 5, FALSE)</f>
        <v>Corporate</v>
      </c>
      <c r="P967">
        <f>VLOOKUP(C967, Customers!A$2:C$301, 3, FALSE)</f>
        <v>33</v>
      </c>
      <c r="Q967" t="str">
        <f>VLOOKUP(E967, Sales_Reps!A$2:C$31, 3, FALSE)</f>
        <v>West</v>
      </c>
      <c r="R967">
        <f>VLOOKUP(D967, Products!A$2:D$61, 4, FALSE)</f>
        <v>1626</v>
      </c>
    </row>
    <row r="968" spans="1:18" x14ac:dyDescent="0.3">
      <c r="A968" s="13" t="s">
        <v>1448</v>
      </c>
      <c r="B968" s="14">
        <v>45521</v>
      </c>
      <c r="C968" s="13" t="s">
        <v>902</v>
      </c>
      <c r="D968" s="13" t="s">
        <v>115</v>
      </c>
      <c r="E968" s="13" t="s">
        <v>346</v>
      </c>
      <c r="F968" s="15">
        <v>8</v>
      </c>
      <c r="G968" s="15">
        <v>960</v>
      </c>
      <c r="H968" s="15">
        <v>1.3</v>
      </c>
      <c r="I968" s="15">
        <v>7580.16</v>
      </c>
      <c r="J968" s="13" t="s">
        <v>140</v>
      </c>
      <c r="K968" s="13" t="s">
        <v>112</v>
      </c>
      <c r="L968">
        <f>IF(COUNTIF(A$2:A968, A968)=1, IF(COUNTIF(A$2:A$2001, A968)&gt;1, 1, 0), 0)</f>
        <v>0</v>
      </c>
      <c r="M968" t="b">
        <f>VLOOKUP(D968, Products!A$2:F$61, 6, FALSE)</f>
        <v>1</v>
      </c>
      <c r="N968" t="str">
        <f>VLOOKUP(D968, Products!A$2:C$61, 3, FALSE)</f>
        <v>Sports</v>
      </c>
      <c r="O968" t="str">
        <f>VLOOKUP(C968, Customers!A$2:E$301, 5, FALSE)</f>
        <v>Retail</v>
      </c>
      <c r="P968">
        <f>VLOOKUP(C968, Customers!A$2:C$301, 3, FALSE)</f>
        <v>37</v>
      </c>
      <c r="Q968" t="str">
        <f>VLOOKUP(E968, Sales_Reps!A$2:C$31, 3, FALSE)</f>
        <v>South</v>
      </c>
      <c r="R968">
        <f>VLOOKUP(D968, Products!A$2:D$61, 4, FALSE)</f>
        <v>705</v>
      </c>
    </row>
    <row r="969" spans="1:18" x14ac:dyDescent="0.3">
      <c r="A969" s="13" t="s">
        <v>1449</v>
      </c>
      <c r="B969" s="14">
        <v>45612</v>
      </c>
      <c r="C969" s="13" t="s">
        <v>959</v>
      </c>
      <c r="D969" s="13" t="s">
        <v>167</v>
      </c>
      <c r="E969" s="13" t="s">
        <v>107</v>
      </c>
      <c r="F969" s="15">
        <v>9</v>
      </c>
      <c r="G969" s="15">
        <v>2480</v>
      </c>
      <c r="H969" s="15">
        <v>15.6</v>
      </c>
      <c r="I969" s="15">
        <v>18838.080000000002</v>
      </c>
      <c r="J969" s="13" t="s">
        <v>87</v>
      </c>
      <c r="K969" s="13" t="s">
        <v>112</v>
      </c>
      <c r="L969">
        <f>IF(COUNTIF(A$2:A969, A969)=1, IF(COUNTIF(A$2:A$2001, A969)&gt;1, 1, 0), 0)</f>
        <v>0</v>
      </c>
      <c r="M969" t="b">
        <f>VLOOKUP(D969, Products!A$2:F$61, 6, FALSE)</f>
        <v>1</v>
      </c>
      <c r="N969" t="str">
        <f>VLOOKUP(D969, Products!A$2:C$61, 3, FALSE)</f>
        <v>Apparel</v>
      </c>
      <c r="O969" t="str">
        <f>VLOOKUP(C969, Customers!A$2:E$301, 5, FALSE)</f>
        <v>SMB</v>
      </c>
      <c r="P969">
        <f>VLOOKUP(C969, Customers!A$2:C$301, 3, FALSE)</f>
        <v>65</v>
      </c>
      <c r="Q969" t="str">
        <f>VLOOKUP(E969, Sales_Reps!A$2:C$31, 3, FALSE)</f>
        <v>North</v>
      </c>
      <c r="R969">
        <f>VLOOKUP(D969, Products!A$2:D$61, 4, FALSE)</f>
        <v>1173</v>
      </c>
    </row>
    <row r="970" spans="1:18" x14ac:dyDescent="0.3">
      <c r="A970" s="13" t="s">
        <v>1450</v>
      </c>
      <c r="B970" s="14">
        <v>45566</v>
      </c>
      <c r="C970" s="13" t="s">
        <v>1451</v>
      </c>
      <c r="D970" s="13" t="s">
        <v>127</v>
      </c>
      <c r="E970" s="13" t="s">
        <v>325</v>
      </c>
      <c r="F970" s="15">
        <v>1</v>
      </c>
      <c r="G970" s="15">
        <v>970</v>
      </c>
      <c r="H970" s="15">
        <v>24.9</v>
      </c>
      <c r="I970" s="15">
        <v>728.47</v>
      </c>
      <c r="J970" s="13" t="s">
        <v>87</v>
      </c>
      <c r="K970" s="13" t="s">
        <v>117</v>
      </c>
      <c r="L970">
        <f>IF(COUNTIF(A$2:A970, A970)=1, IF(COUNTIF(A$2:A$2001, A970)&gt;1, 1, 0), 0)</f>
        <v>0</v>
      </c>
      <c r="M970" t="b">
        <f>VLOOKUP(D970, Products!A$2:F$61, 6, FALSE)</f>
        <v>1</v>
      </c>
      <c r="N970" t="str">
        <f>VLOOKUP(D970, Products!A$2:C$61, 3, FALSE)</f>
        <v>Grocery</v>
      </c>
      <c r="O970" t="e">
        <f>VLOOKUP(C970, Customers!A$2:E$301, 5, FALSE)</f>
        <v>#N/A</v>
      </c>
      <c r="P970" t="e">
        <f>VLOOKUP(C970, Customers!A$2:C$301, 3, FALSE)</f>
        <v>#N/A</v>
      </c>
      <c r="Q970" t="str">
        <f>VLOOKUP(E970, Sales_Reps!A$2:C$31, 3, FALSE)</f>
        <v>South</v>
      </c>
      <c r="R970">
        <f>VLOOKUP(D970, Products!A$2:D$61, 4, FALSE)</f>
        <v>434</v>
      </c>
    </row>
    <row r="971" spans="1:18" x14ac:dyDescent="0.3">
      <c r="A971" s="13" t="s">
        <v>1452</v>
      </c>
      <c r="B971" s="14">
        <v>45606</v>
      </c>
      <c r="C971" s="13" t="s">
        <v>407</v>
      </c>
      <c r="D971" s="13" t="s">
        <v>367</v>
      </c>
      <c r="E971" s="13" t="s">
        <v>285</v>
      </c>
      <c r="F971" s="15">
        <v>4</v>
      </c>
      <c r="G971" s="15">
        <v>2380</v>
      </c>
      <c r="H971" s="15">
        <v>9.5</v>
      </c>
      <c r="I971" s="15">
        <v>8615.6</v>
      </c>
      <c r="J971" s="13" t="s">
        <v>140</v>
      </c>
      <c r="K971" s="13" t="s">
        <v>88</v>
      </c>
      <c r="L971">
        <f>IF(COUNTIF(A$2:A971, A971)=1, IF(COUNTIF(A$2:A$2001, A971)&gt;1, 1, 0), 0)</f>
        <v>0</v>
      </c>
      <c r="M971" t="b">
        <f>VLOOKUP(D971, Products!A$2:F$61, 6, FALSE)</f>
        <v>1</v>
      </c>
      <c r="N971" t="str">
        <f>VLOOKUP(D971, Products!A$2:C$61, 3, FALSE)</f>
        <v>Grocery</v>
      </c>
      <c r="O971" t="str">
        <f>VLOOKUP(C971, Customers!A$2:E$301, 5, FALSE)</f>
        <v>SMB</v>
      </c>
      <c r="P971">
        <f>VLOOKUP(C971, Customers!A$2:C$301, 3, FALSE)</f>
        <v>53</v>
      </c>
      <c r="Q971" t="str">
        <f>VLOOKUP(E971, Sales_Reps!A$2:C$31, 3, FALSE)</f>
        <v>East</v>
      </c>
      <c r="R971">
        <f>VLOOKUP(D971, Products!A$2:D$61, 4, FALSE)</f>
        <v>1182</v>
      </c>
    </row>
    <row r="972" spans="1:18" x14ac:dyDescent="0.3">
      <c r="A972" s="13" t="s">
        <v>1453</v>
      </c>
      <c r="B972" s="14">
        <v>45423</v>
      </c>
      <c r="C972" s="13" t="s">
        <v>130</v>
      </c>
      <c r="D972" s="13" t="s">
        <v>360</v>
      </c>
      <c r="E972" s="13" t="s">
        <v>92</v>
      </c>
      <c r="F972" s="15">
        <v>4</v>
      </c>
      <c r="G972" s="15">
        <v>5410</v>
      </c>
      <c r="H972" s="15">
        <v>18.7</v>
      </c>
      <c r="I972" s="15">
        <v>17593.32</v>
      </c>
      <c r="J972" s="13" t="s">
        <v>87</v>
      </c>
      <c r="K972" s="13" t="s">
        <v>133</v>
      </c>
      <c r="L972">
        <f>IF(COUNTIF(A$2:A972, A972)=1, IF(COUNTIF(A$2:A$2001, A972)&gt;1, 1, 0), 0)</f>
        <v>0</v>
      </c>
      <c r="M972" t="b">
        <f>VLOOKUP(D972, Products!A$2:F$61, 6, FALSE)</f>
        <v>1</v>
      </c>
      <c r="N972" t="str">
        <f>VLOOKUP(D972, Products!A$2:C$61, 3, FALSE)</f>
        <v>Sports</v>
      </c>
      <c r="O972" t="str">
        <f>VLOOKUP(C972, Customers!A$2:E$301, 5, FALSE)</f>
        <v>Retail</v>
      </c>
      <c r="P972">
        <f>VLOOKUP(C972, Customers!A$2:C$301, 3, FALSE)</f>
        <v>60</v>
      </c>
      <c r="Q972" t="str">
        <f>VLOOKUP(E972, Sales_Reps!A$2:C$31, 3, FALSE)</f>
        <v>North</v>
      </c>
      <c r="R972">
        <f>VLOOKUP(D972, Products!A$2:D$61, 4, FALSE)</f>
        <v>2265</v>
      </c>
    </row>
    <row r="973" spans="1:18" x14ac:dyDescent="0.3">
      <c r="A973" s="13" t="s">
        <v>1454</v>
      </c>
      <c r="B973" s="14">
        <v>45573</v>
      </c>
      <c r="C973" s="13" t="s">
        <v>284</v>
      </c>
      <c r="D973" s="13" t="s">
        <v>443</v>
      </c>
      <c r="E973" s="13" t="s">
        <v>285</v>
      </c>
      <c r="F973" s="15">
        <v>7</v>
      </c>
      <c r="G973" s="15">
        <v>5080</v>
      </c>
      <c r="H973" s="15">
        <v>6.5</v>
      </c>
      <c r="I973" s="15">
        <v>33248.6</v>
      </c>
      <c r="J973" s="13" t="s">
        <v>87</v>
      </c>
      <c r="K973" s="13" t="s">
        <v>94</v>
      </c>
      <c r="L973">
        <f>IF(COUNTIF(A$2:A973, A973)=1, IF(COUNTIF(A$2:A$2001, A973)&gt;1, 1, 0), 0)</f>
        <v>0</v>
      </c>
      <c r="M973" t="b">
        <f>VLOOKUP(D973, Products!A$2:F$61, 6, FALSE)</f>
        <v>1</v>
      </c>
      <c r="N973" t="str">
        <f>VLOOKUP(D973, Products!A$2:C$61, 3, FALSE)</f>
        <v>Home</v>
      </c>
      <c r="O973" t="str">
        <f>VLOOKUP(C973, Customers!A$2:E$301, 5, FALSE)</f>
        <v>Retail</v>
      </c>
      <c r="P973">
        <f>VLOOKUP(C973, Customers!A$2:C$301, 3, FALSE)</f>
        <v>28</v>
      </c>
      <c r="Q973" t="str">
        <f>VLOOKUP(E973, Sales_Reps!A$2:C$31, 3, FALSE)</f>
        <v>East</v>
      </c>
      <c r="R973">
        <f>VLOOKUP(D973, Products!A$2:D$61, 4, FALSE)</f>
        <v>2459</v>
      </c>
    </row>
    <row r="974" spans="1:18" x14ac:dyDescent="0.3">
      <c r="A974" s="13" t="s">
        <v>1455</v>
      </c>
      <c r="B974" s="14">
        <v>45339</v>
      </c>
      <c r="C974" s="13" t="s">
        <v>1172</v>
      </c>
      <c r="D974" s="13" t="s">
        <v>120</v>
      </c>
      <c r="E974" s="13" t="s">
        <v>111</v>
      </c>
      <c r="F974" s="15">
        <v>5</v>
      </c>
      <c r="G974" s="15">
        <v>1430</v>
      </c>
      <c r="H974" s="15">
        <v>19.8</v>
      </c>
      <c r="I974" s="15">
        <v>5734.3</v>
      </c>
      <c r="J974" s="13" t="s">
        <v>87</v>
      </c>
      <c r="K974" s="13" t="s">
        <v>88</v>
      </c>
      <c r="L974">
        <f>IF(COUNTIF(A$2:A974, A974)=1, IF(COUNTIF(A$2:A$2001, A974)&gt;1, 1, 0), 0)</f>
        <v>0</v>
      </c>
      <c r="M974" t="b">
        <f>VLOOKUP(D974, Products!A$2:F$61, 6, FALSE)</f>
        <v>1</v>
      </c>
      <c r="N974" t="str">
        <f>VLOOKUP(D974, Products!A$2:C$61, 3, FALSE)</f>
        <v>Electronics</v>
      </c>
      <c r="O974" t="str">
        <f>VLOOKUP(C974, Customers!A$2:E$301, 5, FALSE)</f>
        <v>Retail</v>
      </c>
      <c r="P974">
        <f>VLOOKUP(C974, Customers!A$2:C$301, 3, FALSE)</f>
        <v>39</v>
      </c>
      <c r="Q974" t="str">
        <f>VLOOKUP(E974, Sales_Reps!A$2:C$31, 3, FALSE)</f>
        <v>West</v>
      </c>
      <c r="R974">
        <f>VLOOKUP(D974, Products!A$2:D$61, 4, FALSE)</f>
        <v>861</v>
      </c>
    </row>
    <row r="975" spans="1:18" x14ac:dyDescent="0.3">
      <c r="A975" s="13" t="s">
        <v>1456</v>
      </c>
      <c r="B975" s="14">
        <v>45611</v>
      </c>
      <c r="C975" s="13" t="s">
        <v>868</v>
      </c>
      <c r="D975" s="13" t="s">
        <v>203</v>
      </c>
      <c r="E975" s="13" t="s">
        <v>273</v>
      </c>
      <c r="F975" s="15">
        <v>7</v>
      </c>
      <c r="G975" s="15">
        <v>660</v>
      </c>
      <c r="H975" s="15">
        <v>17.3</v>
      </c>
      <c r="I975" s="15">
        <v>3820.74</v>
      </c>
      <c r="J975" s="13" t="s">
        <v>87</v>
      </c>
      <c r="K975" s="13" t="s">
        <v>99</v>
      </c>
      <c r="L975">
        <f>IF(COUNTIF(A$2:A975, A975)=1, IF(COUNTIF(A$2:A$2001, A975)&gt;1, 1, 0), 0)</f>
        <v>0</v>
      </c>
      <c r="M975" t="b">
        <f>VLOOKUP(D975, Products!A$2:F$61, 6, FALSE)</f>
        <v>1</v>
      </c>
      <c r="N975" t="str">
        <f>VLOOKUP(D975, Products!A$2:C$61, 3, FALSE)</f>
        <v>Home</v>
      </c>
      <c r="O975" t="str">
        <f>VLOOKUP(C975, Customers!A$2:E$301, 5, FALSE)</f>
        <v>SMB</v>
      </c>
      <c r="P975">
        <f>VLOOKUP(C975, Customers!A$2:C$301, 3, FALSE)</f>
        <v>38</v>
      </c>
      <c r="Q975" t="str">
        <f>VLOOKUP(E975, Sales_Reps!A$2:C$31, 3, FALSE)</f>
        <v>South</v>
      </c>
      <c r="R975">
        <f>VLOOKUP(D975, Products!A$2:D$61, 4, FALSE)</f>
        <v>329</v>
      </c>
    </row>
    <row r="976" spans="1:18" x14ac:dyDescent="0.3">
      <c r="A976" s="13" t="s">
        <v>1457</v>
      </c>
      <c r="B976" s="14">
        <v>45505</v>
      </c>
      <c r="C976" s="13" t="s">
        <v>816</v>
      </c>
      <c r="D976" s="13" t="s">
        <v>259</v>
      </c>
      <c r="E976" s="13" t="s">
        <v>139</v>
      </c>
      <c r="F976" s="15">
        <v>10</v>
      </c>
      <c r="G976" s="15">
        <v>1540</v>
      </c>
      <c r="H976" s="15">
        <v>17.5</v>
      </c>
      <c r="I976" s="15">
        <v>12705</v>
      </c>
      <c r="J976" s="13" t="s">
        <v>87</v>
      </c>
      <c r="K976" s="13" t="s">
        <v>88</v>
      </c>
      <c r="L976">
        <f>IF(COUNTIF(A$2:A976, A976)=1, IF(COUNTIF(A$2:A$2001, A976)&gt;1, 1, 0), 0)</f>
        <v>0</v>
      </c>
      <c r="M976" t="b">
        <f>VLOOKUP(D976, Products!A$2:F$61, 6, FALSE)</f>
        <v>0</v>
      </c>
      <c r="N976" t="str">
        <f>VLOOKUP(D976, Products!A$2:C$61, 3, FALSE)</f>
        <v>Beauty</v>
      </c>
      <c r="O976" t="str">
        <f>VLOOKUP(C976, Customers!A$2:E$301, 5, FALSE)</f>
        <v>Retail</v>
      </c>
      <c r="P976">
        <f>VLOOKUP(C976, Customers!A$2:C$301, 3, FALSE)</f>
        <v>36</v>
      </c>
      <c r="Q976" t="str">
        <f>VLOOKUP(E976, Sales_Reps!A$2:C$31, 3, FALSE)</f>
        <v>North</v>
      </c>
      <c r="R976">
        <f>VLOOKUP(D976, Products!A$2:D$61, 4, FALSE)</f>
        <v>647</v>
      </c>
    </row>
    <row r="977" spans="1:18" x14ac:dyDescent="0.3">
      <c r="A977" s="13" t="s">
        <v>1458</v>
      </c>
      <c r="B977" s="14">
        <v>45358</v>
      </c>
      <c r="C977" s="13" t="s">
        <v>533</v>
      </c>
      <c r="D977" s="13" t="s">
        <v>338</v>
      </c>
      <c r="E977" s="13" t="s">
        <v>148</v>
      </c>
      <c r="F977" s="15">
        <v>10</v>
      </c>
      <c r="G977" s="15">
        <v>2210</v>
      </c>
      <c r="H977" s="15">
        <v>24.1</v>
      </c>
      <c r="I977" s="15">
        <v>16773.900000000001</v>
      </c>
      <c r="J977" s="13" t="s">
        <v>93</v>
      </c>
      <c r="K977" s="13" t="s">
        <v>99</v>
      </c>
      <c r="L977">
        <f>IF(COUNTIF(A$2:A977, A977)=1, IF(COUNTIF(A$2:A$2001, A977)&gt;1, 1, 0), 0)</f>
        <v>1</v>
      </c>
      <c r="M977" t="b">
        <f>VLOOKUP(D977, Products!A$2:F$61, 6, FALSE)</f>
        <v>1</v>
      </c>
      <c r="N977" t="str">
        <f>VLOOKUP(D977, Products!A$2:C$61, 3, FALSE)</f>
        <v>Grocery</v>
      </c>
      <c r="O977" t="str">
        <f>VLOOKUP(C977, Customers!A$2:E$301, 5, FALSE)</f>
        <v>SMB</v>
      </c>
      <c r="P977">
        <f>VLOOKUP(C977, Customers!A$2:C$301, 3, FALSE)</f>
        <v>48</v>
      </c>
      <c r="Q977" t="str">
        <f>VLOOKUP(E977, Sales_Reps!A$2:C$31, 3, FALSE)</f>
        <v>North</v>
      </c>
      <c r="R977">
        <f>VLOOKUP(D977, Products!A$2:D$61, 4, FALSE)</f>
        <v>1010</v>
      </c>
    </row>
    <row r="978" spans="1:18" x14ac:dyDescent="0.3">
      <c r="A978" s="13" t="s">
        <v>1459</v>
      </c>
      <c r="B978" s="14">
        <v>45519</v>
      </c>
      <c r="C978" s="13" t="s">
        <v>528</v>
      </c>
      <c r="D978" s="13" t="s">
        <v>115</v>
      </c>
      <c r="E978" s="13" t="s">
        <v>285</v>
      </c>
      <c r="F978" s="15">
        <v>4</v>
      </c>
      <c r="G978" s="15">
        <v>960</v>
      </c>
      <c r="H978" s="15">
        <v>13.4</v>
      </c>
      <c r="I978" s="15">
        <v>3325.44</v>
      </c>
      <c r="J978" s="13" t="s">
        <v>87</v>
      </c>
      <c r="K978" s="13" t="s">
        <v>112</v>
      </c>
      <c r="L978">
        <f>IF(COUNTIF(A$2:A978, A978)=1, IF(COUNTIF(A$2:A$2001, A978)&gt;1, 1, 0), 0)</f>
        <v>0</v>
      </c>
      <c r="M978" t="b">
        <f>VLOOKUP(D978, Products!A$2:F$61, 6, FALSE)</f>
        <v>1</v>
      </c>
      <c r="N978" t="str">
        <f>VLOOKUP(D978, Products!A$2:C$61, 3, FALSE)</f>
        <v>Sports</v>
      </c>
      <c r="O978" t="str">
        <f>VLOOKUP(C978, Customers!A$2:E$301, 5, FALSE)</f>
        <v>Retail</v>
      </c>
      <c r="P978">
        <f>VLOOKUP(C978, Customers!A$2:C$301, 3, FALSE)</f>
        <v>44</v>
      </c>
      <c r="Q978" t="str">
        <f>VLOOKUP(E978, Sales_Reps!A$2:C$31, 3, FALSE)</f>
        <v>East</v>
      </c>
      <c r="R978">
        <f>VLOOKUP(D978, Products!A$2:D$61, 4, FALSE)</f>
        <v>705</v>
      </c>
    </row>
    <row r="979" spans="1:18" x14ac:dyDescent="0.3">
      <c r="A979" s="13" t="s">
        <v>1460</v>
      </c>
      <c r="B979" s="14">
        <v>45628</v>
      </c>
      <c r="C979" s="13" t="s">
        <v>1350</v>
      </c>
      <c r="D979" s="13" t="s">
        <v>157</v>
      </c>
      <c r="E979" s="13" t="s">
        <v>285</v>
      </c>
      <c r="F979" s="15">
        <v>8</v>
      </c>
      <c r="G979" s="15">
        <v>3450</v>
      </c>
      <c r="H979" s="15">
        <v>3.7</v>
      </c>
      <c r="I979" s="15">
        <v>26578.799999999999</v>
      </c>
      <c r="J979" s="13" t="s">
        <v>87</v>
      </c>
      <c r="K979" s="13" t="s">
        <v>112</v>
      </c>
      <c r="L979">
        <f>IF(COUNTIF(A$2:A979, A979)=1, IF(COUNTIF(A$2:A$2001, A979)&gt;1, 1, 0), 0)</f>
        <v>0</v>
      </c>
      <c r="M979" t="b">
        <f>VLOOKUP(D979, Products!A$2:F$61, 6, FALSE)</f>
        <v>1</v>
      </c>
      <c r="N979" t="str">
        <f>VLOOKUP(D979, Products!A$2:C$61, 3, FALSE)</f>
        <v>Beauty</v>
      </c>
      <c r="O979" t="str">
        <f>VLOOKUP(C979, Customers!A$2:E$301, 5, FALSE)</f>
        <v>Retail</v>
      </c>
      <c r="P979">
        <f>VLOOKUP(C979, Customers!A$2:C$301, 3, FALSE)</f>
        <v>38</v>
      </c>
      <c r="Q979" t="str">
        <f>VLOOKUP(E979, Sales_Reps!A$2:C$31, 3, FALSE)</f>
        <v>East</v>
      </c>
      <c r="R979">
        <f>VLOOKUP(D979, Products!A$2:D$61, 4, FALSE)</f>
        <v>2420</v>
      </c>
    </row>
    <row r="980" spans="1:18" x14ac:dyDescent="0.3">
      <c r="A980" s="13" t="s">
        <v>1461</v>
      </c>
      <c r="B980" s="14">
        <v>45481</v>
      </c>
      <c r="C980" s="13" t="s">
        <v>1462</v>
      </c>
      <c r="D980" s="13" t="s">
        <v>295</v>
      </c>
      <c r="E980" s="13" t="s">
        <v>92</v>
      </c>
      <c r="F980" s="15">
        <v>6</v>
      </c>
      <c r="G980" s="15">
        <v>2030</v>
      </c>
      <c r="H980" s="15">
        <v>9.5</v>
      </c>
      <c r="I980" s="15">
        <v>11022.9</v>
      </c>
      <c r="J980" s="13" t="s">
        <v>87</v>
      </c>
      <c r="K980" s="13" t="s">
        <v>112</v>
      </c>
      <c r="L980">
        <f>IF(COUNTIF(A$2:A980, A980)=1, IF(COUNTIF(A$2:A$2001, A980)&gt;1, 1, 0), 0)</f>
        <v>0</v>
      </c>
      <c r="M980" t="b">
        <f>VLOOKUP(D980, Products!A$2:F$61, 6, FALSE)</f>
        <v>1</v>
      </c>
      <c r="N980" t="str">
        <f>VLOOKUP(D980, Products!A$2:C$61, 3, FALSE)</f>
        <v>Home</v>
      </c>
      <c r="O980" t="e">
        <f>VLOOKUP(C980, Customers!A$2:E$301, 5, FALSE)</f>
        <v>#N/A</v>
      </c>
      <c r="P980" t="e">
        <f>VLOOKUP(C980, Customers!A$2:C$301, 3, FALSE)</f>
        <v>#N/A</v>
      </c>
      <c r="Q980" t="str">
        <f>VLOOKUP(E980, Sales_Reps!A$2:C$31, 3, FALSE)</f>
        <v>North</v>
      </c>
      <c r="R980">
        <f>VLOOKUP(D980, Products!A$2:D$61, 4, FALSE)</f>
        <v>1143</v>
      </c>
    </row>
    <row r="981" spans="1:18" x14ac:dyDescent="0.3">
      <c r="A981" s="13" t="s">
        <v>1463</v>
      </c>
      <c r="B981" s="14">
        <v>45399</v>
      </c>
      <c r="C981" s="13" t="s">
        <v>563</v>
      </c>
      <c r="D981" s="13" t="s">
        <v>452</v>
      </c>
      <c r="E981" s="13" t="s">
        <v>204</v>
      </c>
      <c r="F981" s="15">
        <v>7</v>
      </c>
      <c r="G981" s="15">
        <v>3450</v>
      </c>
      <c r="H981" s="15">
        <v>28.2</v>
      </c>
      <c r="I981" s="15">
        <v>17339.7</v>
      </c>
      <c r="J981" s="13" t="s">
        <v>87</v>
      </c>
      <c r="K981" s="13" t="s">
        <v>88</v>
      </c>
      <c r="L981">
        <f>IF(COUNTIF(A$2:A981, A981)=1, IF(COUNTIF(A$2:A$2001, A981)&gt;1, 1, 0), 0)</f>
        <v>0</v>
      </c>
      <c r="M981" t="b">
        <f>VLOOKUP(D981, Products!A$2:F$61, 6, FALSE)</f>
        <v>1</v>
      </c>
      <c r="N981" t="str">
        <f>VLOOKUP(D981, Products!A$2:C$61, 3, FALSE)</f>
        <v>Apparel</v>
      </c>
      <c r="O981" t="str">
        <f>VLOOKUP(C981, Customers!A$2:E$301, 5, FALSE)</f>
        <v>SMB</v>
      </c>
      <c r="P981">
        <f>VLOOKUP(C981, Customers!A$2:C$301, 3, FALSE)</f>
        <v>24</v>
      </c>
      <c r="Q981" t="str">
        <f>VLOOKUP(E981, Sales_Reps!A$2:C$31, 3, FALSE)</f>
        <v>South</v>
      </c>
      <c r="R981">
        <f>VLOOKUP(D981, Products!A$2:D$61, 4, FALSE)</f>
        <v>1748</v>
      </c>
    </row>
    <row r="982" spans="1:18" x14ac:dyDescent="0.3">
      <c r="A982" s="13" t="s">
        <v>1464</v>
      </c>
      <c r="B982" s="14">
        <v>45531</v>
      </c>
      <c r="C982" s="13" t="s">
        <v>485</v>
      </c>
      <c r="D982" s="13" t="s">
        <v>234</v>
      </c>
      <c r="E982" s="13" t="s">
        <v>273</v>
      </c>
      <c r="F982" s="15">
        <v>7</v>
      </c>
      <c r="G982" s="15">
        <v>3780</v>
      </c>
      <c r="H982" s="15">
        <v>15.1</v>
      </c>
      <c r="I982" s="15">
        <v>22464.54</v>
      </c>
      <c r="J982" s="13" t="s">
        <v>87</v>
      </c>
      <c r="K982" s="13" t="s">
        <v>88</v>
      </c>
      <c r="L982">
        <f>IF(COUNTIF(A$2:A982, A982)=1, IF(COUNTIF(A$2:A$2001, A982)&gt;1, 1, 0), 0)</f>
        <v>0</v>
      </c>
      <c r="M982" t="b">
        <f>VLOOKUP(D982, Products!A$2:F$61, 6, FALSE)</f>
        <v>1</v>
      </c>
      <c r="N982" t="str">
        <f>VLOOKUP(D982, Products!A$2:C$61, 3, FALSE)</f>
        <v>Grocery</v>
      </c>
      <c r="O982" t="str">
        <f>VLOOKUP(C982, Customers!A$2:E$301, 5, FALSE)</f>
        <v>Retail</v>
      </c>
      <c r="P982">
        <f>VLOOKUP(C982, Customers!A$2:C$301, 3, FALSE)</f>
        <v>49</v>
      </c>
      <c r="Q982" t="str">
        <f>VLOOKUP(E982, Sales_Reps!A$2:C$31, 3, FALSE)</f>
        <v>South</v>
      </c>
      <c r="R982">
        <f>VLOOKUP(D982, Products!A$2:D$61, 4, FALSE)</f>
        <v>2436</v>
      </c>
    </row>
    <row r="983" spans="1:18" x14ac:dyDescent="0.3">
      <c r="A983" s="13" t="s">
        <v>1427</v>
      </c>
      <c r="B983" s="14">
        <v>45417</v>
      </c>
      <c r="C983" s="13" t="s">
        <v>172</v>
      </c>
      <c r="D983" s="13" t="s">
        <v>200</v>
      </c>
      <c r="E983" s="13" t="s">
        <v>297</v>
      </c>
      <c r="F983" s="15">
        <v>4</v>
      </c>
      <c r="G983" s="15">
        <v>2760</v>
      </c>
      <c r="H983" s="15">
        <v>14.8</v>
      </c>
      <c r="I983" s="15">
        <v>9406.08</v>
      </c>
      <c r="J983" s="13" t="s">
        <v>87</v>
      </c>
      <c r="K983" s="13" t="s">
        <v>88</v>
      </c>
      <c r="L983">
        <f>IF(COUNTIF(A$2:A983, A983)=1, IF(COUNTIF(A$2:A$2001, A983)&gt;1, 1, 0), 0)</f>
        <v>0</v>
      </c>
      <c r="M983" t="b">
        <f>VLOOKUP(D983, Products!A$2:F$61, 6, FALSE)</f>
        <v>1</v>
      </c>
      <c r="N983" t="str">
        <f>VLOOKUP(D983, Products!A$2:C$61, 3, FALSE)</f>
        <v>Grocery</v>
      </c>
      <c r="O983" t="str">
        <f>VLOOKUP(C983, Customers!A$2:E$301, 5, FALSE)</f>
        <v>Retail</v>
      </c>
      <c r="P983">
        <f>VLOOKUP(C983, Customers!A$2:C$301, 3, FALSE)</f>
        <v>50</v>
      </c>
      <c r="Q983" t="str">
        <f>VLOOKUP(E983, Sales_Reps!A$2:C$31, 3, FALSE)</f>
        <v>North</v>
      </c>
      <c r="R983">
        <f>VLOOKUP(D983, Products!A$2:D$61, 4, FALSE)</f>
        <v>1435</v>
      </c>
    </row>
    <row r="984" spans="1:18" x14ac:dyDescent="0.3">
      <c r="A984" s="13" t="s">
        <v>1465</v>
      </c>
      <c r="B984" s="14">
        <v>45327</v>
      </c>
      <c r="C984" s="13" t="s">
        <v>785</v>
      </c>
      <c r="D984" s="13" t="s">
        <v>259</v>
      </c>
      <c r="E984" s="13" t="s">
        <v>229</v>
      </c>
      <c r="F984" s="15">
        <v>4</v>
      </c>
      <c r="G984" s="15">
        <v>1540</v>
      </c>
      <c r="H984" s="15">
        <v>13.9</v>
      </c>
      <c r="I984" s="15">
        <v>5303.76</v>
      </c>
      <c r="J984" s="13" t="s">
        <v>87</v>
      </c>
      <c r="K984" s="13" t="s">
        <v>88</v>
      </c>
      <c r="L984">
        <f>IF(COUNTIF(A$2:A984, A984)=1, IF(COUNTIF(A$2:A$2001, A984)&gt;1, 1, 0), 0)</f>
        <v>0</v>
      </c>
      <c r="M984" t="b">
        <f>VLOOKUP(D984, Products!A$2:F$61, 6, FALSE)</f>
        <v>0</v>
      </c>
      <c r="N984" t="str">
        <f>VLOOKUP(D984, Products!A$2:C$61, 3, FALSE)</f>
        <v>Beauty</v>
      </c>
      <c r="O984" t="str">
        <f>VLOOKUP(C984, Customers!A$2:E$301, 5, FALSE)</f>
        <v>Retail</v>
      </c>
      <c r="P984">
        <f>VLOOKUP(C984, Customers!A$2:C$301, 3, FALSE)</f>
        <v>31</v>
      </c>
      <c r="Q984" t="str">
        <f>VLOOKUP(E984, Sales_Reps!A$2:C$31, 3, FALSE)</f>
        <v>West</v>
      </c>
      <c r="R984">
        <f>VLOOKUP(D984, Products!A$2:D$61, 4, FALSE)</f>
        <v>647</v>
      </c>
    </row>
    <row r="985" spans="1:18" x14ac:dyDescent="0.3">
      <c r="A985" s="13" t="s">
        <v>1466</v>
      </c>
      <c r="B985" s="14">
        <v>45438</v>
      </c>
      <c r="C985" s="13" t="s">
        <v>779</v>
      </c>
      <c r="D985" s="13" t="s">
        <v>226</v>
      </c>
      <c r="E985" s="13" t="s">
        <v>86</v>
      </c>
      <c r="F985" s="15">
        <v>2</v>
      </c>
      <c r="G985" s="15">
        <v>3730</v>
      </c>
      <c r="H985" s="15">
        <v>15.7</v>
      </c>
      <c r="I985" s="15">
        <v>6288.78</v>
      </c>
      <c r="J985" s="13" t="s">
        <v>140</v>
      </c>
      <c r="K985" s="13" t="s">
        <v>117</v>
      </c>
      <c r="L985">
        <f>IF(COUNTIF(A$2:A985, A985)=1, IF(COUNTIF(A$2:A$2001, A985)&gt;1, 1, 0), 0)</f>
        <v>0</v>
      </c>
      <c r="M985" t="b">
        <f>VLOOKUP(D985, Products!A$2:F$61, 6, FALSE)</f>
        <v>1</v>
      </c>
      <c r="N985" t="str">
        <f>VLOOKUP(D985, Products!A$2:C$61, 3, FALSE)</f>
        <v>Home</v>
      </c>
      <c r="O985" t="str">
        <f>VLOOKUP(C985, Customers!A$2:E$301, 5, FALSE)</f>
        <v>Retail</v>
      </c>
      <c r="P985">
        <f>VLOOKUP(C985, Customers!A$2:C$301, 3, FALSE)</f>
        <v>27</v>
      </c>
      <c r="Q985" t="str">
        <f>VLOOKUP(E985, Sales_Reps!A$2:C$31, 3, FALSE)</f>
        <v>North</v>
      </c>
      <c r="R985">
        <f>VLOOKUP(D985, Products!A$2:D$61, 4, FALSE)</f>
        <v>2135</v>
      </c>
    </row>
    <row r="986" spans="1:18" x14ac:dyDescent="0.3">
      <c r="A986" s="13" t="s">
        <v>1467</v>
      </c>
      <c r="B986" s="14">
        <v>45577</v>
      </c>
      <c r="C986" s="13" t="s">
        <v>835</v>
      </c>
      <c r="D986" s="13" t="s">
        <v>226</v>
      </c>
      <c r="E986" s="13" t="s">
        <v>343</v>
      </c>
      <c r="F986" s="15">
        <v>4</v>
      </c>
      <c r="G986" s="15">
        <v>3730</v>
      </c>
      <c r="H986" s="15">
        <v>2.1</v>
      </c>
      <c r="I986" s="15">
        <v>14606.68</v>
      </c>
      <c r="J986" s="13" t="s">
        <v>87</v>
      </c>
      <c r="K986" s="13" t="s">
        <v>117</v>
      </c>
      <c r="L986">
        <f>IF(COUNTIF(A$2:A986, A986)=1, IF(COUNTIF(A$2:A$2001, A986)&gt;1, 1, 0), 0)</f>
        <v>0</v>
      </c>
      <c r="M986" t="b">
        <f>VLOOKUP(D986, Products!A$2:F$61, 6, FALSE)</f>
        <v>1</v>
      </c>
      <c r="N986" t="str">
        <f>VLOOKUP(D986, Products!A$2:C$61, 3, FALSE)</f>
        <v>Home</v>
      </c>
      <c r="O986" t="str">
        <f>VLOOKUP(C986, Customers!A$2:E$301, 5, FALSE)</f>
        <v>Retail</v>
      </c>
      <c r="P986">
        <f>VLOOKUP(C986, Customers!A$2:C$301, 3, FALSE)</f>
        <v>52</v>
      </c>
      <c r="Q986" t="str">
        <f>VLOOKUP(E986, Sales_Reps!A$2:C$31, 3, FALSE)</f>
        <v>West</v>
      </c>
      <c r="R986">
        <f>VLOOKUP(D986, Products!A$2:D$61, 4, FALSE)</f>
        <v>2135</v>
      </c>
    </row>
    <row r="987" spans="1:18" x14ac:dyDescent="0.3">
      <c r="A987" s="13" t="s">
        <v>1468</v>
      </c>
      <c r="B987" s="14">
        <v>45457</v>
      </c>
      <c r="C987" s="13" t="s">
        <v>559</v>
      </c>
      <c r="D987" s="13" t="s">
        <v>106</v>
      </c>
      <c r="E987" s="13" t="s">
        <v>252</v>
      </c>
      <c r="F987" s="15">
        <v>1</v>
      </c>
      <c r="G987" s="15">
        <v>3160</v>
      </c>
      <c r="H987" s="15">
        <v>29.8</v>
      </c>
      <c r="I987" s="15">
        <v>2218.3200000000002</v>
      </c>
      <c r="J987" s="13" t="s">
        <v>87</v>
      </c>
      <c r="K987" s="13" t="s">
        <v>88</v>
      </c>
      <c r="L987">
        <f>IF(COUNTIF(A$2:A987, A987)=1, IF(COUNTIF(A$2:A$2001, A987)&gt;1, 1, 0), 0)</f>
        <v>0</v>
      </c>
      <c r="M987" t="b">
        <f>VLOOKUP(D987, Products!A$2:F$61, 6, FALSE)</f>
        <v>1</v>
      </c>
      <c r="N987" t="str">
        <f>VLOOKUP(D987, Products!A$2:C$61, 3, FALSE)</f>
        <v>Apparel</v>
      </c>
      <c r="O987" t="str">
        <f>VLOOKUP(C987, Customers!A$2:E$301, 5, FALSE)</f>
        <v>Retail</v>
      </c>
      <c r="P987">
        <f>VLOOKUP(C987, Customers!A$2:C$301, 3, FALSE)</f>
        <v>62</v>
      </c>
      <c r="Q987" t="str">
        <f>VLOOKUP(E987, Sales_Reps!A$2:C$31, 3, FALSE)</f>
        <v>South</v>
      </c>
      <c r="R987">
        <f>VLOOKUP(D987, Products!A$2:D$61, 4, FALSE)</f>
        <v>1886</v>
      </c>
    </row>
    <row r="988" spans="1:18" x14ac:dyDescent="0.3">
      <c r="A988" s="13" t="s">
        <v>1469</v>
      </c>
      <c r="B988" s="14">
        <v>45544</v>
      </c>
      <c r="C988" s="13" t="s">
        <v>615</v>
      </c>
      <c r="D988" s="13" t="s">
        <v>386</v>
      </c>
      <c r="E988" s="13" t="s">
        <v>285</v>
      </c>
      <c r="F988" s="15">
        <v>9</v>
      </c>
      <c r="G988" s="15">
        <v>2290</v>
      </c>
      <c r="H988" s="15">
        <v>8.3000000000000007</v>
      </c>
      <c r="I988" s="15">
        <v>18899.37</v>
      </c>
      <c r="J988" s="13" t="s">
        <v>93</v>
      </c>
      <c r="K988" s="13" t="s">
        <v>112</v>
      </c>
      <c r="L988">
        <f>IF(COUNTIF(A$2:A988, A988)=1, IF(COUNTIF(A$2:A$2001, A988)&gt;1, 1, 0), 0)</f>
        <v>0</v>
      </c>
      <c r="M988" t="b">
        <f>VLOOKUP(D988, Products!A$2:F$61, 6, FALSE)</f>
        <v>1</v>
      </c>
      <c r="N988" t="str">
        <f>VLOOKUP(D988, Products!A$2:C$61, 3, FALSE)</f>
        <v>Beauty</v>
      </c>
      <c r="O988" t="str">
        <f>VLOOKUP(C988, Customers!A$2:E$301, 5, FALSE)</f>
        <v>Retail</v>
      </c>
      <c r="P988">
        <f>VLOOKUP(C988, Customers!A$2:C$301, 3, FALSE)</f>
        <v>53</v>
      </c>
      <c r="Q988" t="str">
        <f>VLOOKUP(E988, Sales_Reps!A$2:C$31, 3, FALSE)</f>
        <v>East</v>
      </c>
      <c r="R988">
        <f>VLOOKUP(D988, Products!A$2:D$61, 4, FALSE)</f>
        <v>1219</v>
      </c>
    </row>
    <row r="989" spans="1:18" x14ac:dyDescent="0.3">
      <c r="A989" s="13" t="s">
        <v>1470</v>
      </c>
      <c r="B989" s="14">
        <v>45632</v>
      </c>
      <c r="C989" s="13" t="s">
        <v>427</v>
      </c>
      <c r="D989" s="13" t="s">
        <v>248</v>
      </c>
      <c r="E989" s="13" t="s">
        <v>252</v>
      </c>
      <c r="F989" s="15">
        <v>2</v>
      </c>
      <c r="G989" s="15">
        <v>3870</v>
      </c>
      <c r="H989" s="15">
        <v>5.2</v>
      </c>
      <c r="I989" s="15">
        <v>7337.52</v>
      </c>
      <c r="J989" s="13" t="s">
        <v>87</v>
      </c>
      <c r="K989" s="13" t="s">
        <v>88</v>
      </c>
      <c r="L989">
        <f>IF(COUNTIF(A$2:A989, A989)=1, IF(COUNTIF(A$2:A$2001, A989)&gt;1, 1, 0), 0)</f>
        <v>0</v>
      </c>
      <c r="M989" t="b">
        <f>VLOOKUP(D989, Products!A$2:F$61, 6, FALSE)</f>
        <v>1</v>
      </c>
      <c r="N989" t="str">
        <f>VLOOKUP(D989, Products!A$2:C$61, 3, FALSE)</f>
        <v>Electronics</v>
      </c>
      <c r="O989" t="str">
        <f>VLOOKUP(C989, Customers!A$2:E$301, 5, FALSE)</f>
        <v>Corporate</v>
      </c>
      <c r="P989">
        <f>VLOOKUP(C989, Customers!A$2:C$301, 3, FALSE)</f>
        <v>48</v>
      </c>
      <c r="Q989" t="str">
        <f>VLOOKUP(E989, Sales_Reps!A$2:C$31, 3, FALSE)</f>
        <v>South</v>
      </c>
      <c r="R989">
        <f>VLOOKUP(D989, Products!A$2:D$61, 4, FALSE)</f>
        <v>1559</v>
      </c>
    </row>
    <row r="990" spans="1:18" x14ac:dyDescent="0.3">
      <c r="A990" s="13" t="s">
        <v>1471</v>
      </c>
      <c r="B990" s="14">
        <v>45465</v>
      </c>
      <c r="C990" s="13" t="s">
        <v>429</v>
      </c>
      <c r="D990" s="13" t="s">
        <v>187</v>
      </c>
      <c r="E990" s="13" t="s">
        <v>86</v>
      </c>
      <c r="F990" s="15">
        <v>5</v>
      </c>
      <c r="G990" s="15">
        <v>3570</v>
      </c>
      <c r="H990" s="15">
        <v>19.899999999999999</v>
      </c>
      <c r="I990" s="15">
        <v>14297.85</v>
      </c>
      <c r="J990" s="13" t="s">
        <v>87</v>
      </c>
      <c r="K990" s="13" t="s">
        <v>117</v>
      </c>
      <c r="L990">
        <f>IF(COUNTIF(A$2:A990, A990)=1, IF(COUNTIF(A$2:A$2001, A990)&gt;1, 1, 0), 0)</f>
        <v>0</v>
      </c>
      <c r="M990" t="b">
        <f>VLOOKUP(D990, Products!A$2:F$61, 6, FALSE)</f>
        <v>1</v>
      </c>
      <c r="N990" t="str">
        <f>VLOOKUP(D990, Products!A$2:C$61, 3, FALSE)</f>
        <v>Electronics</v>
      </c>
      <c r="O990" t="str">
        <f>VLOOKUP(C990, Customers!A$2:E$301, 5, FALSE)</f>
        <v>Retail</v>
      </c>
      <c r="P990">
        <f>VLOOKUP(C990, Customers!A$2:C$301, 3, FALSE)</f>
        <v>55</v>
      </c>
      <c r="Q990" t="str">
        <f>VLOOKUP(E990, Sales_Reps!A$2:C$31, 3, FALSE)</f>
        <v>North</v>
      </c>
      <c r="R990">
        <f>VLOOKUP(D990, Products!A$2:D$61, 4, FALSE)</f>
        <v>1665</v>
      </c>
    </row>
    <row r="991" spans="1:18" x14ac:dyDescent="0.3">
      <c r="A991" s="13" t="s">
        <v>1472</v>
      </c>
      <c r="B991" s="14">
        <v>45342</v>
      </c>
      <c r="C991" s="13" t="s">
        <v>289</v>
      </c>
      <c r="D991" s="13" t="s">
        <v>182</v>
      </c>
      <c r="E991" s="13" t="s">
        <v>215</v>
      </c>
      <c r="F991" s="15">
        <v>5</v>
      </c>
      <c r="G991" s="15">
        <v>1010</v>
      </c>
      <c r="H991" s="15">
        <v>2.2000000000000002</v>
      </c>
      <c r="I991" s="15">
        <v>4938.8999999999996</v>
      </c>
      <c r="J991" s="13" t="s">
        <v>87</v>
      </c>
      <c r="K991" s="13" t="s">
        <v>94</v>
      </c>
      <c r="L991">
        <f>IF(COUNTIF(A$2:A991, A991)=1, IF(COUNTIF(A$2:A$2001, A991)&gt;1, 1, 0), 0)</f>
        <v>0</v>
      </c>
      <c r="M991" t="b">
        <f>VLOOKUP(D991, Products!A$2:F$61, 6, FALSE)</f>
        <v>1</v>
      </c>
      <c r="N991" t="str">
        <f>VLOOKUP(D991, Products!A$2:C$61, 3, FALSE)</f>
        <v>Sports</v>
      </c>
      <c r="O991" t="str">
        <f>VLOOKUP(C991, Customers!A$2:E$301, 5, FALSE)</f>
        <v>Retail</v>
      </c>
      <c r="P991">
        <f>VLOOKUP(C991, Customers!A$2:C$301, 3, FALSE)</f>
        <v>38</v>
      </c>
      <c r="Q991" t="str">
        <f>VLOOKUP(E991, Sales_Reps!A$2:C$31, 3, FALSE)</f>
        <v>North</v>
      </c>
      <c r="R991">
        <f>VLOOKUP(D991, Products!A$2:D$61, 4, FALSE)</f>
        <v>516</v>
      </c>
    </row>
    <row r="992" spans="1:18" x14ac:dyDescent="0.3">
      <c r="A992" s="13" t="s">
        <v>1473</v>
      </c>
      <c r="B992" s="14">
        <v>45309</v>
      </c>
      <c r="C992" s="13" t="s">
        <v>362</v>
      </c>
      <c r="D992" s="13" t="s">
        <v>386</v>
      </c>
      <c r="E992" s="13" t="s">
        <v>139</v>
      </c>
      <c r="F992" s="15">
        <v>10</v>
      </c>
      <c r="G992" s="15">
        <v>2290</v>
      </c>
      <c r="H992" s="15">
        <v>16.8</v>
      </c>
      <c r="I992" s="15">
        <v>19052.8</v>
      </c>
      <c r="J992" s="13" t="s">
        <v>140</v>
      </c>
      <c r="K992" s="13" t="s">
        <v>94</v>
      </c>
      <c r="L992">
        <f>IF(COUNTIF(A$2:A992, A992)=1, IF(COUNTIF(A$2:A$2001, A992)&gt;1, 1, 0), 0)</f>
        <v>0</v>
      </c>
      <c r="M992" t="b">
        <f>VLOOKUP(D992, Products!A$2:F$61, 6, FALSE)</f>
        <v>1</v>
      </c>
      <c r="N992" t="str">
        <f>VLOOKUP(D992, Products!A$2:C$61, 3, FALSE)</f>
        <v>Beauty</v>
      </c>
      <c r="O992" t="str">
        <f>VLOOKUP(C992, Customers!A$2:E$301, 5, FALSE)</f>
        <v>Corporate</v>
      </c>
      <c r="P992">
        <f>VLOOKUP(C992, Customers!A$2:C$301, 3, FALSE)</f>
        <v>51</v>
      </c>
      <c r="Q992" t="str">
        <f>VLOOKUP(E992, Sales_Reps!A$2:C$31, 3, FALSE)</f>
        <v>North</v>
      </c>
      <c r="R992">
        <f>VLOOKUP(D992, Products!A$2:D$61, 4, FALSE)</f>
        <v>1219</v>
      </c>
    </row>
    <row r="993" spans="1:18" x14ac:dyDescent="0.3">
      <c r="A993" s="13" t="s">
        <v>1474</v>
      </c>
      <c r="B993" s="14">
        <v>45493</v>
      </c>
      <c r="C993" s="13" t="s">
        <v>482</v>
      </c>
      <c r="D993" s="13" t="s">
        <v>270</v>
      </c>
      <c r="E993" s="13" t="s">
        <v>121</v>
      </c>
      <c r="F993" s="15">
        <v>3</v>
      </c>
      <c r="G993" s="15">
        <v>4610</v>
      </c>
      <c r="H993" s="15">
        <v>13.2</v>
      </c>
      <c r="I993" s="15">
        <v>12004.44</v>
      </c>
      <c r="J993" s="13" t="s">
        <v>93</v>
      </c>
      <c r="K993" s="13" t="s">
        <v>133</v>
      </c>
      <c r="L993">
        <f>IF(COUNTIF(A$2:A993, A993)=1, IF(COUNTIF(A$2:A$2001, A993)&gt;1, 1, 0), 0)</f>
        <v>0</v>
      </c>
      <c r="M993" t="b">
        <f>VLOOKUP(D993, Products!A$2:F$61, 6, FALSE)</f>
        <v>1</v>
      </c>
      <c r="N993" t="str">
        <f>VLOOKUP(D993, Products!A$2:C$61, 3, FALSE)</f>
        <v>Home</v>
      </c>
      <c r="O993" t="str">
        <f>VLOOKUP(C993, Customers!A$2:E$301, 5, FALSE)</f>
        <v>Corporate</v>
      </c>
      <c r="P993">
        <f>VLOOKUP(C993, Customers!A$2:C$301, 3, FALSE)</f>
        <v>52</v>
      </c>
      <c r="Q993" t="str">
        <f>VLOOKUP(E993, Sales_Reps!A$2:C$31, 3, FALSE)</f>
        <v>East</v>
      </c>
      <c r="R993">
        <f>VLOOKUP(D993, Products!A$2:D$61, 4, FALSE)</f>
        <v>1850</v>
      </c>
    </row>
    <row r="994" spans="1:18" x14ac:dyDescent="0.3">
      <c r="A994" s="13" t="s">
        <v>1475</v>
      </c>
      <c r="B994" s="14">
        <v>45356</v>
      </c>
      <c r="C994" s="13" t="s">
        <v>460</v>
      </c>
      <c r="D994" s="13" t="s">
        <v>355</v>
      </c>
      <c r="E994" s="13" t="s">
        <v>148</v>
      </c>
      <c r="F994" s="15">
        <v>1</v>
      </c>
      <c r="G994" s="15">
        <v>2510</v>
      </c>
      <c r="H994" s="15">
        <v>16.899999999999999</v>
      </c>
      <c r="I994" s="15">
        <v>2085.81</v>
      </c>
      <c r="J994" s="13" t="s">
        <v>87</v>
      </c>
      <c r="K994" s="13" t="s">
        <v>88</v>
      </c>
      <c r="L994">
        <f>IF(COUNTIF(A$2:A994, A994)=1, IF(COUNTIF(A$2:A$2001, A994)&gt;1, 1, 0), 0)</f>
        <v>0</v>
      </c>
      <c r="M994" t="b">
        <f>VLOOKUP(D994, Products!A$2:F$61, 6, FALSE)</f>
        <v>0</v>
      </c>
      <c r="N994" t="str">
        <f>VLOOKUP(D994, Products!A$2:C$61, 3, FALSE)</f>
        <v>Apparel</v>
      </c>
      <c r="O994" t="str">
        <f>VLOOKUP(C994, Customers!A$2:E$301, 5, FALSE)</f>
        <v>Corporate</v>
      </c>
      <c r="P994">
        <f>VLOOKUP(C994, Customers!A$2:C$301, 3, FALSE)</f>
        <v>37</v>
      </c>
      <c r="Q994" t="str">
        <f>VLOOKUP(E994, Sales_Reps!A$2:C$31, 3, FALSE)</f>
        <v>North</v>
      </c>
      <c r="R994">
        <f>VLOOKUP(D994, Products!A$2:D$61, 4, FALSE)</f>
        <v>1075</v>
      </c>
    </row>
    <row r="995" spans="1:18" x14ac:dyDescent="0.3">
      <c r="A995" s="13" t="s">
        <v>1476</v>
      </c>
      <c r="B995" s="14">
        <v>45367</v>
      </c>
      <c r="C995" s="13" t="s">
        <v>643</v>
      </c>
      <c r="D995" s="13" t="s">
        <v>276</v>
      </c>
      <c r="E995" s="13" t="s">
        <v>204</v>
      </c>
      <c r="F995" s="15">
        <v>1</v>
      </c>
      <c r="G995" s="15">
        <v>3020</v>
      </c>
      <c r="H995" s="15">
        <v>26.7</v>
      </c>
      <c r="I995" s="15">
        <v>2213.66</v>
      </c>
      <c r="J995" s="13" t="s">
        <v>87</v>
      </c>
      <c r="K995" s="13" t="s">
        <v>112</v>
      </c>
      <c r="L995">
        <f>IF(COUNTIF(A$2:A995, A995)=1, IF(COUNTIF(A$2:A$2001, A995)&gt;1, 1, 0), 0)</f>
        <v>0</v>
      </c>
      <c r="M995" t="b">
        <f>VLOOKUP(D995, Products!A$2:F$61, 6, FALSE)</f>
        <v>1</v>
      </c>
      <c r="N995" t="str">
        <f>VLOOKUP(D995, Products!A$2:C$61, 3, FALSE)</f>
        <v>Beauty</v>
      </c>
      <c r="O995" t="str">
        <f>VLOOKUP(C995, Customers!A$2:E$301, 5, FALSE)</f>
        <v>SMB</v>
      </c>
      <c r="P995">
        <f>VLOOKUP(C995, Customers!A$2:C$301, 3, FALSE)</f>
        <v>27</v>
      </c>
      <c r="Q995" t="str">
        <f>VLOOKUP(E995, Sales_Reps!A$2:C$31, 3, FALSE)</f>
        <v>South</v>
      </c>
      <c r="R995">
        <f>VLOOKUP(D995, Products!A$2:D$61, 4, FALSE)</f>
        <v>1626</v>
      </c>
    </row>
    <row r="996" spans="1:18" x14ac:dyDescent="0.3">
      <c r="A996" s="13" t="s">
        <v>1477</v>
      </c>
      <c r="B996" s="14">
        <v>45313</v>
      </c>
      <c r="C996" s="13" t="s">
        <v>559</v>
      </c>
      <c r="D996" s="13" t="s">
        <v>147</v>
      </c>
      <c r="E996" s="13" t="s">
        <v>325</v>
      </c>
      <c r="F996" s="15">
        <v>6</v>
      </c>
      <c r="G996" s="15">
        <v>190</v>
      </c>
      <c r="H996" s="15">
        <v>7.1</v>
      </c>
      <c r="I996" s="15">
        <v>1059.06</v>
      </c>
      <c r="J996" s="13" t="s">
        <v>87</v>
      </c>
      <c r="K996" s="13" t="s">
        <v>88</v>
      </c>
      <c r="L996">
        <f>IF(COUNTIF(A$2:A996, A996)=1, IF(COUNTIF(A$2:A$2001, A996)&gt;1, 1, 0), 0)</f>
        <v>0</v>
      </c>
      <c r="M996" t="b">
        <f>VLOOKUP(D996, Products!A$2:F$61, 6, FALSE)</f>
        <v>1</v>
      </c>
      <c r="N996" t="str">
        <f>VLOOKUP(D996, Products!A$2:C$61, 3, FALSE)</f>
        <v>Sports</v>
      </c>
      <c r="O996" t="str">
        <f>VLOOKUP(C996, Customers!A$2:E$301, 5, FALSE)</f>
        <v>Retail</v>
      </c>
      <c r="P996">
        <f>VLOOKUP(C996, Customers!A$2:C$301, 3, FALSE)</f>
        <v>62</v>
      </c>
      <c r="Q996" t="str">
        <f>VLOOKUP(E996, Sales_Reps!A$2:C$31, 3, FALSE)</f>
        <v>South</v>
      </c>
      <c r="R996">
        <f>VLOOKUP(D996, Products!A$2:D$61, 4, FALSE)</f>
        <v>147</v>
      </c>
    </row>
    <row r="997" spans="1:18" x14ac:dyDescent="0.3">
      <c r="A997" s="13" t="s">
        <v>1478</v>
      </c>
      <c r="B997" s="14">
        <v>45529</v>
      </c>
      <c r="C997" s="13" t="s">
        <v>1191</v>
      </c>
      <c r="D997" s="13" t="s">
        <v>295</v>
      </c>
      <c r="E997" s="13" t="s">
        <v>297</v>
      </c>
      <c r="F997" s="15">
        <v>6</v>
      </c>
      <c r="G997" s="15">
        <v>2030</v>
      </c>
      <c r="H997" s="15">
        <v>13.5</v>
      </c>
      <c r="I997" s="15">
        <v>10535.7</v>
      </c>
      <c r="J997" s="13" t="s">
        <v>140</v>
      </c>
      <c r="K997" s="13" t="s">
        <v>117</v>
      </c>
      <c r="L997">
        <f>IF(COUNTIF(A$2:A997, A997)=1, IF(COUNTIF(A$2:A$2001, A997)&gt;1, 1, 0), 0)</f>
        <v>0</v>
      </c>
      <c r="M997" t="b">
        <f>VLOOKUP(D997, Products!A$2:F$61, 6, FALSE)</f>
        <v>1</v>
      </c>
      <c r="N997" t="str">
        <f>VLOOKUP(D997, Products!A$2:C$61, 3, FALSE)</f>
        <v>Home</v>
      </c>
      <c r="O997" t="str">
        <f>VLOOKUP(C997, Customers!A$2:E$301, 5, FALSE)</f>
        <v>Retail</v>
      </c>
      <c r="P997">
        <f>VLOOKUP(C997, Customers!A$2:C$301, 3, FALSE)</f>
        <v>36</v>
      </c>
      <c r="Q997" t="str">
        <f>VLOOKUP(E997, Sales_Reps!A$2:C$31, 3, FALSE)</f>
        <v>North</v>
      </c>
      <c r="R997">
        <f>VLOOKUP(D997, Products!A$2:D$61, 4, FALSE)</f>
        <v>1143</v>
      </c>
    </row>
    <row r="998" spans="1:18" x14ac:dyDescent="0.3">
      <c r="A998" s="13" t="s">
        <v>1479</v>
      </c>
      <c r="B998" s="14">
        <v>45547</v>
      </c>
      <c r="C998" s="13" t="s">
        <v>828</v>
      </c>
      <c r="D998" s="13" t="s">
        <v>143</v>
      </c>
      <c r="E998" s="13" t="s">
        <v>325</v>
      </c>
      <c r="F998" s="15">
        <v>10</v>
      </c>
      <c r="G998" s="15">
        <v>3250</v>
      </c>
      <c r="H998" s="15">
        <v>8.6999999999999993</v>
      </c>
      <c r="I998" s="15">
        <v>29672.5</v>
      </c>
      <c r="J998" s="13" t="s">
        <v>87</v>
      </c>
      <c r="K998" s="13" t="s">
        <v>133</v>
      </c>
      <c r="L998">
        <f>IF(COUNTIF(A$2:A998, A998)=1, IF(COUNTIF(A$2:A$2001, A998)&gt;1, 1, 0), 0)</f>
        <v>0</v>
      </c>
      <c r="M998" t="b">
        <f>VLOOKUP(D998, Products!A$2:F$61, 6, FALSE)</f>
        <v>1</v>
      </c>
      <c r="N998" t="str">
        <f>VLOOKUP(D998, Products!A$2:C$61, 3, FALSE)</f>
        <v>Home</v>
      </c>
      <c r="O998" t="str">
        <f>VLOOKUP(C998, Customers!A$2:E$301, 5, FALSE)</f>
        <v>Retail</v>
      </c>
      <c r="P998">
        <f>VLOOKUP(C998, Customers!A$2:C$301, 3, FALSE)</f>
        <v>52</v>
      </c>
      <c r="Q998" t="str">
        <f>VLOOKUP(E998, Sales_Reps!A$2:C$31, 3, FALSE)</f>
        <v>South</v>
      </c>
      <c r="R998">
        <f>VLOOKUP(D998, Products!A$2:D$61, 4, FALSE)</f>
        <v>1556</v>
      </c>
    </row>
    <row r="999" spans="1:18" x14ac:dyDescent="0.3">
      <c r="A999" s="13" t="s">
        <v>1480</v>
      </c>
      <c r="B999" s="14">
        <v>45299</v>
      </c>
      <c r="C999" s="13" t="s">
        <v>442</v>
      </c>
      <c r="D999" s="13" t="s">
        <v>295</v>
      </c>
      <c r="E999" s="13" t="s">
        <v>229</v>
      </c>
      <c r="F999" s="15">
        <v>9</v>
      </c>
      <c r="G999" s="15">
        <v>2030</v>
      </c>
      <c r="H999" s="15">
        <v>29.3</v>
      </c>
      <c r="I999" s="15">
        <v>12916.89</v>
      </c>
      <c r="J999" s="13" t="s">
        <v>87</v>
      </c>
      <c r="K999" s="13" t="s">
        <v>88</v>
      </c>
      <c r="L999">
        <f>IF(COUNTIF(A$2:A999, A999)=1, IF(COUNTIF(A$2:A$2001, A999)&gt;1, 1, 0), 0)</f>
        <v>0</v>
      </c>
      <c r="M999" t="b">
        <f>VLOOKUP(D999, Products!A$2:F$61, 6, FALSE)</f>
        <v>1</v>
      </c>
      <c r="N999" t="str">
        <f>VLOOKUP(D999, Products!A$2:C$61, 3, FALSE)</f>
        <v>Home</v>
      </c>
      <c r="O999" t="str">
        <f>VLOOKUP(C999, Customers!A$2:E$301, 5, FALSE)</f>
        <v>Retail</v>
      </c>
      <c r="P999">
        <f>VLOOKUP(C999, Customers!A$2:C$301, 3, FALSE)</f>
        <v>65</v>
      </c>
      <c r="Q999" t="str">
        <f>VLOOKUP(E999, Sales_Reps!A$2:C$31, 3, FALSE)</f>
        <v>West</v>
      </c>
      <c r="R999">
        <f>VLOOKUP(D999, Products!A$2:D$61, 4, FALSE)</f>
        <v>1143</v>
      </c>
    </row>
    <row r="1000" spans="1:18" x14ac:dyDescent="0.3">
      <c r="A1000" s="13" t="s">
        <v>1481</v>
      </c>
      <c r="B1000" s="14">
        <v>45380</v>
      </c>
      <c r="C1000" s="13" t="s">
        <v>1027</v>
      </c>
      <c r="D1000" s="13" t="s">
        <v>367</v>
      </c>
      <c r="E1000" s="13" t="s">
        <v>111</v>
      </c>
      <c r="F1000" s="15">
        <v>1</v>
      </c>
      <c r="G1000" s="15">
        <v>2380</v>
      </c>
      <c r="H1000" s="15">
        <v>12.9</v>
      </c>
      <c r="I1000" s="15">
        <v>2072.98</v>
      </c>
      <c r="J1000" s="13" t="s">
        <v>87</v>
      </c>
      <c r="K1000" s="13" t="s">
        <v>112</v>
      </c>
      <c r="L1000">
        <f>IF(COUNTIF(A$2:A1000, A1000)=1, IF(COUNTIF(A$2:A$2001, A1000)&gt;1, 1, 0), 0)</f>
        <v>0</v>
      </c>
      <c r="M1000" t="b">
        <f>VLOOKUP(D1000, Products!A$2:F$61, 6, FALSE)</f>
        <v>1</v>
      </c>
      <c r="N1000" t="str">
        <f>VLOOKUP(D1000, Products!A$2:C$61, 3, FALSE)</f>
        <v>Grocery</v>
      </c>
      <c r="O1000" t="str">
        <f>VLOOKUP(C1000, Customers!A$2:E$301, 5, FALSE)</f>
        <v>SMB</v>
      </c>
      <c r="P1000">
        <f>VLOOKUP(C1000, Customers!A$2:C$301, 3, FALSE)</f>
        <v>47</v>
      </c>
      <c r="Q1000" t="str">
        <f>VLOOKUP(E1000, Sales_Reps!A$2:C$31, 3, FALSE)</f>
        <v>West</v>
      </c>
      <c r="R1000">
        <f>VLOOKUP(D1000, Products!A$2:D$61, 4, FALSE)</f>
        <v>1182</v>
      </c>
    </row>
    <row r="1001" spans="1:18" x14ac:dyDescent="0.3">
      <c r="A1001" s="13" t="s">
        <v>1482</v>
      </c>
      <c r="B1001" s="14">
        <v>45521</v>
      </c>
      <c r="C1001" s="13" t="s">
        <v>539</v>
      </c>
      <c r="D1001" s="13" t="s">
        <v>452</v>
      </c>
      <c r="E1001" s="13" t="s">
        <v>116</v>
      </c>
      <c r="F1001" s="15">
        <v>10</v>
      </c>
      <c r="G1001" s="15">
        <v>3450</v>
      </c>
      <c r="H1001" s="15">
        <v>18.5</v>
      </c>
      <c r="I1001" s="15">
        <v>28117.5</v>
      </c>
      <c r="J1001" s="13" t="s">
        <v>87</v>
      </c>
      <c r="K1001" s="13" t="s">
        <v>133</v>
      </c>
      <c r="L1001">
        <f>IF(COUNTIF(A$2:A1001, A1001)=1, IF(COUNTIF(A$2:A$2001, A1001)&gt;1, 1, 0), 0)</f>
        <v>0</v>
      </c>
      <c r="M1001" t="b">
        <f>VLOOKUP(D1001, Products!A$2:F$61, 6, FALSE)</f>
        <v>1</v>
      </c>
      <c r="N1001" t="str">
        <f>VLOOKUP(D1001, Products!A$2:C$61, 3, FALSE)</f>
        <v>Apparel</v>
      </c>
      <c r="O1001" t="str">
        <f>VLOOKUP(C1001, Customers!A$2:E$301, 5, FALSE)</f>
        <v>Retail</v>
      </c>
      <c r="P1001">
        <f>VLOOKUP(C1001, Customers!A$2:C$301, 3, FALSE)</f>
        <v>38</v>
      </c>
      <c r="Q1001" t="str">
        <f>VLOOKUP(E1001, Sales_Reps!A$2:C$31, 3, FALSE)</f>
        <v>West</v>
      </c>
      <c r="R1001">
        <f>VLOOKUP(D1001, Products!A$2:D$61, 4, FALSE)</f>
        <v>1748</v>
      </c>
    </row>
    <row r="1002" spans="1:18" x14ac:dyDescent="0.3">
      <c r="A1002" s="13" t="s">
        <v>1483</v>
      </c>
      <c r="B1002" s="14">
        <v>45500</v>
      </c>
      <c r="C1002" s="13" t="s">
        <v>278</v>
      </c>
      <c r="D1002" s="13" t="s">
        <v>106</v>
      </c>
      <c r="E1002" s="13" t="s">
        <v>297</v>
      </c>
      <c r="F1002" s="15">
        <v>10</v>
      </c>
      <c r="G1002" s="15">
        <v>3160</v>
      </c>
      <c r="H1002" s="15">
        <v>26.3</v>
      </c>
      <c r="I1002" s="15">
        <v>23289.200000000001</v>
      </c>
      <c r="J1002" s="13" t="s">
        <v>87</v>
      </c>
      <c r="K1002" s="13" t="s">
        <v>133</v>
      </c>
      <c r="L1002">
        <f>IF(COUNTIF(A$2:A1002, A1002)=1, IF(COUNTIF(A$2:A$2001, A1002)&gt;1, 1, 0), 0)</f>
        <v>0</v>
      </c>
      <c r="M1002" t="b">
        <f>VLOOKUP(D1002, Products!A$2:F$61, 6, FALSE)</f>
        <v>1</v>
      </c>
      <c r="N1002" t="str">
        <f>VLOOKUP(D1002, Products!A$2:C$61, 3, FALSE)</f>
        <v>Apparel</v>
      </c>
      <c r="O1002" t="str">
        <f>VLOOKUP(C1002, Customers!A$2:E$301, 5, FALSE)</f>
        <v>Corporate</v>
      </c>
      <c r="P1002">
        <f>VLOOKUP(C1002, Customers!A$2:C$301, 3, FALSE)</f>
        <v>29</v>
      </c>
      <c r="Q1002" t="str">
        <f>VLOOKUP(E1002, Sales_Reps!A$2:C$31, 3, FALSE)</f>
        <v>North</v>
      </c>
      <c r="R1002">
        <f>VLOOKUP(D1002, Products!A$2:D$61, 4, FALSE)</f>
        <v>1886</v>
      </c>
    </row>
    <row r="1003" spans="1:18" x14ac:dyDescent="0.3">
      <c r="A1003" s="13" t="s">
        <v>1484</v>
      </c>
      <c r="B1003" s="14">
        <v>45531</v>
      </c>
      <c r="C1003" s="13" t="s">
        <v>353</v>
      </c>
      <c r="D1003" s="13" t="s">
        <v>124</v>
      </c>
      <c r="E1003" s="13" t="s">
        <v>201</v>
      </c>
      <c r="F1003" s="15">
        <v>10</v>
      </c>
      <c r="G1003" s="15">
        <v>5490</v>
      </c>
      <c r="H1003" s="15">
        <v>22.7</v>
      </c>
      <c r="I1003" s="15">
        <v>42437.7</v>
      </c>
      <c r="J1003" s="13" t="s">
        <v>87</v>
      </c>
      <c r="K1003" s="13" t="s">
        <v>94</v>
      </c>
      <c r="L1003">
        <f>IF(COUNTIF(A$2:A1003, A1003)=1, IF(COUNTIF(A$2:A$2001, A1003)&gt;1, 1, 0), 0)</f>
        <v>0</v>
      </c>
      <c r="M1003" t="b">
        <f>VLOOKUP(D1003, Products!A$2:F$61, 6, FALSE)</f>
        <v>1</v>
      </c>
      <c r="N1003" t="str">
        <f>VLOOKUP(D1003, Products!A$2:C$61, 3, FALSE)</f>
        <v>Home</v>
      </c>
      <c r="O1003" t="str">
        <f>VLOOKUP(C1003, Customers!A$2:E$301, 5, FALSE)</f>
        <v>Retail</v>
      </c>
      <c r="P1003">
        <f>VLOOKUP(C1003, Customers!A$2:C$301, 3, FALSE)</f>
        <v>60</v>
      </c>
      <c r="Q1003" t="str">
        <f>VLOOKUP(E1003, Sales_Reps!A$2:C$31, 3, FALSE)</f>
        <v>West</v>
      </c>
      <c r="R1003">
        <f>VLOOKUP(D1003, Products!A$2:D$61, 4, FALSE)</f>
        <v>2549</v>
      </c>
    </row>
    <row r="1004" spans="1:18" x14ac:dyDescent="0.3">
      <c r="A1004" s="13" t="s">
        <v>1485</v>
      </c>
      <c r="B1004" s="14">
        <v>45563</v>
      </c>
      <c r="C1004" s="13" t="s">
        <v>700</v>
      </c>
      <c r="D1004" s="13" t="s">
        <v>195</v>
      </c>
      <c r="E1004" s="13" t="s">
        <v>103</v>
      </c>
      <c r="F1004" s="15">
        <v>8</v>
      </c>
      <c r="G1004" s="15">
        <v>2860</v>
      </c>
      <c r="H1004" s="15">
        <v>14.3</v>
      </c>
      <c r="I1004" s="15">
        <v>19608.16</v>
      </c>
      <c r="J1004" s="13" t="s">
        <v>87</v>
      </c>
      <c r="K1004" s="13" t="s">
        <v>94</v>
      </c>
      <c r="L1004">
        <f>IF(COUNTIF(A$2:A1004, A1004)=1, IF(COUNTIF(A$2:A$2001, A1004)&gt;1, 1, 0), 0)</f>
        <v>0</v>
      </c>
      <c r="M1004" t="b">
        <f>VLOOKUP(D1004, Products!A$2:F$61, 6, FALSE)</f>
        <v>1</v>
      </c>
      <c r="N1004" t="str">
        <f>VLOOKUP(D1004, Products!A$2:C$61, 3, FALSE)</f>
        <v>Sports</v>
      </c>
      <c r="O1004" t="str">
        <f>VLOOKUP(C1004, Customers!A$2:E$301, 5, FALSE)</f>
        <v>SMB</v>
      </c>
      <c r="P1004">
        <f>VLOOKUP(C1004, Customers!A$2:C$301, 3, FALSE)</f>
        <v>46</v>
      </c>
      <c r="Q1004" t="str">
        <f>VLOOKUP(E1004, Sales_Reps!A$2:C$31, 3, FALSE)</f>
        <v>North</v>
      </c>
      <c r="R1004">
        <f>VLOOKUP(D1004, Products!A$2:D$61, 4, FALSE)</f>
        <v>2028</v>
      </c>
    </row>
    <row r="1005" spans="1:18" x14ac:dyDescent="0.3">
      <c r="A1005" s="13" t="s">
        <v>1486</v>
      </c>
      <c r="B1005" s="14">
        <v>45416</v>
      </c>
      <c r="C1005" s="13" t="s">
        <v>247</v>
      </c>
      <c r="D1005" s="13" t="s">
        <v>380</v>
      </c>
      <c r="E1005" s="13" t="s">
        <v>273</v>
      </c>
      <c r="F1005" s="15">
        <v>1</v>
      </c>
      <c r="G1005" s="15">
        <v>960</v>
      </c>
      <c r="H1005" s="15">
        <v>11.9</v>
      </c>
      <c r="I1005" s="15">
        <v>845.76</v>
      </c>
      <c r="J1005" s="13" t="s">
        <v>87</v>
      </c>
      <c r="K1005" s="13" t="s">
        <v>117</v>
      </c>
      <c r="L1005">
        <f>IF(COUNTIF(A$2:A1005, A1005)=1, IF(COUNTIF(A$2:A$2001, A1005)&gt;1, 1, 0), 0)</f>
        <v>0</v>
      </c>
      <c r="M1005" t="b">
        <f>VLOOKUP(D1005, Products!A$2:F$61, 6, FALSE)</f>
        <v>1</v>
      </c>
      <c r="N1005" t="str">
        <f>VLOOKUP(D1005, Products!A$2:C$61, 3, FALSE)</f>
        <v>Beauty</v>
      </c>
      <c r="O1005" t="str">
        <f>VLOOKUP(C1005, Customers!A$2:E$301, 5, FALSE)</f>
        <v>Retail</v>
      </c>
      <c r="P1005">
        <f>VLOOKUP(C1005, Customers!A$2:C$301, 3, FALSE)</f>
        <v>34</v>
      </c>
      <c r="Q1005" t="str">
        <f>VLOOKUP(E1005, Sales_Reps!A$2:C$31, 3, FALSE)</f>
        <v>South</v>
      </c>
      <c r="R1005">
        <f>VLOOKUP(D1005, Products!A$2:D$61, 4, FALSE)</f>
        <v>675</v>
      </c>
    </row>
    <row r="1006" spans="1:18" x14ac:dyDescent="0.3">
      <c r="A1006" s="13" t="s">
        <v>1487</v>
      </c>
      <c r="B1006" s="14">
        <v>45430</v>
      </c>
      <c r="C1006" s="13" t="s">
        <v>752</v>
      </c>
      <c r="D1006" s="13" t="s">
        <v>164</v>
      </c>
      <c r="E1006" s="13" t="s">
        <v>86</v>
      </c>
      <c r="F1006" s="15">
        <v>3</v>
      </c>
      <c r="G1006" s="15">
        <v>1080</v>
      </c>
      <c r="H1006" s="15">
        <v>26</v>
      </c>
      <c r="I1006" s="15">
        <v>2397.6</v>
      </c>
      <c r="J1006" s="13" t="s">
        <v>87</v>
      </c>
      <c r="K1006" s="13" t="s">
        <v>117</v>
      </c>
      <c r="L1006">
        <f>IF(COUNTIF(A$2:A1006, A1006)=1, IF(COUNTIF(A$2:A$2001, A1006)&gt;1, 1, 0), 0)</f>
        <v>0</v>
      </c>
      <c r="M1006" t="b">
        <f>VLOOKUP(D1006, Products!A$2:F$61, 6, FALSE)</f>
        <v>1</v>
      </c>
      <c r="N1006" t="str">
        <f>VLOOKUP(D1006, Products!A$2:C$61, 3, FALSE)</f>
        <v>Home</v>
      </c>
      <c r="O1006" t="str">
        <f>VLOOKUP(C1006, Customers!A$2:E$301, 5, FALSE)</f>
        <v>Retail</v>
      </c>
      <c r="P1006">
        <f>VLOOKUP(C1006, Customers!A$2:C$301, 3, FALSE)</f>
        <v>32</v>
      </c>
      <c r="Q1006" t="str">
        <f>VLOOKUP(E1006, Sales_Reps!A$2:C$31, 3, FALSE)</f>
        <v>North</v>
      </c>
      <c r="R1006">
        <f>VLOOKUP(D1006, Products!A$2:D$61, 4, FALSE)</f>
        <v>519</v>
      </c>
    </row>
    <row r="1007" spans="1:18" x14ac:dyDescent="0.3">
      <c r="A1007" s="13" t="s">
        <v>1488</v>
      </c>
      <c r="B1007" s="14">
        <v>45585</v>
      </c>
      <c r="C1007" s="13" t="s">
        <v>390</v>
      </c>
      <c r="D1007" s="13" t="s">
        <v>195</v>
      </c>
      <c r="E1007" s="13" t="s">
        <v>215</v>
      </c>
      <c r="F1007" s="15">
        <v>10</v>
      </c>
      <c r="G1007" s="15">
        <v>2860</v>
      </c>
      <c r="H1007" s="15">
        <v>13.1</v>
      </c>
      <c r="I1007" s="15">
        <v>24853.4</v>
      </c>
      <c r="J1007" s="13" t="s">
        <v>144</v>
      </c>
      <c r="K1007" s="13" t="s">
        <v>88</v>
      </c>
      <c r="L1007">
        <f>IF(COUNTIF(A$2:A1007, A1007)=1, IF(COUNTIF(A$2:A$2001, A1007)&gt;1, 1, 0), 0)</f>
        <v>0</v>
      </c>
      <c r="M1007" t="b">
        <f>VLOOKUP(D1007, Products!A$2:F$61, 6, FALSE)</f>
        <v>1</v>
      </c>
      <c r="N1007" t="str">
        <f>VLOOKUP(D1007, Products!A$2:C$61, 3, FALSE)</f>
        <v>Sports</v>
      </c>
      <c r="O1007" t="str">
        <f>VLOOKUP(C1007, Customers!A$2:E$301, 5, FALSE)</f>
        <v>SMB</v>
      </c>
      <c r="P1007">
        <f>VLOOKUP(C1007, Customers!A$2:C$301, 3, FALSE)</f>
        <v>54</v>
      </c>
      <c r="Q1007" t="str">
        <f>VLOOKUP(E1007, Sales_Reps!A$2:C$31, 3, FALSE)</f>
        <v>North</v>
      </c>
      <c r="R1007">
        <f>VLOOKUP(D1007, Products!A$2:D$61, 4, FALSE)</f>
        <v>2028</v>
      </c>
    </row>
    <row r="1008" spans="1:18" x14ac:dyDescent="0.3">
      <c r="A1008" s="13" t="s">
        <v>1489</v>
      </c>
      <c r="B1008" s="14">
        <v>45630</v>
      </c>
      <c r="C1008" s="13" t="s">
        <v>1361</v>
      </c>
      <c r="D1008" s="13" t="s">
        <v>237</v>
      </c>
      <c r="E1008" s="13" t="s">
        <v>215</v>
      </c>
      <c r="F1008" s="15">
        <v>3</v>
      </c>
      <c r="G1008" s="15">
        <v>3640</v>
      </c>
      <c r="H1008" s="15">
        <v>18.2</v>
      </c>
      <c r="I1008" s="15">
        <v>8932.56</v>
      </c>
      <c r="J1008" s="13" t="s">
        <v>87</v>
      </c>
      <c r="K1008" s="13" t="s">
        <v>94</v>
      </c>
      <c r="L1008">
        <f>IF(COUNTIF(A$2:A1008, A1008)=1, IF(COUNTIF(A$2:A$2001, A1008)&gt;1, 1, 0), 0)</f>
        <v>0</v>
      </c>
      <c r="M1008" t="b">
        <f>VLOOKUP(D1008, Products!A$2:F$61, 6, FALSE)</f>
        <v>1</v>
      </c>
      <c r="N1008" t="str">
        <f>VLOOKUP(D1008, Products!A$2:C$61, 3, FALSE)</f>
        <v>Apparel</v>
      </c>
      <c r="O1008" t="str">
        <f>VLOOKUP(C1008, Customers!A$2:E$301, 5, FALSE)</f>
        <v>Retail</v>
      </c>
      <c r="P1008">
        <f>VLOOKUP(C1008, Customers!A$2:C$301, 3, FALSE)</f>
        <v>34</v>
      </c>
      <c r="Q1008" t="str">
        <f>VLOOKUP(E1008, Sales_Reps!A$2:C$31, 3, FALSE)</f>
        <v>North</v>
      </c>
      <c r="R1008">
        <f>VLOOKUP(D1008, Products!A$2:D$61, 4, FALSE)</f>
        <v>2611</v>
      </c>
    </row>
    <row r="1009" spans="1:18" x14ac:dyDescent="0.3">
      <c r="A1009" s="13" t="s">
        <v>1490</v>
      </c>
      <c r="B1009" s="14">
        <v>45405</v>
      </c>
      <c r="C1009" s="13" t="s">
        <v>206</v>
      </c>
      <c r="D1009" s="13" t="s">
        <v>173</v>
      </c>
      <c r="E1009" s="13" t="s">
        <v>303</v>
      </c>
      <c r="F1009" s="15">
        <v>3</v>
      </c>
      <c r="G1009" s="15">
        <v>2720</v>
      </c>
      <c r="H1009" s="15">
        <v>3.6</v>
      </c>
      <c r="I1009" s="15">
        <v>7866.24</v>
      </c>
      <c r="J1009" s="13" t="s">
        <v>87</v>
      </c>
      <c r="K1009" s="13" t="s">
        <v>133</v>
      </c>
      <c r="L1009">
        <f>IF(COUNTIF(A$2:A1009, A1009)=1, IF(COUNTIF(A$2:A$2001, A1009)&gt;1, 1, 0), 0)</f>
        <v>0</v>
      </c>
      <c r="M1009" t="b">
        <f>VLOOKUP(D1009, Products!A$2:F$61, 6, FALSE)</f>
        <v>1</v>
      </c>
      <c r="N1009" t="str">
        <f>VLOOKUP(D1009, Products!A$2:C$61, 3, FALSE)</f>
        <v>Apparel</v>
      </c>
      <c r="O1009" t="str">
        <f>VLOOKUP(C1009, Customers!A$2:E$301, 5, FALSE)</f>
        <v>SMB</v>
      </c>
      <c r="P1009">
        <f>VLOOKUP(C1009, Customers!A$2:C$301, 3, FALSE)</f>
        <v>40</v>
      </c>
      <c r="Q1009" t="str">
        <f>VLOOKUP(E1009, Sales_Reps!A$2:C$31, 3, FALSE)</f>
        <v>East</v>
      </c>
      <c r="R1009">
        <f>VLOOKUP(D1009, Products!A$2:D$61, 4, FALSE)</f>
        <v>1962</v>
      </c>
    </row>
    <row r="1010" spans="1:18" x14ac:dyDescent="0.3">
      <c r="A1010" s="13" t="s">
        <v>1491</v>
      </c>
      <c r="B1010" s="14">
        <v>45630</v>
      </c>
      <c r="C1010" s="13" t="s">
        <v>537</v>
      </c>
      <c r="D1010" s="13" t="s">
        <v>131</v>
      </c>
      <c r="E1010" s="13" t="s">
        <v>107</v>
      </c>
      <c r="F1010" s="15">
        <v>4</v>
      </c>
      <c r="G1010" s="15">
        <v>2270</v>
      </c>
      <c r="H1010" s="15">
        <v>18.399999999999999</v>
      </c>
      <c r="I1010" s="15">
        <v>7409.28</v>
      </c>
      <c r="J1010" s="13" t="s">
        <v>87</v>
      </c>
      <c r="K1010" s="13" t="s">
        <v>133</v>
      </c>
      <c r="L1010">
        <f>IF(COUNTIF(A$2:A1010, A1010)=1, IF(COUNTIF(A$2:A$2001, A1010)&gt;1, 1, 0), 0)</f>
        <v>0</v>
      </c>
      <c r="M1010" t="b">
        <f>VLOOKUP(D1010, Products!A$2:F$61, 6, FALSE)</f>
        <v>1</v>
      </c>
      <c r="N1010" t="str">
        <f>VLOOKUP(D1010, Products!A$2:C$61, 3, FALSE)</f>
        <v>Grocery</v>
      </c>
      <c r="O1010" t="str">
        <f>VLOOKUP(C1010, Customers!A$2:E$301, 5, FALSE)</f>
        <v>SMB</v>
      </c>
      <c r="P1010">
        <f>VLOOKUP(C1010, Customers!A$2:C$301, 3, FALSE)</f>
        <v>48</v>
      </c>
      <c r="Q1010" t="str">
        <f>VLOOKUP(E1010, Sales_Reps!A$2:C$31, 3, FALSE)</f>
        <v>North</v>
      </c>
      <c r="R1010">
        <f>VLOOKUP(D1010, Products!A$2:D$61, 4, FALSE)</f>
        <v>1203</v>
      </c>
    </row>
    <row r="1011" spans="1:18" x14ac:dyDescent="0.3">
      <c r="A1011" s="13" t="s">
        <v>1492</v>
      </c>
      <c r="B1011" s="14">
        <v>45483</v>
      </c>
      <c r="C1011" s="13" t="s">
        <v>1193</v>
      </c>
      <c r="D1011" s="13" t="s">
        <v>267</v>
      </c>
      <c r="E1011" s="13" t="s">
        <v>229</v>
      </c>
      <c r="F1011" s="15">
        <v>5</v>
      </c>
      <c r="G1011" s="15">
        <v>1220</v>
      </c>
      <c r="H1011" s="15">
        <v>13.9</v>
      </c>
      <c r="I1011" s="15">
        <v>5252.1</v>
      </c>
      <c r="J1011" s="13" t="s">
        <v>87</v>
      </c>
      <c r="K1011" s="13" t="s">
        <v>133</v>
      </c>
      <c r="L1011">
        <f>IF(COUNTIF(A$2:A1011, A1011)=1, IF(COUNTIF(A$2:A$2001, A1011)&gt;1, 1, 0), 0)</f>
        <v>0</v>
      </c>
      <c r="M1011" t="b">
        <f>VLOOKUP(D1011, Products!A$2:F$61, 6, FALSE)</f>
        <v>1</v>
      </c>
      <c r="N1011" t="str">
        <f>VLOOKUP(D1011, Products!A$2:C$61, 3, FALSE)</f>
        <v>Electronics</v>
      </c>
      <c r="O1011" t="str">
        <f>VLOOKUP(C1011, Customers!A$2:E$301, 5, FALSE)</f>
        <v>SMB</v>
      </c>
      <c r="P1011">
        <f>VLOOKUP(C1011, Customers!A$2:C$301, 3, FALSE)</f>
        <v>25</v>
      </c>
      <c r="Q1011" t="str">
        <f>VLOOKUP(E1011, Sales_Reps!A$2:C$31, 3, FALSE)</f>
        <v>West</v>
      </c>
      <c r="R1011">
        <f>VLOOKUP(D1011, Products!A$2:D$61, 4, FALSE)</f>
        <v>517</v>
      </c>
    </row>
    <row r="1012" spans="1:18" x14ac:dyDescent="0.3">
      <c r="A1012" s="13" t="s">
        <v>1493</v>
      </c>
      <c r="B1012" s="14">
        <v>45530</v>
      </c>
      <c r="C1012" s="13" t="s">
        <v>299</v>
      </c>
      <c r="D1012" s="13" t="s">
        <v>135</v>
      </c>
      <c r="E1012" s="13" t="s">
        <v>188</v>
      </c>
      <c r="F1012" s="15">
        <v>8</v>
      </c>
      <c r="G1012" s="15">
        <v>2640</v>
      </c>
      <c r="H1012" s="15">
        <v>17.3</v>
      </c>
      <c r="I1012" s="15">
        <v>17466.240000000002</v>
      </c>
      <c r="J1012" s="13" t="s">
        <v>87</v>
      </c>
      <c r="K1012" s="13" t="s">
        <v>133</v>
      </c>
      <c r="L1012">
        <f>IF(COUNTIF(A$2:A1012, A1012)=1, IF(COUNTIF(A$2:A$2001, A1012)&gt;1, 1, 0), 0)</f>
        <v>0</v>
      </c>
      <c r="M1012" t="b">
        <f>VLOOKUP(D1012, Products!A$2:F$61, 6, FALSE)</f>
        <v>1</v>
      </c>
      <c r="N1012" t="str">
        <f>VLOOKUP(D1012, Products!A$2:C$61, 3, FALSE)</f>
        <v>Electronics</v>
      </c>
      <c r="O1012" t="str">
        <f>VLOOKUP(C1012, Customers!A$2:E$301, 5, FALSE)</f>
        <v>Retail</v>
      </c>
      <c r="P1012">
        <f>VLOOKUP(C1012, Customers!A$2:C$301, 3, FALSE)</f>
        <v>29</v>
      </c>
      <c r="Q1012" t="str">
        <f>VLOOKUP(E1012, Sales_Reps!A$2:C$31, 3, FALSE)</f>
        <v>South</v>
      </c>
      <c r="R1012">
        <f>VLOOKUP(D1012, Products!A$2:D$61, 4, FALSE)</f>
        <v>1149</v>
      </c>
    </row>
    <row r="1013" spans="1:18" x14ac:dyDescent="0.3">
      <c r="A1013" s="13" t="s">
        <v>1494</v>
      </c>
      <c r="B1013" s="14">
        <v>45500</v>
      </c>
      <c r="C1013" s="13" t="s">
        <v>376</v>
      </c>
      <c r="D1013" s="13" t="s">
        <v>127</v>
      </c>
      <c r="E1013" s="13" t="s">
        <v>188</v>
      </c>
      <c r="F1013" s="15">
        <v>1</v>
      </c>
      <c r="G1013" s="15">
        <v>970</v>
      </c>
      <c r="H1013" s="15">
        <v>28</v>
      </c>
      <c r="I1013" s="15">
        <v>698.4</v>
      </c>
      <c r="J1013" s="13" t="s">
        <v>140</v>
      </c>
      <c r="K1013" s="13" t="s">
        <v>117</v>
      </c>
      <c r="L1013">
        <f>IF(COUNTIF(A$2:A1013, A1013)=1, IF(COUNTIF(A$2:A$2001, A1013)&gt;1, 1, 0), 0)</f>
        <v>0</v>
      </c>
      <c r="M1013" t="b">
        <f>VLOOKUP(D1013, Products!A$2:F$61, 6, FALSE)</f>
        <v>1</v>
      </c>
      <c r="N1013" t="str">
        <f>VLOOKUP(D1013, Products!A$2:C$61, 3, FALSE)</f>
        <v>Grocery</v>
      </c>
      <c r="O1013" t="str">
        <f>VLOOKUP(C1013, Customers!A$2:E$301, 5, FALSE)</f>
        <v>SMB</v>
      </c>
      <c r="P1013">
        <f>VLOOKUP(C1013, Customers!A$2:C$301, 3, FALSE)</f>
        <v>44</v>
      </c>
      <c r="Q1013" t="str">
        <f>VLOOKUP(E1013, Sales_Reps!A$2:C$31, 3, FALSE)</f>
        <v>South</v>
      </c>
      <c r="R1013">
        <f>VLOOKUP(D1013, Products!A$2:D$61, 4, FALSE)</f>
        <v>434</v>
      </c>
    </row>
    <row r="1014" spans="1:18" x14ac:dyDescent="0.3">
      <c r="A1014" s="13" t="s">
        <v>1495</v>
      </c>
      <c r="B1014" s="14">
        <v>45358</v>
      </c>
      <c r="C1014" s="13" t="s">
        <v>275</v>
      </c>
      <c r="D1014" s="13" t="s">
        <v>226</v>
      </c>
      <c r="E1014" s="13" t="s">
        <v>111</v>
      </c>
      <c r="F1014" s="15">
        <v>8</v>
      </c>
      <c r="G1014" s="15">
        <v>3730</v>
      </c>
      <c r="H1014" s="15">
        <v>2.1</v>
      </c>
      <c r="I1014" s="15">
        <v>29213.360000000001</v>
      </c>
      <c r="J1014" s="13" t="s">
        <v>144</v>
      </c>
      <c r="K1014" s="13" t="s">
        <v>88</v>
      </c>
      <c r="L1014">
        <f>IF(COUNTIF(A$2:A1014, A1014)=1, IF(COUNTIF(A$2:A$2001, A1014)&gt;1, 1, 0), 0)</f>
        <v>0</v>
      </c>
      <c r="M1014" t="b">
        <f>VLOOKUP(D1014, Products!A$2:F$61, 6, FALSE)</f>
        <v>1</v>
      </c>
      <c r="N1014" t="str">
        <f>VLOOKUP(D1014, Products!A$2:C$61, 3, FALSE)</f>
        <v>Home</v>
      </c>
      <c r="O1014" t="str">
        <f>VLOOKUP(C1014, Customers!A$2:E$301, 5, FALSE)</f>
        <v>Retail</v>
      </c>
      <c r="P1014">
        <f>VLOOKUP(C1014, Customers!A$2:C$301, 3, FALSE)</f>
        <v>44</v>
      </c>
      <c r="Q1014" t="str">
        <f>VLOOKUP(E1014, Sales_Reps!A$2:C$31, 3, FALSE)</f>
        <v>West</v>
      </c>
      <c r="R1014">
        <f>VLOOKUP(D1014, Products!A$2:D$61, 4, FALSE)</f>
        <v>2135</v>
      </c>
    </row>
    <row r="1015" spans="1:18" x14ac:dyDescent="0.3">
      <c r="A1015" s="13" t="s">
        <v>1496</v>
      </c>
      <c r="B1015" s="14">
        <v>45598</v>
      </c>
      <c r="C1015" s="13" t="s">
        <v>785</v>
      </c>
      <c r="D1015" s="13" t="s">
        <v>127</v>
      </c>
      <c r="E1015" s="13" t="s">
        <v>116</v>
      </c>
      <c r="F1015" s="15">
        <v>7</v>
      </c>
      <c r="G1015" s="15">
        <v>970</v>
      </c>
      <c r="H1015" s="15">
        <v>25.5</v>
      </c>
      <c r="I1015" s="15">
        <v>5058.55</v>
      </c>
      <c r="J1015" s="13" t="s">
        <v>87</v>
      </c>
      <c r="K1015" s="13" t="s">
        <v>88</v>
      </c>
      <c r="L1015">
        <f>IF(COUNTIF(A$2:A1015, A1015)=1, IF(COUNTIF(A$2:A$2001, A1015)&gt;1, 1, 0), 0)</f>
        <v>0</v>
      </c>
      <c r="M1015" t="b">
        <f>VLOOKUP(D1015, Products!A$2:F$61, 6, FALSE)</f>
        <v>1</v>
      </c>
      <c r="N1015" t="str">
        <f>VLOOKUP(D1015, Products!A$2:C$61, 3, FALSE)</f>
        <v>Grocery</v>
      </c>
      <c r="O1015" t="str">
        <f>VLOOKUP(C1015, Customers!A$2:E$301, 5, FALSE)</f>
        <v>Retail</v>
      </c>
      <c r="P1015">
        <f>VLOOKUP(C1015, Customers!A$2:C$301, 3, FALSE)</f>
        <v>31</v>
      </c>
      <c r="Q1015" t="str">
        <f>VLOOKUP(E1015, Sales_Reps!A$2:C$31, 3, FALSE)</f>
        <v>West</v>
      </c>
      <c r="R1015">
        <f>VLOOKUP(D1015, Products!A$2:D$61, 4, FALSE)</f>
        <v>434</v>
      </c>
    </row>
    <row r="1016" spans="1:18" x14ac:dyDescent="0.3">
      <c r="A1016" s="13" t="s">
        <v>1497</v>
      </c>
      <c r="B1016" s="14">
        <v>45318</v>
      </c>
      <c r="C1016" s="13" t="s">
        <v>359</v>
      </c>
      <c r="D1016" s="13" t="s">
        <v>187</v>
      </c>
      <c r="E1016" s="13" t="s">
        <v>285</v>
      </c>
      <c r="F1016" s="15">
        <v>6</v>
      </c>
      <c r="G1016" s="15">
        <v>3570</v>
      </c>
      <c r="H1016" s="15">
        <v>9.9</v>
      </c>
      <c r="I1016" s="15">
        <v>19299.419999999998</v>
      </c>
      <c r="J1016" s="13" t="s">
        <v>87</v>
      </c>
      <c r="K1016" s="13" t="s">
        <v>99</v>
      </c>
      <c r="L1016">
        <f>IF(COUNTIF(A$2:A1016, A1016)=1, IF(COUNTIF(A$2:A$2001, A1016)&gt;1, 1, 0), 0)</f>
        <v>0</v>
      </c>
      <c r="M1016" t="b">
        <f>VLOOKUP(D1016, Products!A$2:F$61, 6, FALSE)</f>
        <v>1</v>
      </c>
      <c r="N1016" t="str">
        <f>VLOOKUP(D1016, Products!A$2:C$61, 3, FALSE)</f>
        <v>Electronics</v>
      </c>
      <c r="O1016" t="str">
        <f>VLOOKUP(C1016, Customers!A$2:E$301, 5, FALSE)</f>
        <v>SMB</v>
      </c>
      <c r="P1016">
        <f>VLOOKUP(C1016, Customers!A$2:C$301, 3, FALSE)</f>
        <v>28</v>
      </c>
      <c r="Q1016" t="str">
        <f>VLOOKUP(E1016, Sales_Reps!A$2:C$31, 3, FALSE)</f>
        <v>East</v>
      </c>
      <c r="R1016">
        <f>VLOOKUP(D1016, Products!A$2:D$61, 4, FALSE)</f>
        <v>1665</v>
      </c>
    </row>
    <row r="1017" spans="1:18" x14ac:dyDescent="0.3">
      <c r="A1017" s="13" t="s">
        <v>1498</v>
      </c>
      <c r="B1017" s="14">
        <v>45524</v>
      </c>
      <c r="C1017" s="13" t="s">
        <v>1499</v>
      </c>
      <c r="D1017" s="13" t="s">
        <v>127</v>
      </c>
      <c r="E1017" s="13" t="s">
        <v>346</v>
      </c>
      <c r="F1017" s="15">
        <v>6</v>
      </c>
      <c r="G1017" s="15">
        <v>970</v>
      </c>
      <c r="H1017" s="15">
        <v>19.600000000000001</v>
      </c>
      <c r="I1017" s="15">
        <v>4679.28</v>
      </c>
      <c r="J1017" s="13" t="s">
        <v>87</v>
      </c>
      <c r="K1017" s="13" t="s">
        <v>94</v>
      </c>
      <c r="L1017">
        <f>IF(COUNTIF(A$2:A1017, A1017)=1, IF(COUNTIF(A$2:A$2001, A1017)&gt;1, 1, 0), 0)</f>
        <v>0</v>
      </c>
      <c r="M1017" t="b">
        <f>VLOOKUP(D1017, Products!A$2:F$61, 6, FALSE)</f>
        <v>1</v>
      </c>
      <c r="N1017" t="str">
        <f>VLOOKUP(D1017, Products!A$2:C$61, 3, FALSE)</f>
        <v>Grocery</v>
      </c>
      <c r="O1017" t="str">
        <f>VLOOKUP(C1017, Customers!A$2:E$301, 5, FALSE)</f>
        <v>Retail</v>
      </c>
      <c r="P1017">
        <f>VLOOKUP(C1017, Customers!A$2:C$301, 3, FALSE)</f>
        <v>26</v>
      </c>
      <c r="Q1017" t="str">
        <f>VLOOKUP(E1017, Sales_Reps!A$2:C$31, 3, FALSE)</f>
        <v>South</v>
      </c>
      <c r="R1017">
        <f>VLOOKUP(D1017, Products!A$2:D$61, 4, FALSE)</f>
        <v>434</v>
      </c>
    </row>
    <row r="1018" spans="1:18" x14ac:dyDescent="0.3">
      <c r="A1018" s="13" t="s">
        <v>1500</v>
      </c>
      <c r="B1018" s="14">
        <v>45554</v>
      </c>
      <c r="C1018" s="13" t="s">
        <v>219</v>
      </c>
      <c r="D1018" s="13" t="s">
        <v>461</v>
      </c>
      <c r="E1018" s="13" t="s">
        <v>273</v>
      </c>
      <c r="F1018" s="15">
        <v>8</v>
      </c>
      <c r="G1018" s="15">
        <v>3780</v>
      </c>
      <c r="H1018" s="15">
        <v>26.5</v>
      </c>
      <c r="I1018" s="15">
        <v>22226.400000000001</v>
      </c>
      <c r="J1018" s="13" t="s">
        <v>87</v>
      </c>
      <c r="K1018" s="13" t="s">
        <v>99</v>
      </c>
      <c r="L1018">
        <f>IF(COUNTIF(A$2:A1018, A1018)=1, IF(COUNTIF(A$2:A$2001, A1018)&gt;1, 1, 0), 0)</f>
        <v>0</v>
      </c>
      <c r="M1018" t="b">
        <f>VLOOKUP(D1018, Products!A$2:F$61, 6, FALSE)</f>
        <v>1</v>
      </c>
      <c r="N1018" t="str">
        <f>VLOOKUP(D1018, Products!A$2:C$61, 3, FALSE)</f>
        <v>Sports</v>
      </c>
      <c r="O1018" t="str">
        <f>VLOOKUP(C1018, Customers!A$2:E$301, 5, FALSE)</f>
        <v>SMB</v>
      </c>
      <c r="P1018">
        <f>VLOOKUP(C1018, Customers!A$2:C$301, 3, FALSE)</f>
        <v>50</v>
      </c>
      <c r="Q1018" t="str">
        <f>VLOOKUP(E1018, Sales_Reps!A$2:C$31, 3, FALSE)</f>
        <v>South</v>
      </c>
      <c r="R1018">
        <f>VLOOKUP(D1018, Products!A$2:D$61, 4, FALSE)</f>
        <v>1860</v>
      </c>
    </row>
    <row r="1019" spans="1:18" x14ac:dyDescent="0.3">
      <c r="A1019" s="13" t="s">
        <v>1501</v>
      </c>
      <c r="B1019" s="14">
        <v>45528</v>
      </c>
      <c r="C1019" s="13" t="s">
        <v>921</v>
      </c>
      <c r="D1019" s="13" t="s">
        <v>151</v>
      </c>
      <c r="E1019" s="13" t="s">
        <v>273</v>
      </c>
      <c r="F1019" s="15">
        <v>6</v>
      </c>
      <c r="G1019" s="15">
        <v>2400</v>
      </c>
      <c r="H1019" s="15">
        <v>1.4</v>
      </c>
      <c r="I1019" s="15">
        <v>14198.4</v>
      </c>
      <c r="J1019" s="13" t="s">
        <v>87</v>
      </c>
      <c r="K1019" s="13" t="s">
        <v>117</v>
      </c>
      <c r="L1019">
        <f>IF(COUNTIF(A$2:A1019, A1019)=1, IF(COUNTIF(A$2:A$2001, A1019)&gt;1, 1, 0), 0)</f>
        <v>0</v>
      </c>
      <c r="M1019" t="b">
        <f>VLOOKUP(D1019, Products!A$2:F$61, 6, FALSE)</f>
        <v>1</v>
      </c>
      <c r="N1019" t="str">
        <f>VLOOKUP(D1019, Products!A$2:C$61, 3, FALSE)</f>
        <v>Sports</v>
      </c>
      <c r="O1019" t="str">
        <f>VLOOKUP(C1019, Customers!A$2:E$301, 5, FALSE)</f>
        <v>Retail</v>
      </c>
      <c r="P1019">
        <f>VLOOKUP(C1019, Customers!A$2:C$301, 3, FALSE)</f>
        <v>28</v>
      </c>
      <c r="Q1019" t="str">
        <f>VLOOKUP(E1019, Sales_Reps!A$2:C$31, 3, FALSE)</f>
        <v>South</v>
      </c>
      <c r="R1019">
        <f>VLOOKUP(D1019, Products!A$2:D$61, 4, FALSE)</f>
        <v>974</v>
      </c>
    </row>
    <row r="1020" spans="1:18" x14ac:dyDescent="0.3">
      <c r="A1020" s="13" t="s">
        <v>1502</v>
      </c>
      <c r="B1020" s="14">
        <v>45486</v>
      </c>
      <c r="C1020" s="13" t="s">
        <v>357</v>
      </c>
      <c r="D1020" s="13" t="s">
        <v>143</v>
      </c>
      <c r="E1020" s="13" t="s">
        <v>158</v>
      </c>
      <c r="F1020" s="15">
        <v>10</v>
      </c>
      <c r="G1020" s="15">
        <v>3250</v>
      </c>
      <c r="H1020" s="15">
        <v>19.3</v>
      </c>
      <c r="I1020" s="15">
        <v>26227.5</v>
      </c>
      <c r="J1020" s="13" t="s">
        <v>87</v>
      </c>
      <c r="K1020" s="13" t="s">
        <v>99</v>
      </c>
      <c r="L1020">
        <f>IF(COUNTIF(A$2:A1020, A1020)=1, IF(COUNTIF(A$2:A$2001, A1020)&gt;1, 1, 0), 0)</f>
        <v>0</v>
      </c>
      <c r="M1020" t="b">
        <f>VLOOKUP(D1020, Products!A$2:F$61, 6, FALSE)</f>
        <v>1</v>
      </c>
      <c r="N1020" t="str">
        <f>VLOOKUP(D1020, Products!A$2:C$61, 3, FALSE)</f>
        <v>Home</v>
      </c>
      <c r="O1020" t="str">
        <f>VLOOKUP(C1020, Customers!A$2:E$301, 5, FALSE)</f>
        <v>SMB</v>
      </c>
      <c r="P1020">
        <f>VLOOKUP(C1020, Customers!A$2:C$301, 3, FALSE)</f>
        <v>38</v>
      </c>
      <c r="Q1020" t="str">
        <f>VLOOKUP(E1020, Sales_Reps!A$2:C$31, 3, FALSE)</f>
        <v>East</v>
      </c>
      <c r="R1020">
        <f>VLOOKUP(D1020, Products!A$2:D$61, 4, FALSE)</f>
        <v>1556</v>
      </c>
    </row>
    <row r="1021" spans="1:18" x14ac:dyDescent="0.3">
      <c r="A1021" s="13" t="s">
        <v>1503</v>
      </c>
      <c r="B1021" s="14">
        <v>45336</v>
      </c>
      <c r="C1021" s="13" t="s">
        <v>388</v>
      </c>
      <c r="D1021" s="13" t="s">
        <v>200</v>
      </c>
      <c r="E1021" s="13" t="s">
        <v>98</v>
      </c>
      <c r="F1021" s="15">
        <v>7</v>
      </c>
      <c r="G1021" s="15">
        <v>2760</v>
      </c>
      <c r="H1021" s="15">
        <v>23.6</v>
      </c>
      <c r="I1021" s="15">
        <v>14760.48</v>
      </c>
      <c r="J1021" s="13" t="s">
        <v>93</v>
      </c>
      <c r="K1021" s="13" t="s">
        <v>133</v>
      </c>
      <c r="L1021">
        <f>IF(COUNTIF(A$2:A1021, A1021)=1, IF(COUNTIF(A$2:A$2001, A1021)&gt;1, 1, 0), 0)</f>
        <v>0</v>
      </c>
      <c r="M1021" t="b">
        <f>VLOOKUP(D1021, Products!A$2:F$61, 6, FALSE)</f>
        <v>1</v>
      </c>
      <c r="N1021" t="str">
        <f>VLOOKUP(D1021, Products!A$2:C$61, 3, FALSE)</f>
        <v>Grocery</v>
      </c>
      <c r="O1021" t="str">
        <f>VLOOKUP(C1021, Customers!A$2:E$301, 5, FALSE)</f>
        <v>Retail</v>
      </c>
      <c r="P1021">
        <f>VLOOKUP(C1021, Customers!A$2:C$301, 3, FALSE)</f>
        <v>44</v>
      </c>
      <c r="Q1021" t="str">
        <f>VLOOKUP(E1021, Sales_Reps!A$2:C$31, 3, FALSE)</f>
        <v>South</v>
      </c>
      <c r="R1021">
        <f>VLOOKUP(D1021, Products!A$2:D$61, 4, FALSE)</f>
        <v>1435</v>
      </c>
    </row>
    <row r="1022" spans="1:18" x14ac:dyDescent="0.3">
      <c r="A1022" s="13" t="s">
        <v>1504</v>
      </c>
      <c r="B1022" s="14">
        <v>45463</v>
      </c>
      <c r="C1022" s="13" t="s">
        <v>231</v>
      </c>
      <c r="D1022" s="13" t="s">
        <v>187</v>
      </c>
      <c r="E1022" s="13" t="s">
        <v>215</v>
      </c>
      <c r="F1022" s="15">
        <v>3</v>
      </c>
      <c r="G1022" s="15">
        <v>3570</v>
      </c>
      <c r="H1022" s="15">
        <v>26.3</v>
      </c>
      <c r="I1022" s="15">
        <v>7893.27</v>
      </c>
      <c r="J1022" s="13" t="s">
        <v>87</v>
      </c>
      <c r="K1022" s="13" t="s">
        <v>117</v>
      </c>
      <c r="L1022">
        <f>IF(COUNTIF(A$2:A1022, A1022)=1, IF(COUNTIF(A$2:A$2001, A1022)&gt;1, 1, 0), 0)</f>
        <v>0</v>
      </c>
      <c r="M1022" t="b">
        <f>VLOOKUP(D1022, Products!A$2:F$61, 6, FALSE)</f>
        <v>1</v>
      </c>
      <c r="N1022" t="str">
        <f>VLOOKUP(D1022, Products!A$2:C$61, 3, FALSE)</f>
        <v>Electronics</v>
      </c>
      <c r="O1022" t="str">
        <f>VLOOKUP(C1022, Customers!A$2:E$301, 5, FALSE)</f>
        <v>SMB</v>
      </c>
      <c r="P1022">
        <f>VLOOKUP(C1022, Customers!A$2:C$301, 3, FALSE)</f>
        <v>64</v>
      </c>
      <c r="Q1022" t="str">
        <f>VLOOKUP(E1022, Sales_Reps!A$2:C$31, 3, FALSE)</f>
        <v>North</v>
      </c>
      <c r="R1022">
        <f>VLOOKUP(D1022, Products!A$2:D$61, 4, FALSE)</f>
        <v>1665</v>
      </c>
    </row>
    <row r="1023" spans="1:18" x14ac:dyDescent="0.3">
      <c r="A1023" s="13" t="s">
        <v>1505</v>
      </c>
      <c r="B1023" s="14">
        <v>45392</v>
      </c>
      <c r="C1023" s="13" t="s">
        <v>585</v>
      </c>
      <c r="D1023" s="13" t="s">
        <v>234</v>
      </c>
      <c r="E1023" s="13" t="s">
        <v>188</v>
      </c>
      <c r="F1023" s="15">
        <v>4</v>
      </c>
      <c r="G1023" s="15">
        <v>3780</v>
      </c>
      <c r="H1023" s="15">
        <v>10.1</v>
      </c>
      <c r="I1023" s="15">
        <v>13592.88</v>
      </c>
      <c r="J1023" s="13" t="s">
        <v>87</v>
      </c>
      <c r="K1023" s="13" t="s">
        <v>94</v>
      </c>
      <c r="L1023">
        <f>IF(COUNTIF(A$2:A1023, A1023)=1, IF(COUNTIF(A$2:A$2001, A1023)&gt;1, 1, 0), 0)</f>
        <v>0</v>
      </c>
      <c r="M1023" t="b">
        <f>VLOOKUP(D1023, Products!A$2:F$61, 6, FALSE)</f>
        <v>1</v>
      </c>
      <c r="N1023" t="str">
        <f>VLOOKUP(D1023, Products!A$2:C$61, 3, FALSE)</f>
        <v>Grocery</v>
      </c>
      <c r="O1023" t="str">
        <f>VLOOKUP(C1023, Customers!A$2:E$301, 5, FALSE)</f>
        <v>Retail</v>
      </c>
      <c r="P1023">
        <f>VLOOKUP(C1023, Customers!A$2:C$301, 3, FALSE)</f>
        <v>26</v>
      </c>
      <c r="Q1023" t="str">
        <f>VLOOKUP(E1023, Sales_Reps!A$2:C$31, 3, FALSE)</f>
        <v>South</v>
      </c>
      <c r="R1023">
        <f>VLOOKUP(D1023, Products!A$2:D$61, 4, FALSE)</f>
        <v>2436</v>
      </c>
    </row>
    <row r="1024" spans="1:18" x14ac:dyDescent="0.3">
      <c r="A1024" s="13" t="s">
        <v>1506</v>
      </c>
      <c r="B1024" s="14">
        <v>45600</v>
      </c>
      <c r="C1024" s="13" t="s">
        <v>602</v>
      </c>
      <c r="D1024" s="13" t="s">
        <v>120</v>
      </c>
      <c r="E1024" s="13" t="s">
        <v>121</v>
      </c>
      <c r="F1024" s="15">
        <v>10</v>
      </c>
      <c r="G1024" s="15">
        <v>1430</v>
      </c>
      <c r="H1024" s="15">
        <v>3.7</v>
      </c>
      <c r="I1024" s="15">
        <v>13770.9</v>
      </c>
      <c r="J1024" s="13" t="s">
        <v>87</v>
      </c>
      <c r="K1024" s="13" t="s">
        <v>94</v>
      </c>
      <c r="L1024">
        <f>IF(COUNTIF(A$2:A1024, A1024)=1, IF(COUNTIF(A$2:A$2001, A1024)&gt;1, 1, 0), 0)</f>
        <v>0</v>
      </c>
      <c r="M1024" t="b">
        <f>VLOOKUP(D1024, Products!A$2:F$61, 6, FALSE)</f>
        <v>1</v>
      </c>
      <c r="N1024" t="str">
        <f>VLOOKUP(D1024, Products!A$2:C$61, 3, FALSE)</f>
        <v>Electronics</v>
      </c>
      <c r="O1024" t="str">
        <f>VLOOKUP(C1024, Customers!A$2:E$301, 5, FALSE)</f>
        <v>Retail</v>
      </c>
      <c r="P1024">
        <f>VLOOKUP(C1024, Customers!A$2:C$301, 3, FALSE)</f>
        <v>61</v>
      </c>
      <c r="Q1024" t="str">
        <f>VLOOKUP(E1024, Sales_Reps!A$2:C$31, 3, FALSE)</f>
        <v>East</v>
      </c>
      <c r="R1024">
        <f>VLOOKUP(D1024, Products!A$2:D$61, 4, FALSE)</f>
        <v>861</v>
      </c>
    </row>
    <row r="1025" spans="1:18" x14ac:dyDescent="0.3">
      <c r="A1025" s="13" t="s">
        <v>1507</v>
      </c>
      <c r="B1025" s="14">
        <v>45411</v>
      </c>
      <c r="C1025" s="13" t="s">
        <v>741</v>
      </c>
      <c r="D1025" s="13" t="s">
        <v>245</v>
      </c>
      <c r="E1025" s="13" t="s">
        <v>273</v>
      </c>
      <c r="F1025" s="15">
        <v>6</v>
      </c>
      <c r="G1025" s="15">
        <v>2270</v>
      </c>
      <c r="H1025" s="15">
        <v>7.9</v>
      </c>
      <c r="I1025" s="15">
        <v>12544.02</v>
      </c>
      <c r="J1025" s="13" t="s">
        <v>144</v>
      </c>
      <c r="K1025" s="13" t="s">
        <v>133</v>
      </c>
      <c r="L1025">
        <f>IF(COUNTIF(A$2:A1025, A1025)=1, IF(COUNTIF(A$2:A$2001, A1025)&gt;1, 1, 0), 0)</f>
        <v>0</v>
      </c>
      <c r="M1025" t="b">
        <f>VLOOKUP(D1025, Products!A$2:F$61, 6, FALSE)</f>
        <v>1</v>
      </c>
      <c r="N1025" t="str">
        <f>VLOOKUP(D1025, Products!A$2:C$61, 3, FALSE)</f>
        <v>Grocery</v>
      </c>
      <c r="O1025" t="str">
        <f>VLOOKUP(C1025, Customers!A$2:E$301, 5, FALSE)</f>
        <v>SMB</v>
      </c>
      <c r="P1025">
        <f>VLOOKUP(C1025, Customers!A$2:C$301, 3, FALSE)</f>
        <v>29</v>
      </c>
      <c r="Q1025" t="str">
        <f>VLOOKUP(E1025, Sales_Reps!A$2:C$31, 3, FALSE)</f>
        <v>South</v>
      </c>
      <c r="R1025">
        <f>VLOOKUP(D1025, Products!A$2:D$61, 4, FALSE)</f>
        <v>1412</v>
      </c>
    </row>
    <row r="1026" spans="1:18" x14ac:dyDescent="0.3">
      <c r="A1026" s="13" t="s">
        <v>1508</v>
      </c>
      <c r="B1026" s="14">
        <v>45406</v>
      </c>
      <c r="C1026" s="13" t="s">
        <v>482</v>
      </c>
      <c r="D1026" s="13" t="s">
        <v>182</v>
      </c>
      <c r="E1026" s="13" t="s">
        <v>252</v>
      </c>
      <c r="F1026" s="15">
        <v>1</v>
      </c>
      <c r="G1026" s="15">
        <v>1010</v>
      </c>
      <c r="H1026" s="15">
        <v>6.9</v>
      </c>
      <c r="I1026" s="15">
        <v>940.31</v>
      </c>
      <c r="J1026" s="13" t="s">
        <v>93</v>
      </c>
      <c r="K1026" s="13" t="s">
        <v>133</v>
      </c>
      <c r="L1026">
        <f>IF(COUNTIF(A$2:A1026, A1026)=1, IF(COUNTIF(A$2:A$2001, A1026)&gt;1, 1, 0), 0)</f>
        <v>0</v>
      </c>
      <c r="M1026" t="b">
        <f>VLOOKUP(D1026, Products!A$2:F$61, 6, FALSE)</f>
        <v>1</v>
      </c>
      <c r="N1026" t="str">
        <f>VLOOKUP(D1026, Products!A$2:C$61, 3, FALSE)</f>
        <v>Sports</v>
      </c>
      <c r="O1026" t="str">
        <f>VLOOKUP(C1026, Customers!A$2:E$301, 5, FALSE)</f>
        <v>Corporate</v>
      </c>
      <c r="P1026">
        <f>VLOOKUP(C1026, Customers!A$2:C$301, 3, FALSE)</f>
        <v>52</v>
      </c>
      <c r="Q1026" t="str">
        <f>VLOOKUP(E1026, Sales_Reps!A$2:C$31, 3, FALSE)</f>
        <v>South</v>
      </c>
      <c r="R1026">
        <f>VLOOKUP(D1026, Products!A$2:D$61, 4, FALSE)</f>
        <v>516</v>
      </c>
    </row>
    <row r="1027" spans="1:18" x14ac:dyDescent="0.3">
      <c r="A1027" s="13" t="s">
        <v>1509</v>
      </c>
      <c r="B1027" s="14">
        <v>45411</v>
      </c>
      <c r="C1027" s="13" t="s">
        <v>175</v>
      </c>
      <c r="D1027" s="13" t="s">
        <v>195</v>
      </c>
      <c r="E1027" s="13" t="s">
        <v>98</v>
      </c>
      <c r="F1027" s="15">
        <v>2</v>
      </c>
      <c r="G1027" s="15">
        <v>2860</v>
      </c>
      <c r="H1027" s="15">
        <v>20.100000000000001</v>
      </c>
      <c r="I1027" s="15">
        <v>4570.28</v>
      </c>
      <c r="J1027" s="13" t="s">
        <v>87</v>
      </c>
      <c r="K1027" s="13" t="s">
        <v>133</v>
      </c>
      <c r="L1027">
        <f>IF(COUNTIF(A$2:A1027, A1027)=1, IF(COUNTIF(A$2:A$2001, A1027)&gt;1, 1, 0), 0)</f>
        <v>0</v>
      </c>
      <c r="M1027" t="b">
        <f>VLOOKUP(D1027, Products!A$2:F$61, 6, FALSE)</f>
        <v>1</v>
      </c>
      <c r="N1027" t="str">
        <f>VLOOKUP(D1027, Products!A$2:C$61, 3, FALSE)</f>
        <v>Sports</v>
      </c>
      <c r="O1027" t="str">
        <f>VLOOKUP(C1027, Customers!A$2:E$301, 5, FALSE)</f>
        <v>SMB</v>
      </c>
      <c r="P1027">
        <f>VLOOKUP(C1027, Customers!A$2:C$301, 3, FALSE)</f>
        <v>40</v>
      </c>
      <c r="Q1027" t="str">
        <f>VLOOKUP(E1027, Sales_Reps!A$2:C$31, 3, FALSE)</f>
        <v>South</v>
      </c>
      <c r="R1027">
        <f>VLOOKUP(D1027, Products!A$2:D$61, 4, FALSE)</f>
        <v>2028</v>
      </c>
    </row>
    <row r="1028" spans="1:18" x14ac:dyDescent="0.3">
      <c r="A1028" s="13" t="s">
        <v>1510</v>
      </c>
      <c r="B1028" s="14">
        <v>45461</v>
      </c>
      <c r="C1028" s="13" t="s">
        <v>886</v>
      </c>
      <c r="D1028" s="13" t="s">
        <v>138</v>
      </c>
      <c r="E1028" s="13" t="s">
        <v>121</v>
      </c>
      <c r="F1028" s="15">
        <v>9</v>
      </c>
      <c r="G1028" s="15">
        <v>2600</v>
      </c>
      <c r="H1028" s="15">
        <v>15.9</v>
      </c>
      <c r="I1028" s="15">
        <v>19679.400000000001</v>
      </c>
      <c r="J1028" s="13" t="s">
        <v>140</v>
      </c>
      <c r="K1028" s="13" t="s">
        <v>94</v>
      </c>
      <c r="L1028">
        <f>IF(COUNTIF(A$2:A1028, A1028)=1, IF(COUNTIF(A$2:A$2001, A1028)&gt;1, 1, 0), 0)</f>
        <v>0</v>
      </c>
      <c r="M1028" t="b">
        <f>VLOOKUP(D1028, Products!A$2:F$61, 6, FALSE)</f>
        <v>1</v>
      </c>
      <c r="N1028" t="str">
        <f>VLOOKUP(D1028, Products!A$2:C$61, 3, FALSE)</f>
        <v>Electronics</v>
      </c>
      <c r="O1028" t="str">
        <f>VLOOKUP(C1028, Customers!A$2:E$301, 5, FALSE)</f>
        <v>Corporate</v>
      </c>
      <c r="P1028">
        <f>VLOOKUP(C1028, Customers!A$2:C$301, 3, FALSE)</f>
        <v>44</v>
      </c>
      <c r="Q1028" t="str">
        <f>VLOOKUP(E1028, Sales_Reps!A$2:C$31, 3, FALSE)</f>
        <v>East</v>
      </c>
      <c r="R1028">
        <f>VLOOKUP(D1028, Products!A$2:D$61, 4, FALSE)</f>
        <v>1052</v>
      </c>
    </row>
    <row r="1029" spans="1:18" x14ac:dyDescent="0.3">
      <c r="A1029" s="13" t="s">
        <v>1511</v>
      </c>
      <c r="B1029" s="14">
        <v>45409</v>
      </c>
      <c r="C1029" s="13" t="s">
        <v>493</v>
      </c>
      <c r="D1029" s="13" t="s">
        <v>97</v>
      </c>
      <c r="E1029" s="13" t="s">
        <v>116</v>
      </c>
      <c r="F1029" s="15">
        <v>10</v>
      </c>
      <c r="G1029" s="15">
        <v>470</v>
      </c>
      <c r="H1029" s="15">
        <v>23.1</v>
      </c>
      <c r="I1029" s="15">
        <v>3614.3</v>
      </c>
      <c r="J1029" s="13" t="s">
        <v>93</v>
      </c>
      <c r="K1029" s="13" t="s">
        <v>88</v>
      </c>
      <c r="L1029">
        <f>IF(COUNTIF(A$2:A1029, A1029)=1, IF(COUNTIF(A$2:A$2001, A1029)&gt;1, 1, 0), 0)</f>
        <v>0</v>
      </c>
      <c r="M1029" t="b">
        <f>VLOOKUP(D1029, Products!A$2:F$61, 6, FALSE)</f>
        <v>0</v>
      </c>
      <c r="N1029" t="str">
        <f>VLOOKUP(D1029, Products!A$2:C$61, 3, FALSE)</f>
        <v>Sports</v>
      </c>
      <c r="O1029" t="str">
        <f>VLOOKUP(C1029, Customers!A$2:E$301, 5, FALSE)</f>
        <v>Retail</v>
      </c>
      <c r="P1029">
        <f>VLOOKUP(C1029, Customers!A$2:C$301, 3, FALSE)</f>
        <v>57</v>
      </c>
      <c r="Q1029" t="str">
        <f>VLOOKUP(E1029, Sales_Reps!A$2:C$31, 3, FALSE)</f>
        <v>West</v>
      </c>
      <c r="R1029">
        <f>VLOOKUP(D1029, Products!A$2:D$61, 4, FALSE)</f>
        <v>302</v>
      </c>
    </row>
    <row r="1030" spans="1:18" x14ac:dyDescent="0.3">
      <c r="A1030" s="13" t="s">
        <v>1512</v>
      </c>
      <c r="B1030" s="14">
        <v>45495</v>
      </c>
      <c r="C1030" s="13" t="s">
        <v>166</v>
      </c>
      <c r="D1030" s="13" t="s">
        <v>203</v>
      </c>
      <c r="E1030" s="13" t="s">
        <v>252</v>
      </c>
      <c r="F1030" s="15">
        <v>10</v>
      </c>
      <c r="G1030" s="15">
        <v>660</v>
      </c>
      <c r="H1030" s="15">
        <v>9.4</v>
      </c>
      <c r="I1030" s="15">
        <v>5979.6</v>
      </c>
      <c r="J1030" s="13" t="s">
        <v>87</v>
      </c>
      <c r="K1030" s="13" t="s">
        <v>133</v>
      </c>
      <c r="L1030">
        <f>IF(COUNTIF(A$2:A1030, A1030)=1, IF(COUNTIF(A$2:A$2001, A1030)&gt;1, 1, 0), 0)</f>
        <v>0</v>
      </c>
      <c r="M1030" t="b">
        <f>VLOOKUP(D1030, Products!A$2:F$61, 6, FALSE)</f>
        <v>1</v>
      </c>
      <c r="N1030" t="str">
        <f>VLOOKUP(D1030, Products!A$2:C$61, 3, FALSE)</f>
        <v>Home</v>
      </c>
      <c r="O1030" t="str">
        <f>VLOOKUP(C1030, Customers!A$2:E$301, 5, FALSE)</f>
        <v>Retail</v>
      </c>
      <c r="P1030">
        <f>VLOOKUP(C1030, Customers!A$2:C$301, 3, FALSE)</f>
        <v>32</v>
      </c>
      <c r="Q1030" t="str">
        <f>VLOOKUP(E1030, Sales_Reps!A$2:C$31, 3, FALSE)</f>
        <v>South</v>
      </c>
      <c r="R1030">
        <f>VLOOKUP(D1030, Products!A$2:D$61, 4, FALSE)</f>
        <v>329</v>
      </c>
    </row>
    <row r="1031" spans="1:18" x14ac:dyDescent="0.3">
      <c r="A1031" s="13" t="s">
        <v>1513</v>
      </c>
      <c r="B1031" s="14">
        <v>45307</v>
      </c>
      <c r="C1031" s="13" t="s">
        <v>479</v>
      </c>
      <c r="D1031" s="13" t="s">
        <v>267</v>
      </c>
      <c r="E1031" s="13" t="s">
        <v>154</v>
      </c>
      <c r="F1031" s="15">
        <v>5</v>
      </c>
      <c r="G1031" s="15">
        <v>1220</v>
      </c>
      <c r="H1031" s="15">
        <v>23.3</v>
      </c>
      <c r="I1031" s="15">
        <v>4678.7</v>
      </c>
      <c r="J1031" s="13" t="s">
        <v>87</v>
      </c>
      <c r="K1031" s="13" t="s">
        <v>88</v>
      </c>
      <c r="L1031">
        <f>IF(COUNTIF(A$2:A1031, A1031)=1, IF(COUNTIF(A$2:A$2001, A1031)&gt;1, 1, 0), 0)</f>
        <v>0</v>
      </c>
      <c r="M1031" t="b">
        <f>VLOOKUP(D1031, Products!A$2:F$61, 6, FALSE)</f>
        <v>1</v>
      </c>
      <c r="N1031" t="str">
        <f>VLOOKUP(D1031, Products!A$2:C$61, 3, FALSE)</f>
        <v>Electronics</v>
      </c>
      <c r="O1031" t="str">
        <f>VLOOKUP(C1031, Customers!A$2:E$301, 5, FALSE)</f>
        <v>SMB</v>
      </c>
      <c r="P1031">
        <f>VLOOKUP(C1031, Customers!A$2:C$301, 3, FALSE)</f>
        <v>49</v>
      </c>
      <c r="Q1031" t="str">
        <f>VLOOKUP(E1031, Sales_Reps!A$2:C$31, 3, FALSE)</f>
        <v>East</v>
      </c>
      <c r="R1031">
        <f>VLOOKUP(D1031, Products!A$2:D$61, 4, FALSE)</f>
        <v>517</v>
      </c>
    </row>
    <row r="1032" spans="1:18" x14ac:dyDescent="0.3">
      <c r="A1032" s="13" t="s">
        <v>1514</v>
      </c>
      <c r="B1032" s="14">
        <v>45294</v>
      </c>
      <c r="C1032" s="13" t="s">
        <v>595</v>
      </c>
      <c r="D1032" s="13" t="s">
        <v>143</v>
      </c>
      <c r="E1032" s="13" t="s">
        <v>273</v>
      </c>
      <c r="F1032" s="15">
        <v>9</v>
      </c>
      <c r="G1032" s="15">
        <v>3250</v>
      </c>
      <c r="H1032" s="15">
        <v>19.600000000000001</v>
      </c>
      <c r="I1032" s="15">
        <v>23517</v>
      </c>
      <c r="J1032" s="13" t="s">
        <v>93</v>
      </c>
      <c r="K1032" s="13" t="s">
        <v>99</v>
      </c>
      <c r="L1032">
        <f>IF(COUNTIF(A$2:A1032, A1032)=1, IF(COUNTIF(A$2:A$2001, A1032)&gt;1, 1, 0), 0)</f>
        <v>0</v>
      </c>
      <c r="M1032" t="b">
        <f>VLOOKUP(D1032, Products!A$2:F$61, 6, FALSE)</f>
        <v>1</v>
      </c>
      <c r="N1032" t="str">
        <f>VLOOKUP(D1032, Products!A$2:C$61, 3, FALSE)</f>
        <v>Home</v>
      </c>
      <c r="O1032" t="str">
        <f>VLOOKUP(C1032, Customers!A$2:E$301, 5, FALSE)</f>
        <v>SMB</v>
      </c>
      <c r="P1032">
        <f>VLOOKUP(C1032, Customers!A$2:C$301, 3, FALSE)</f>
        <v>48</v>
      </c>
      <c r="Q1032" t="str">
        <f>VLOOKUP(E1032, Sales_Reps!A$2:C$31, 3, FALSE)</f>
        <v>South</v>
      </c>
      <c r="R1032">
        <f>VLOOKUP(D1032, Products!A$2:D$61, 4, FALSE)</f>
        <v>1556</v>
      </c>
    </row>
    <row r="1033" spans="1:18" x14ac:dyDescent="0.3">
      <c r="A1033" s="13" t="s">
        <v>1515</v>
      </c>
      <c r="B1033" s="14">
        <v>45542</v>
      </c>
      <c r="C1033" s="13" t="s">
        <v>1191</v>
      </c>
      <c r="D1033" s="13" t="s">
        <v>292</v>
      </c>
      <c r="E1033" s="13" t="s">
        <v>303</v>
      </c>
      <c r="F1033" s="15">
        <v>7</v>
      </c>
      <c r="G1033" s="15">
        <v>620</v>
      </c>
      <c r="H1033" s="15">
        <v>29</v>
      </c>
      <c r="I1033" s="15">
        <v>3081.4</v>
      </c>
      <c r="J1033" s="13" t="s">
        <v>87</v>
      </c>
      <c r="K1033" s="13" t="s">
        <v>117</v>
      </c>
      <c r="L1033">
        <f>IF(COUNTIF(A$2:A1033, A1033)=1, IF(COUNTIF(A$2:A$2001, A1033)&gt;1, 1, 0), 0)</f>
        <v>0</v>
      </c>
      <c r="M1033" t="b">
        <f>VLOOKUP(D1033, Products!A$2:F$61, 6, FALSE)</f>
        <v>1</v>
      </c>
      <c r="N1033" t="str">
        <f>VLOOKUP(D1033, Products!A$2:C$61, 3, FALSE)</f>
        <v>Apparel</v>
      </c>
      <c r="O1033" t="str">
        <f>VLOOKUP(C1033, Customers!A$2:E$301, 5, FALSE)</f>
        <v>Retail</v>
      </c>
      <c r="P1033">
        <f>VLOOKUP(C1033, Customers!A$2:C$301, 3, FALSE)</f>
        <v>36</v>
      </c>
      <c r="Q1033" t="str">
        <f>VLOOKUP(E1033, Sales_Reps!A$2:C$31, 3, FALSE)</f>
        <v>East</v>
      </c>
      <c r="R1033">
        <f>VLOOKUP(D1033, Products!A$2:D$61, 4, FALSE)</f>
        <v>396</v>
      </c>
    </row>
    <row r="1034" spans="1:18" x14ac:dyDescent="0.3">
      <c r="A1034" s="13" t="s">
        <v>1516</v>
      </c>
      <c r="B1034" s="14">
        <v>45453</v>
      </c>
      <c r="C1034" s="13" t="s">
        <v>163</v>
      </c>
      <c r="D1034" s="13" t="s">
        <v>264</v>
      </c>
      <c r="E1034" s="13" t="s">
        <v>103</v>
      </c>
      <c r="F1034" s="15">
        <v>9</v>
      </c>
      <c r="G1034" s="15">
        <v>4070</v>
      </c>
      <c r="H1034" s="15">
        <v>16.2</v>
      </c>
      <c r="I1034" s="15">
        <v>30695.94</v>
      </c>
      <c r="J1034" s="13" t="s">
        <v>87</v>
      </c>
      <c r="K1034" s="13" t="s">
        <v>94</v>
      </c>
      <c r="L1034">
        <f>IF(COUNTIF(A$2:A1034, A1034)=1, IF(COUNTIF(A$2:A$2001, A1034)&gt;1, 1, 0), 0)</f>
        <v>0</v>
      </c>
      <c r="M1034" t="b">
        <f>VLOOKUP(D1034, Products!A$2:F$61, 6, FALSE)</f>
        <v>1</v>
      </c>
      <c r="N1034" t="str">
        <f>VLOOKUP(D1034, Products!A$2:C$61, 3, FALSE)</f>
        <v>Grocery</v>
      </c>
      <c r="O1034" t="str">
        <f>VLOOKUP(C1034, Customers!A$2:E$301, 5, FALSE)</f>
        <v>Retail</v>
      </c>
      <c r="P1034">
        <f>VLOOKUP(C1034, Customers!A$2:C$301, 3, FALSE)</f>
        <v>49</v>
      </c>
      <c r="Q1034" t="str">
        <f>VLOOKUP(E1034, Sales_Reps!A$2:C$31, 3, FALSE)</f>
        <v>North</v>
      </c>
      <c r="R1034">
        <f>VLOOKUP(D1034, Products!A$2:D$61, 4, FALSE)</f>
        <v>2027</v>
      </c>
    </row>
    <row r="1035" spans="1:18" x14ac:dyDescent="0.3">
      <c r="A1035" s="13" t="s">
        <v>1517</v>
      </c>
      <c r="B1035" s="14">
        <v>45351</v>
      </c>
      <c r="C1035" s="13" t="s">
        <v>1000</v>
      </c>
      <c r="D1035" s="13" t="s">
        <v>106</v>
      </c>
      <c r="E1035" s="13" t="s">
        <v>86</v>
      </c>
      <c r="F1035" s="15">
        <v>8</v>
      </c>
      <c r="G1035" s="15">
        <v>3160</v>
      </c>
      <c r="H1035" s="15">
        <v>23.8</v>
      </c>
      <c r="I1035" s="15">
        <v>19263.36</v>
      </c>
      <c r="J1035" s="13" t="s">
        <v>87</v>
      </c>
      <c r="K1035" s="13" t="s">
        <v>117</v>
      </c>
      <c r="L1035">
        <f>IF(COUNTIF(A$2:A1035, A1035)=1, IF(COUNTIF(A$2:A$2001, A1035)&gt;1, 1, 0), 0)</f>
        <v>0</v>
      </c>
      <c r="M1035" t="b">
        <f>VLOOKUP(D1035, Products!A$2:F$61, 6, FALSE)</f>
        <v>1</v>
      </c>
      <c r="N1035" t="str">
        <f>VLOOKUP(D1035, Products!A$2:C$61, 3, FALSE)</f>
        <v>Apparel</v>
      </c>
      <c r="O1035" t="str">
        <f>VLOOKUP(C1035, Customers!A$2:E$301, 5, FALSE)</f>
        <v>Retail</v>
      </c>
      <c r="P1035">
        <f>VLOOKUP(C1035, Customers!A$2:C$301, 3, FALSE)</f>
        <v>27</v>
      </c>
      <c r="Q1035" t="str">
        <f>VLOOKUP(E1035, Sales_Reps!A$2:C$31, 3, FALSE)</f>
        <v>North</v>
      </c>
      <c r="R1035">
        <f>VLOOKUP(D1035, Products!A$2:D$61, 4, FALSE)</f>
        <v>1886</v>
      </c>
    </row>
    <row r="1036" spans="1:18" x14ac:dyDescent="0.3">
      <c r="A1036" s="13" t="s">
        <v>1518</v>
      </c>
      <c r="B1036" s="14">
        <v>45422</v>
      </c>
      <c r="C1036" s="13" t="s">
        <v>105</v>
      </c>
      <c r="D1036" s="13" t="s">
        <v>338</v>
      </c>
      <c r="E1036" s="13" t="s">
        <v>285</v>
      </c>
      <c r="F1036" s="15">
        <v>3</v>
      </c>
      <c r="G1036" s="15">
        <v>2210</v>
      </c>
      <c r="H1036" s="15">
        <v>29.7</v>
      </c>
      <c r="I1036" s="15">
        <v>4660.8900000000003</v>
      </c>
      <c r="J1036" s="13" t="s">
        <v>87</v>
      </c>
      <c r="K1036" s="13" t="s">
        <v>94</v>
      </c>
      <c r="L1036">
        <f>IF(COUNTIF(A$2:A1036, A1036)=1, IF(COUNTIF(A$2:A$2001, A1036)&gt;1, 1, 0), 0)</f>
        <v>0</v>
      </c>
      <c r="M1036" t="b">
        <f>VLOOKUP(D1036, Products!A$2:F$61, 6, FALSE)</f>
        <v>1</v>
      </c>
      <c r="N1036" t="str">
        <f>VLOOKUP(D1036, Products!A$2:C$61, 3, FALSE)</f>
        <v>Grocery</v>
      </c>
      <c r="O1036" t="str">
        <f>VLOOKUP(C1036, Customers!A$2:E$301, 5, FALSE)</f>
        <v>Retail</v>
      </c>
      <c r="P1036">
        <f>VLOOKUP(C1036, Customers!A$2:C$301, 3, FALSE)</f>
        <v>36</v>
      </c>
      <c r="Q1036" t="str">
        <f>VLOOKUP(E1036, Sales_Reps!A$2:C$31, 3, FALSE)</f>
        <v>East</v>
      </c>
      <c r="R1036">
        <f>VLOOKUP(D1036, Products!A$2:D$61, 4, FALSE)</f>
        <v>1010</v>
      </c>
    </row>
    <row r="1037" spans="1:18" x14ac:dyDescent="0.3">
      <c r="A1037" s="13" t="s">
        <v>1519</v>
      </c>
      <c r="B1037" s="14">
        <v>45361</v>
      </c>
      <c r="C1037" s="13" t="s">
        <v>602</v>
      </c>
      <c r="D1037" s="13" t="s">
        <v>97</v>
      </c>
      <c r="E1037" s="13" t="s">
        <v>111</v>
      </c>
      <c r="F1037" s="15">
        <v>9</v>
      </c>
      <c r="G1037" s="15">
        <v>470</v>
      </c>
      <c r="H1037" s="15">
        <v>27.1</v>
      </c>
      <c r="I1037" s="15">
        <v>3083.67</v>
      </c>
      <c r="J1037" s="13" t="s">
        <v>87</v>
      </c>
      <c r="K1037" s="13" t="s">
        <v>94</v>
      </c>
      <c r="L1037">
        <f>IF(COUNTIF(A$2:A1037, A1037)=1, IF(COUNTIF(A$2:A$2001, A1037)&gt;1, 1, 0), 0)</f>
        <v>0</v>
      </c>
      <c r="M1037" t="b">
        <f>VLOOKUP(D1037, Products!A$2:F$61, 6, FALSE)</f>
        <v>0</v>
      </c>
      <c r="N1037" t="str">
        <f>VLOOKUP(D1037, Products!A$2:C$61, 3, FALSE)</f>
        <v>Sports</v>
      </c>
      <c r="O1037" t="str">
        <f>VLOOKUP(C1037, Customers!A$2:E$301, 5, FALSE)</f>
        <v>Retail</v>
      </c>
      <c r="P1037">
        <f>VLOOKUP(C1037, Customers!A$2:C$301, 3, FALSE)</f>
        <v>61</v>
      </c>
      <c r="Q1037" t="str">
        <f>VLOOKUP(E1037, Sales_Reps!A$2:C$31, 3, FALSE)</f>
        <v>West</v>
      </c>
      <c r="R1037">
        <f>VLOOKUP(D1037, Products!A$2:D$61, 4, FALSE)</f>
        <v>302</v>
      </c>
    </row>
    <row r="1038" spans="1:18" x14ac:dyDescent="0.3">
      <c r="A1038" s="13" t="s">
        <v>1520</v>
      </c>
      <c r="B1038" s="14">
        <v>45622</v>
      </c>
      <c r="C1038" s="13" t="s">
        <v>289</v>
      </c>
      <c r="D1038" s="13" t="s">
        <v>110</v>
      </c>
      <c r="E1038" s="13" t="s">
        <v>192</v>
      </c>
      <c r="F1038" s="15">
        <v>6</v>
      </c>
      <c r="G1038" s="15">
        <v>370</v>
      </c>
      <c r="H1038" s="15">
        <v>5.4</v>
      </c>
      <c r="I1038" s="15">
        <v>2100.12</v>
      </c>
      <c r="J1038" s="13" t="s">
        <v>87</v>
      </c>
      <c r="K1038" s="13" t="s">
        <v>94</v>
      </c>
      <c r="L1038">
        <f>IF(COUNTIF(A$2:A1038, A1038)=1, IF(COUNTIF(A$2:A$2001, A1038)&gt;1, 1, 0), 0)</f>
        <v>0</v>
      </c>
      <c r="M1038" t="b">
        <f>VLOOKUP(D1038, Products!A$2:F$61, 6, FALSE)</f>
        <v>1</v>
      </c>
      <c r="N1038" t="str">
        <f>VLOOKUP(D1038, Products!A$2:C$61, 3, FALSE)</f>
        <v>Home</v>
      </c>
      <c r="O1038" t="str">
        <f>VLOOKUP(C1038, Customers!A$2:E$301, 5, FALSE)</f>
        <v>Retail</v>
      </c>
      <c r="P1038">
        <f>VLOOKUP(C1038, Customers!A$2:C$301, 3, FALSE)</f>
        <v>38</v>
      </c>
      <c r="Q1038" t="str">
        <f>VLOOKUP(E1038, Sales_Reps!A$2:C$31, 3, FALSE)</f>
        <v>East</v>
      </c>
      <c r="R1038">
        <f>VLOOKUP(D1038, Products!A$2:D$61, 4, FALSE)</f>
        <v>288</v>
      </c>
    </row>
    <row r="1039" spans="1:18" x14ac:dyDescent="0.3">
      <c r="A1039" s="13" t="s">
        <v>1521</v>
      </c>
      <c r="B1039" s="14">
        <v>45496</v>
      </c>
      <c r="C1039" s="13" t="s">
        <v>613</v>
      </c>
      <c r="D1039" s="13" t="s">
        <v>461</v>
      </c>
      <c r="E1039" s="13" t="s">
        <v>303</v>
      </c>
      <c r="F1039" s="15">
        <v>10</v>
      </c>
      <c r="G1039" s="15">
        <v>3780</v>
      </c>
      <c r="H1039" s="15">
        <v>21.5</v>
      </c>
      <c r="I1039" s="15">
        <v>29673</v>
      </c>
      <c r="J1039" s="13" t="s">
        <v>93</v>
      </c>
      <c r="K1039" s="13" t="s">
        <v>112</v>
      </c>
      <c r="L1039">
        <f>IF(COUNTIF(A$2:A1039, A1039)=1, IF(COUNTIF(A$2:A$2001, A1039)&gt;1, 1, 0), 0)</f>
        <v>0</v>
      </c>
      <c r="M1039" t="b">
        <f>VLOOKUP(D1039, Products!A$2:F$61, 6, FALSE)</f>
        <v>1</v>
      </c>
      <c r="N1039" t="str">
        <f>VLOOKUP(D1039, Products!A$2:C$61, 3, FALSE)</f>
        <v>Sports</v>
      </c>
      <c r="O1039" t="str">
        <f>VLOOKUP(C1039, Customers!A$2:E$301, 5, FALSE)</f>
        <v>Retail</v>
      </c>
      <c r="P1039">
        <f>VLOOKUP(C1039, Customers!A$2:C$301, 3, FALSE)</f>
        <v>44</v>
      </c>
      <c r="Q1039" t="str">
        <f>VLOOKUP(E1039, Sales_Reps!A$2:C$31, 3, FALSE)</f>
        <v>East</v>
      </c>
      <c r="R1039">
        <f>VLOOKUP(D1039, Products!A$2:D$61, 4, FALSE)</f>
        <v>1860</v>
      </c>
    </row>
    <row r="1040" spans="1:18" x14ac:dyDescent="0.3">
      <c r="A1040" s="13" t="s">
        <v>1522</v>
      </c>
      <c r="B1040" s="14">
        <v>45578</v>
      </c>
      <c r="C1040" s="13" t="s">
        <v>490</v>
      </c>
      <c r="D1040" s="13" t="s">
        <v>515</v>
      </c>
      <c r="E1040" s="13" t="s">
        <v>204</v>
      </c>
      <c r="F1040" s="15">
        <v>4</v>
      </c>
      <c r="G1040" s="15">
        <v>6940</v>
      </c>
      <c r="H1040" s="15">
        <v>3.9</v>
      </c>
      <c r="I1040" s="15">
        <v>26677.360000000001</v>
      </c>
      <c r="J1040" s="13" t="s">
        <v>140</v>
      </c>
      <c r="K1040" s="13" t="s">
        <v>99</v>
      </c>
      <c r="L1040">
        <f>IF(COUNTIF(A$2:A1040, A1040)=1, IF(COUNTIF(A$2:A$2001, A1040)&gt;1, 1, 0), 0)</f>
        <v>0</v>
      </c>
      <c r="M1040" t="b">
        <f>VLOOKUP(D1040, Products!A$2:F$61, 6, FALSE)</f>
        <v>1</v>
      </c>
      <c r="N1040" t="str">
        <f>VLOOKUP(D1040, Products!A$2:C$61, 3, FALSE)</f>
        <v>Sports</v>
      </c>
      <c r="O1040" t="str">
        <f>VLOOKUP(C1040, Customers!A$2:E$301, 5, FALSE)</f>
        <v>Retail</v>
      </c>
      <c r="P1040">
        <f>VLOOKUP(C1040, Customers!A$2:C$301, 3, FALSE)</f>
        <v>59</v>
      </c>
      <c r="Q1040" t="str">
        <f>VLOOKUP(E1040, Sales_Reps!A$2:C$31, 3, FALSE)</f>
        <v>South</v>
      </c>
      <c r="R1040">
        <f>VLOOKUP(D1040, Products!A$2:D$61, 4, FALSE)</f>
        <v>2827</v>
      </c>
    </row>
    <row r="1041" spans="1:18" x14ac:dyDescent="0.3">
      <c r="A1041" s="13" t="s">
        <v>1523</v>
      </c>
      <c r="B1041" s="14">
        <v>45476</v>
      </c>
      <c r="C1041" s="13" t="s">
        <v>533</v>
      </c>
      <c r="D1041" s="13" t="s">
        <v>226</v>
      </c>
      <c r="E1041" s="13" t="s">
        <v>285</v>
      </c>
      <c r="F1041" s="15">
        <v>3</v>
      </c>
      <c r="G1041" s="15">
        <v>3730</v>
      </c>
      <c r="H1041" s="15">
        <v>20.7</v>
      </c>
      <c r="I1041" s="15">
        <v>8873.67</v>
      </c>
      <c r="J1041" s="13" t="s">
        <v>87</v>
      </c>
      <c r="K1041" s="13" t="s">
        <v>99</v>
      </c>
      <c r="L1041">
        <f>IF(COUNTIF(A$2:A1041, A1041)=1, IF(COUNTIF(A$2:A$2001, A1041)&gt;1, 1, 0), 0)</f>
        <v>0</v>
      </c>
      <c r="M1041" t="b">
        <f>VLOOKUP(D1041, Products!A$2:F$61, 6, FALSE)</f>
        <v>1</v>
      </c>
      <c r="N1041" t="str">
        <f>VLOOKUP(D1041, Products!A$2:C$61, 3, FALSE)</f>
        <v>Home</v>
      </c>
      <c r="O1041" t="str">
        <f>VLOOKUP(C1041, Customers!A$2:E$301, 5, FALSE)</f>
        <v>SMB</v>
      </c>
      <c r="P1041">
        <f>VLOOKUP(C1041, Customers!A$2:C$301, 3, FALSE)</f>
        <v>48</v>
      </c>
      <c r="Q1041" t="str">
        <f>VLOOKUP(E1041, Sales_Reps!A$2:C$31, 3, FALSE)</f>
        <v>East</v>
      </c>
      <c r="R1041">
        <f>VLOOKUP(D1041, Products!A$2:D$61, 4, FALSE)</f>
        <v>2135</v>
      </c>
    </row>
    <row r="1042" spans="1:18" x14ac:dyDescent="0.3">
      <c r="A1042" s="13" t="s">
        <v>1524</v>
      </c>
      <c r="B1042" s="14">
        <v>45300</v>
      </c>
      <c r="C1042" s="13" t="s">
        <v>1055</v>
      </c>
      <c r="D1042" s="13" t="s">
        <v>443</v>
      </c>
      <c r="E1042" s="13" t="s">
        <v>111</v>
      </c>
      <c r="F1042" s="15">
        <v>8</v>
      </c>
      <c r="G1042" s="15">
        <v>5080</v>
      </c>
      <c r="H1042" s="15">
        <v>6.2</v>
      </c>
      <c r="I1042" s="15">
        <v>38120.32</v>
      </c>
      <c r="J1042" s="13" t="s">
        <v>87</v>
      </c>
      <c r="K1042" s="13" t="s">
        <v>112</v>
      </c>
      <c r="L1042">
        <f>IF(COUNTIF(A$2:A1042, A1042)=1, IF(COUNTIF(A$2:A$2001, A1042)&gt;1, 1, 0), 0)</f>
        <v>0</v>
      </c>
      <c r="M1042" t="b">
        <f>VLOOKUP(D1042, Products!A$2:F$61, 6, FALSE)</f>
        <v>1</v>
      </c>
      <c r="N1042" t="str">
        <f>VLOOKUP(D1042, Products!A$2:C$61, 3, FALSE)</f>
        <v>Home</v>
      </c>
      <c r="O1042" t="str">
        <f>VLOOKUP(C1042, Customers!A$2:E$301, 5, FALSE)</f>
        <v>Retail</v>
      </c>
      <c r="P1042">
        <f>VLOOKUP(C1042, Customers!A$2:C$301, 3, FALSE)</f>
        <v>37</v>
      </c>
      <c r="Q1042" t="str">
        <f>VLOOKUP(E1042, Sales_Reps!A$2:C$31, 3, FALSE)</f>
        <v>West</v>
      </c>
      <c r="R1042">
        <f>VLOOKUP(D1042, Products!A$2:D$61, 4, FALSE)</f>
        <v>2459</v>
      </c>
    </row>
    <row r="1043" spans="1:18" x14ac:dyDescent="0.3">
      <c r="A1043" s="13" t="s">
        <v>1525</v>
      </c>
      <c r="B1043" s="14">
        <v>45455</v>
      </c>
      <c r="C1043" s="13" t="s">
        <v>166</v>
      </c>
      <c r="D1043" s="13" t="s">
        <v>360</v>
      </c>
      <c r="E1043" s="13" t="s">
        <v>215</v>
      </c>
      <c r="F1043" s="15">
        <v>5</v>
      </c>
      <c r="G1043" s="15">
        <v>5410</v>
      </c>
      <c r="H1043" s="15">
        <v>5.2</v>
      </c>
      <c r="I1043" s="15">
        <v>25643.4</v>
      </c>
      <c r="J1043" s="13" t="s">
        <v>87</v>
      </c>
      <c r="K1043" s="13" t="s">
        <v>133</v>
      </c>
      <c r="L1043">
        <f>IF(COUNTIF(A$2:A1043, A1043)=1, IF(COUNTIF(A$2:A$2001, A1043)&gt;1, 1, 0), 0)</f>
        <v>0</v>
      </c>
      <c r="M1043" t="b">
        <f>VLOOKUP(D1043, Products!A$2:F$61, 6, FALSE)</f>
        <v>1</v>
      </c>
      <c r="N1043" t="str">
        <f>VLOOKUP(D1043, Products!A$2:C$61, 3, FALSE)</f>
        <v>Sports</v>
      </c>
      <c r="O1043" t="str">
        <f>VLOOKUP(C1043, Customers!A$2:E$301, 5, FALSE)</f>
        <v>Retail</v>
      </c>
      <c r="P1043">
        <f>VLOOKUP(C1043, Customers!A$2:C$301, 3, FALSE)</f>
        <v>32</v>
      </c>
      <c r="Q1043" t="str">
        <f>VLOOKUP(E1043, Sales_Reps!A$2:C$31, 3, FALSE)</f>
        <v>North</v>
      </c>
      <c r="R1043">
        <f>VLOOKUP(D1043, Products!A$2:D$61, 4, FALSE)</f>
        <v>2265</v>
      </c>
    </row>
    <row r="1044" spans="1:18" x14ac:dyDescent="0.3">
      <c r="A1044" s="13" t="s">
        <v>1526</v>
      </c>
      <c r="B1044" s="14">
        <v>45404</v>
      </c>
      <c r="C1044" s="13" t="s">
        <v>420</v>
      </c>
      <c r="D1044" s="13" t="s">
        <v>173</v>
      </c>
      <c r="E1044" s="13" t="s">
        <v>201</v>
      </c>
      <c r="F1044" s="15">
        <v>6</v>
      </c>
      <c r="G1044" s="15">
        <v>2720</v>
      </c>
      <c r="H1044" s="15">
        <v>29.8</v>
      </c>
      <c r="I1044" s="15">
        <v>11456.64</v>
      </c>
      <c r="J1044" s="13" t="s">
        <v>93</v>
      </c>
      <c r="K1044" s="13" t="s">
        <v>99</v>
      </c>
      <c r="L1044">
        <f>IF(COUNTIF(A$2:A1044, A1044)=1, IF(COUNTIF(A$2:A$2001, A1044)&gt;1, 1, 0), 0)</f>
        <v>0</v>
      </c>
      <c r="M1044" t="b">
        <f>VLOOKUP(D1044, Products!A$2:F$61, 6, FALSE)</f>
        <v>1</v>
      </c>
      <c r="N1044" t="str">
        <f>VLOOKUP(D1044, Products!A$2:C$61, 3, FALSE)</f>
        <v>Apparel</v>
      </c>
      <c r="O1044" t="str">
        <f>VLOOKUP(C1044, Customers!A$2:E$301, 5, FALSE)</f>
        <v>Retail</v>
      </c>
      <c r="P1044">
        <f>VLOOKUP(C1044, Customers!A$2:C$301, 3, FALSE)</f>
        <v>44</v>
      </c>
      <c r="Q1044" t="str">
        <f>VLOOKUP(E1044, Sales_Reps!A$2:C$31, 3, FALSE)</f>
        <v>West</v>
      </c>
      <c r="R1044">
        <f>VLOOKUP(D1044, Products!A$2:D$61, 4, FALSE)</f>
        <v>1962</v>
      </c>
    </row>
    <row r="1045" spans="1:18" x14ac:dyDescent="0.3">
      <c r="A1045" s="13" t="s">
        <v>1527</v>
      </c>
      <c r="B1045" s="14">
        <v>45468</v>
      </c>
      <c r="C1045" s="13" t="s">
        <v>376</v>
      </c>
      <c r="D1045" s="13" t="s">
        <v>267</v>
      </c>
      <c r="E1045" s="13" t="s">
        <v>132</v>
      </c>
      <c r="F1045" s="15">
        <v>1</v>
      </c>
      <c r="G1045" s="15">
        <v>1220</v>
      </c>
      <c r="H1045" s="15">
        <v>22.6</v>
      </c>
      <c r="I1045" s="15">
        <v>944.28</v>
      </c>
      <c r="J1045" s="13" t="s">
        <v>87</v>
      </c>
      <c r="K1045" s="13" t="s">
        <v>117</v>
      </c>
      <c r="L1045">
        <f>IF(COUNTIF(A$2:A1045, A1045)=1, IF(COUNTIF(A$2:A$2001, A1045)&gt;1, 1, 0), 0)</f>
        <v>0</v>
      </c>
      <c r="M1045" t="b">
        <f>VLOOKUP(D1045, Products!A$2:F$61, 6, FALSE)</f>
        <v>1</v>
      </c>
      <c r="N1045" t="str">
        <f>VLOOKUP(D1045, Products!A$2:C$61, 3, FALSE)</f>
        <v>Electronics</v>
      </c>
      <c r="O1045" t="str">
        <f>VLOOKUP(C1045, Customers!A$2:E$301, 5, FALSE)</f>
        <v>SMB</v>
      </c>
      <c r="P1045">
        <f>VLOOKUP(C1045, Customers!A$2:C$301, 3, FALSE)</f>
        <v>44</v>
      </c>
      <c r="Q1045" t="str">
        <f>VLOOKUP(E1045, Sales_Reps!A$2:C$31, 3, FALSE)</f>
        <v>South</v>
      </c>
      <c r="R1045">
        <f>VLOOKUP(D1045, Products!A$2:D$61, 4, FALSE)</f>
        <v>517</v>
      </c>
    </row>
    <row r="1046" spans="1:18" x14ac:dyDescent="0.3">
      <c r="A1046" s="13" t="s">
        <v>1528</v>
      </c>
      <c r="B1046" s="14">
        <v>45640</v>
      </c>
      <c r="C1046" s="13" t="s">
        <v>1529</v>
      </c>
      <c r="D1046" s="13" t="s">
        <v>184</v>
      </c>
      <c r="E1046" s="13" t="s">
        <v>107</v>
      </c>
      <c r="F1046" s="15">
        <v>10</v>
      </c>
      <c r="G1046" s="15">
        <v>4880</v>
      </c>
      <c r="H1046" s="15">
        <v>7.3</v>
      </c>
      <c r="I1046" s="15">
        <v>45237.599999999999</v>
      </c>
      <c r="J1046" s="13" t="s">
        <v>87</v>
      </c>
      <c r="K1046" s="13" t="s">
        <v>94</v>
      </c>
      <c r="L1046">
        <f>IF(COUNTIF(A$2:A1046, A1046)=1, IF(COUNTIF(A$2:A$2001, A1046)&gt;1, 1, 0), 0)</f>
        <v>0</v>
      </c>
      <c r="M1046" t="b">
        <f>VLOOKUP(D1046, Products!A$2:F$61, 6, FALSE)</f>
        <v>1</v>
      </c>
      <c r="N1046" t="str">
        <f>VLOOKUP(D1046, Products!A$2:C$61, 3, FALSE)</f>
        <v>Beauty</v>
      </c>
      <c r="O1046" t="str">
        <f>VLOOKUP(C1046, Customers!A$2:E$301, 5, FALSE)</f>
        <v>Retail</v>
      </c>
      <c r="P1046">
        <f>VLOOKUP(C1046, Customers!A$2:C$301, 3, FALSE)</f>
        <v>31</v>
      </c>
      <c r="Q1046" t="str">
        <f>VLOOKUP(E1046, Sales_Reps!A$2:C$31, 3, FALSE)</f>
        <v>North</v>
      </c>
      <c r="R1046">
        <f>VLOOKUP(D1046, Products!A$2:D$61, 4, FALSE)</f>
        <v>2768</v>
      </c>
    </row>
    <row r="1047" spans="1:18" x14ac:dyDescent="0.3">
      <c r="A1047" s="13" t="s">
        <v>1530</v>
      </c>
      <c r="B1047" s="14">
        <v>45450</v>
      </c>
      <c r="C1047" s="13" t="s">
        <v>872</v>
      </c>
      <c r="D1047" s="13" t="s">
        <v>245</v>
      </c>
      <c r="E1047" s="13" t="s">
        <v>158</v>
      </c>
      <c r="F1047" s="15">
        <v>10</v>
      </c>
      <c r="G1047" s="15">
        <v>2270</v>
      </c>
      <c r="H1047" s="15">
        <v>1.6</v>
      </c>
      <c r="I1047" s="15">
        <v>22336.799999999999</v>
      </c>
      <c r="J1047" s="13" t="s">
        <v>87</v>
      </c>
      <c r="K1047" s="13" t="s">
        <v>112</v>
      </c>
      <c r="L1047">
        <f>IF(COUNTIF(A$2:A1047, A1047)=1, IF(COUNTIF(A$2:A$2001, A1047)&gt;1, 1, 0), 0)</f>
        <v>0</v>
      </c>
      <c r="M1047" t="b">
        <f>VLOOKUP(D1047, Products!A$2:F$61, 6, FALSE)</f>
        <v>1</v>
      </c>
      <c r="N1047" t="str">
        <f>VLOOKUP(D1047, Products!A$2:C$61, 3, FALSE)</f>
        <v>Grocery</v>
      </c>
      <c r="O1047" t="str">
        <f>VLOOKUP(C1047, Customers!A$2:E$301, 5, FALSE)</f>
        <v>Corporate</v>
      </c>
      <c r="P1047">
        <f>VLOOKUP(C1047, Customers!A$2:C$301, 3, FALSE)</f>
        <v>62</v>
      </c>
      <c r="Q1047" t="str">
        <f>VLOOKUP(E1047, Sales_Reps!A$2:C$31, 3, FALSE)</f>
        <v>East</v>
      </c>
      <c r="R1047">
        <f>VLOOKUP(D1047, Products!A$2:D$61, 4, FALSE)</f>
        <v>1412</v>
      </c>
    </row>
    <row r="1048" spans="1:18" x14ac:dyDescent="0.3">
      <c r="A1048" s="13" t="s">
        <v>1531</v>
      </c>
      <c r="B1048" s="14">
        <v>45589</v>
      </c>
      <c r="C1048" s="13" t="s">
        <v>407</v>
      </c>
      <c r="D1048" s="13" t="s">
        <v>127</v>
      </c>
      <c r="E1048" s="13" t="s">
        <v>148</v>
      </c>
      <c r="F1048" s="15">
        <v>8</v>
      </c>
      <c r="G1048" s="15">
        <v>970</v>
      </c>
      <c r="H1048" s="15">
        <v>13.1</v>
      </c>
      <c r="I1048" s="15">
        <v>6743.44</v>
      </c>
      <c r="J1048" s="13" t="s">
        <v>87</v>
      </c>
      <c r="K1048" s="13" t="s">
        <v>88</v>
      </c>
      <c r="L1048">
        <f>IF(COUNTIF(A$2:A1048, A1048)=1, IF(COUNTIF(A$2:A$2001, A1048)&gt;1, 1, 0), 0)</f>
        <v>0</v>
      </c>
      <c r="M1048" t="b">
        <f>VLOOKUP(D1048, Products!A$2:F$61, 6, FALSE)</f>
        <v>1</v>
      </c>
      <c r="N1048" t="str">
        <f>VLOOKUP(D1048, Products!A$2:C$61, 3, FALSE)</f>
        <v>Grocery</v>
      </c>
      <c r="O1048" t="str">
        <f>VLOOKUP(C1048, Customers!A$2:E$301, 5, FALSE)</f>
        <v>SMB</v>
      </c>
      <c r="P1048">
        <f>VLOOKUP(C1048, Customers!A$2:C$301, 3, FALSE)</f>
        <v>53</v>
      </c>
      <c r="Q1048" t="str">
        <f>VLOOKUP(E1048, Sales_Reps!A$2:C$31, 3, FALSE)</f>
        <v>North</v>
      </c>
      <c r="R1048">
        <f>VLOOKUP(D1048, Products!A$2:D$61, 4, FALSE)</f>
        <v>434</v>
      </c>
    </row>
    <row r="1049" spans="1:18" x14ac:dyDescent="0.3">
      <c r="A1049" s="13" t="s">
        <v>1532</v>
      </c>
      <c r="B1049" s="14">
        <v>45646</v>
      </c>
      <c r="C1049" s="13" t="s">
        <v>382</v>
      </c>
      <c r="D1049" s="13" t="s">
        <v>367</v>
      </c>
      <c r="E1049" s="13" t="s">
        <v>325</v>
      </c>
      <c r="F1049" s="15">
        <v>7</v>
      </c>
      <c r="G1049" s="15">
        <v>2380</v>
      </c>
      <c r="H1049" s="15">
        <v>10.6</v>
      </c>
      <c r="I1049" s="15">
        <v>14894.04</v>
      </c>
      <c r="J1049" s="13" t="s">
        <v>140</v>
      </c>
      <c r="K1049" s="13" t="s">
        <v>99</v>
      </c>
      <c r="L1049">
        <f>IF(COUNTIF(A$2:A1049, A1049)=1, IF(COUNTIF(A$2:A$2001, A1049)&gt;1, 1, 0), 0)</f>
        <v>0</v>
      </c>
      <c r="M1049" t="b">
        <f>VLOOKUP(D1049, Products!A$2:F$61, 6, FALSE)</f>
        <v>1</v>
      </c>
      <c r="N1049" t="str">
        <f>VLOOKUP(D1049, Products!A$2:C$61, 3, FALSE)</f>
        <v>Grocery</v>
      </c>
      <c r="O1049" t="str">
        <f>VLOOKUP(C1049, Customers!A$2:E$301, 5, FALSE)</f>
        <v>Corporate</v>
      </c>
      <c r="P1049">
        <f>VLOOKUP(C1049, Customers!A$2:C$301, 3, FALSE)</f>
        <v>27</v>
      </c>
      <c r="Q1049" t="str">
        <f>VLOOKUP(E1049, Sales_Reps!A$2:C$31, 3, FALSE)</f>
        <v>South</v>
      </c>
      <c r="R1049">
        <f>VLOOKUP(D1049, Products!A$2:D$61, 4, FALSE)</f>
        <v>1182</v>
      </c>
    </row>
    <row r="1050" spans="1:18" x14ac:dyDescent="0.3">
      <c r="A1050" s="13" t="s">
        <v>1533</v>
      </c>
      <c r="B1050" s="14">
        <v>45488</v>
      </c>
      <c r="C1050" s="13" t="s">
        <v>1534</v>
      </c>
      <c r="D1050" s="13" t="s">
        <v>85</v>
      </c>
      <c r="E1050" s="13" t="s">
        <v>346</v>
      </c>
      <c r="F1050" s="15">
        <v>6</v>
      </c>
      <c r="G1050" s="15">
        <v>3620</v>
      </c>
      <c r="H1050" s="15">
        <v>21.3</v>
      </c>
      <c r="I1050" s="15">
        <v>17093.64</v>
      </c>
      <c r="J1050" s="13" t="s">
        <v>140</v>
      </c>
      <c r="K1050" s="13" t="s">
        <v>133</v>
      </c>
      <c r="L1050">
        <f>IF(COUNTIF(A$2:A1050, A1050)=1, IF(COUNTIF(A$2:A$2001, A1050)&gt;1, 1, 0), 0)</f>
        <v>0</v>
      </c>
      <c r="M1050" t="b">
        <f>VLOOKUP(D1050, Products!A$2:F$61, 6, FALSE)</f>
        <v>1</v>
      </c>
      <c r="N1050" t="str">
        <f>VLOOKUP(D1050, Products!A$2:C$61, 3, FALSE)</f>
        <v>Apparel</v>
      </c>
      <c r="O1050" t="str">
        <f>VLOOKUP(C1050, Customers!A$2:E$301, 5, FALSE)</f>
        <v>Corporate</v>
      </c>
      <c r="P1050">
        <f>VLOOKUP(C1050, Customers!A$2:C$301, 3, FALSE)</f>
        <v>25</v>
      </c>
      <c r="Q1050" t="str">
        <f>VLOOKUP(E1050, Sales_Reps!A$2:C$31, 3, FALSE)</f>
        <v>South</v>
      </c>
      <c r="R1050">
        <f>VLOOKUP(D1050, Products!A$2:D$61, 4, FALSE)</f>
        <v>2509</v>
      </c>
    </row>
    <row r="1051" spans="1:18" x14ac:dyDescent="0.3">
      <c r="A1051" s="13" t="s">
        <v>1535</v>
      </c>
      <c r="B1051" s="14">
        <v>45555</v>
      </c>
      <c r="C1051" s="13" t="s">
        <v>490</v>
      </c>
      <c r="D1051" s="13" t="s">
        <v>264</v>
      </c>
      <c r="E1051" s="13" t="s">
        <v>343</v>
      </c>
      <c r="F1051" s="15">
        <v>3</v>
      </c>
      <c r="G1051" s="15">
        <v>4070</v>
      </c>
      <c r="H1051" s="15">
        <v>8.1999999999999993</v>
      </c>
      <c r="I1051" s="15">
        <v>11208.78</v>
      </c>
      <c r="J1051" s="13" t="s">
        <v>140</v>
      </c>
      <c r="K1051" s="13" t="s">
        <v>99</v>
      </c>
      <c r="L1051">
        <f>IF(COUNTIF(A$2:A1051, A1051)=1, IF(COUNTIF(A$2:A$2001, A1051)&gt;1, 1, 0), 0)</f>
        <v>0</v>
      </c>
      <c r="M1051" t="b">
        <f>VLOOKUP(D1051, Products!A$2:F$61, 6, FALSE)</f>
        <v>1</v>
      </c>
      <c r="N1051" t="str">
        <f>VLOOKUP(D1051, Products!A$2:C$61, 3, FALSE)</f>
        <v>Grocery</v>
      </c>
      <c r="O1051" t="str">
        <f>VLOOKUP(C1051, Customers!A$2:E$301, 5, FALSE)</f>
        <v>Retail</v>
      </c>
      <c r="P1051">
        <f>VLOOKUP(C1051, Customers!A$2:C$301, 3, FALSE)</f>
        <v>59</v>
      </c>
      <c r="Q1051" t="str">
        <f>VLOOKUP(E1051, Sales_Reps!A$2:C$31, 3, FALSE)</f>
        <v>West</v>
      </c>
      <c r="R1051">
        <f>VLOOKUP(D1051, Products!A$2:D$61, 4, FALSE)</f>
        <v>2027</v>
      </c>
    </row>
    <row r="1052" spans="1:18" x14ac:dyDescent="0.3">
      <c r="A1052" s="13" t="s">
        <v>1536</v>
      </c>
      <c r="B1052" s="14">
        <v>45578</v>
      </c>
      <c r="C1052" s="13" t="s">
        <v>454</v>
      </c>
      <c r="D1052" s="13" t="s">
        <v>191</v>
      </c>
      <c r="E1052" s="13" t="s">
        <v>201</v>
      </c>
      <c r="F1052" s="15">
        <v>8</v>
      </c>
      <c r="G1052" s="15">
        <v>5100</v>
      </c>
      <c r="H1052" s="15">
        <v>26.9</v>
      </c>
      <c r="I1052" s="15">
        <v>29824.799999999999</v>
      </c>
      <c r="J1052" s="13" t="s">
        <v>87</v>
      </c>
      <c r="K1052" s="13" t="s">
        <v>133</v>
      </c>
      <c r="L1052">
        <f>IF(COUNTIF(A$2:A1052, A1052)=1, IF(COUNTIF(A$2:A$2001, A1052)&gt;1, 1, 0), 0)</f>
        <v>0</v>
      </c>
      <c r="M1052" t="b">
        <f>VLOOKUP(D1052, Products!A$2:F$61, 6, FALSE)</f>
        <v>1</v>
      </c>
      <c r="N1052" t="str">
        <f>VLOOKUP(D1052, Products!A$2:C$61, 3, FALSE)</f>
        <v>Beauty</v>
      </c>
      <c r="O1052" t="str">
        <f>VLOOKUP(C1052, Customers!A$2:E$301, 5, FALSE)</f>
        <v>Corporate</v>
      </c>
      <c r="P1052">
        <f>VLOOKUP(C1052, Customers!A$2:C$301, 3, FALSE)</f>
        <v>43</v>
      </c>
      <c r="Q1052" t="str">
        <f>VLOOKUP(E1052, Sales_Reps!A$2:C$31, 3, FALSE)</f>
        <v>West</v>
      </c>
      <c r="R1052">
        <f>VLOOKUP(D1052, Products!A$2:D$61, 4, FALSE)</f>
        <v>2237</v>
      </c>
    </row>
    <row r="1053" spans="1:18" x14ac:dyDescent="0.3">
      <c r="A1053" s="13" t="s">
        <v>1288</v>
      </c>
      <c r="B1053" s="14">
        <v>45296</v>
      </c>
      <c r="C1053" s="13" t="s">
        <v>872</v>
      </c>
      <c r="D1053" s="13" t="s">
        <v>276</v>
      </c>
      <c r="E1053" s="13" t="s">
        <v>238</v>
      </c>
      <c r="F1053" s="15">
        <v>3</v>
      </c>
      <c r="G1053" s="15">
        <v>3020</v>
      </c>
      <c r="H1053" s="15">
        <v>18.5</v>
      </c>
      <c r="I1053" s="15">
        <v>7383.9</v>
      </c>
      <c r="J1053" s="13" t="s">
        <v>140</v>
      </c>
      <c r="K1053" s="13" t="s">
        <v>112</v>
      </c>
      <c r="L1053">
        <f>IF(COUNTIF(A$2:A1053, A1053)=1, IF(COUNTIF(A$2:A$2001, A1053)&gt;1, 1, 0), 0)</f>
        <v>0</v>
      </c>
      <c r="M1053" t="b">
        <f>VLOOKUP(D1053, Products!A$2:F$61, 6, FALSE)</f>
        <v>1</v>
      </c>
      <c r="N1053" t="str">
        <f>VLOOKUP(D1053, Products!A$2:C$61, 3, FALSE)</f>
        <v>Beauty</v>
      </c>
      <c r="O1053" t="str">
        <f>VLOOKUP(C1053, Customers!A$2:E$301, 5, FALSE)</f>
        <v>Corporate</v>
      </c>
      <c r="P1053">
        <f>VLOOKUP(C1053, Customers!A$2:C$301, 3, FALSE)</f>
        <v>62</v>
      </c>
      <c r="Q1053" t="str">
        <f>VLOOKUP(E1053, Sales_Reps!A$2:C$31, 3, FALSE)</f>
        <v>East</v>
      </c>
      <c r="R1053">
        <f>VLOOKUP(D1053, Products!A$2:D$61, 4, FALSE)</f>
        <v>1626</v>
      </c>
    </row>
    <row r="1054" spans="1:18" x14ac:dyDescent="0.3">
      <c r="A1054" s="13" t="s">
        <v>1537</v>
      </c>
      <c r="B1054" s="14">
        <v>45564</v>
      </c>
      <c r="C1054" s="13" t="s">
        <v>1096</v>
      </c>
      <c r="D1054" s="13" t="s">
        <v>380</v>
      </c>
      <c r="E1054" s="13" t="s">
        <v>297</v>
      </c>
      <c r="F1054" s="15">
        <v>8</v>
      </c>
      <c r="G1054" s="15">
        <v>960</v>
      </c>
      <c r="H1054" s="15">
        <v>7.1</v>
      </c>
      <c r="I1054" s="15">
        <v>7134.72</v>
      </c>
      <c r="J1054" s="13" t="s">
        <v>87</v>
      </c>
      <c r="K1054" s="13" t="s">
        <v>88</v>
      </c>
      <c r="L1054">
        <f>IF(COUNTIF(A$2:A1054, A1054)=1, IF(COUNTIF(A$2:A$2001, A1054)&gt;1, 1, 0), 0)</f>
        <v>0</v>
      </c>
      <c r="M1054" t="b">
        <f>VLOOKUP(D1054, Products!A$2:F$61, 6, FALSE)</f>
        <v>1</v>
      </c>
      <c r="N1054" t="str">
        <f>VLOOKUP(D1054, Products!A$2:C$61, 3, FALSE)</f>
        <v>Beauty</v>
      </c>
      <c r="O1054" t="str">
        <f>VLOOKUP(C1054, Customers!A$2:E$301, 5, FALSE)</f>
        <v>Corporate</v>
      </c>
      <c r="P1054">
        <f>VLOOKUP(C1054, Customers!A$2:C$301, 3, FALSE)</f>
        <v>42</v>
      </c>
      <c r="Q1054" t="str">
        <f>VLOOKUP(E1054, Sales_Reps!A$2:C$31, 3, FALSE)</f>
        <v>North</v>
      </c>
      <c r="R1054">
        <f>VLOOKUP(D1054, Products!A$2:D$61, 4, FALSE)</f>
        <v>675</v>
      </c>
    </row>
    <row r="1055" spans="1:18" x14ac:dyDescent="0.3">
      <c r="A1055" s="13" t="s">
        <v>1538</v>
      </c>
      <c r="B1055" s="14">
        <v>45383</v>
      </c>
      <c r="C1055" s="13" t="s">
        <v>602</v>
      </c>
      <c r="D1055" s="13" t="s">
        <v>443</v>
      </c>
      <c r="E1055" s="13" t="s">
        <v>188</v>
      </c>
      <c r="F1055" s="15">
        <v>8</v>
      </c>
      <c r="G1055" s="15">
        <v>5080</v>
      </c>
      <c r="H1055" s="15">
        <v>6.2</v>
      </c>
      <c r="I1055" s="15">
        <v>38120.32</v>
      </c>
      <c r="J1055" s="13" t="s">
        <v>87</v>
      </c>
      <c r="K1055" s="13" t="s">
        <v>94</v>
      </c>
      <c r="L1055">
        <f>IF(COUNTIF(A$2:A1055, A1055)=1, IF(COUNTIF(A$2:A$2001, A1055)&gt;1, 1, 0), 0)</f>
        <v>0</v>
      </c>
      <c r="M1055" t="b">
        <f>VLOOKUP(D1055, Products!A$2:F$61, 6, FALSE)</f>
        <v>1</v>
      </c>
      <c r="N1055" t="str">
        <f>VLOOKUP(D1055, Products!A$2:C$61, 3, FALSE)</f>
        <v>Home</v>
      </c>
      <c r="O1055" t="str">
        <f>VLOOKUP(C1055, Customers!A$2:E$301, 5, FALSE)</f>
        <v>Retail</v>
      </c>
      <c r="P1055">
        <f>VLOOKUP(C1055, Customers!A$2:C$301, 3, FALSE)</f>
        <v>61</v>
      </c>
      <c r="Q1055" t="str">
        <f>VLOOKUP(E1055, Sales_Reps!A$2:C$31, 3, FALSE)</f>
        <v>South</v>
      </c>
      <c r="R1055">
        <f>VLOOKUP(D1055, Products!A$2:D$61, 4, FALSE)</f>
        <v>2459</v>
      </c>
    </row>
    <row r="1056" spans="1:18" x14ac:dyDescent="0.3">
      <c r="A1056" s="13" t="s">
        <v>1539</v>
      </c>
      <c r="B1056" s="14">
        <v>45436</v>
      </c>
      <c r="C1056" s="13" t="s">
        <v>541</v>
      </c>
      <c r="D1056" s="13" t="s">
        <v>241</v>
      </c>
      <c r="E1056" s="13" t="s">
        <v>132</v>
      </c>
      <c r="F1056" s="15">
        <v>6</v>
      </c>
      <c r="G1056" s="15">
        <v>6080</v>
      </c>
      <c r="H1056" s="15">
        <v>25.8</v>
      </c>
      <c r="I1056" s="15">
        <v>27068.16</v>
      </c>
      <c r="J1056" s="13" t="s">
        <v>87</v>
      </c>
      <c r="K1056" s="13" t="s">
        <v>94</v>
      </c>
      <c r="L1056">
        <f>IF(COUNTIF(A$2:A1056, A1056)=1, IF(COUNTIF(A$2:A$2001, A1056)&gt;1, 1, 0), 0)</f>
        <v>0</v>
      </c>
      <c r="M1056" t="b">
        <f>VLOOKUP(D1056, Products!A$2:F$61, 6, FALSE)</f>
        <v>1</v>
      </c>
      <c r="N1056" t="str">
        <f>VLOOKUP(D1056, Products!A$2:C$61, 3, FALSE)</f>
        <v>Beauty</v>
      </c>
      <c r="O1056" t="str">
        <f>VLOOKUP(C1056, Customers!A$2:E$301, 5, FALSE)</f>
        <v>Corporate</v>
      </c>
      <c r="P1056">
        <f>VLOOKUP(C1056, Customers!A$2:C$301, 3, FALSE)</f>
        <v>34</v>
      </c>
      <c r="Q1056" t="str">
        <f>VLOOKUP(E1056, Sales_Reps!A$2:C$31, 3, FALSE)</f>
        <v>South</v>
      </c>
      <c r="R1056">
        <f>VLOOKUP(D1056, Products!A$2:D$61, 4, FALSE)</f>
        <v>2617</v>
      </c>
    </row>
    <row r="1057" spans="1:18" x14ac:dyDescent="0.3">
      <c r="A1057" s="13" t="s">
        <v>1540</v>
      </c>
      <c r="B1057" s="14">
        <v>45544</v>
      </c>
      <c r="C1057" s="13" t="s">
        <v>539</v>
      </c>
      <c r="D1057" s="13" t="s">
        <v>259</v>
      </c>
      <c r="E1057" s="13" t="s">
        <v>132</v>
      </c>
      <c r="F1057" s="15">
        <v>5</v>
      </c>
      <c r="G1057" s="15">
        <v>1540</v>
      </c>
      <c r="H1057" s="15">
        <v>24.6</v>
      </c>
      <c r="I1057" s="15">
        <v>5805.8</v>
      </c>
      <c r="J1057" s="13" t="s">
        <v>87</v>
      </c>
      <c r="K1057" s="13" t="s">
        <v>133</v>
      </c>
      <c r="L1057">
        <f>IF(COUNTIF(A$2:A1057, A1057)=1, IF(COUNTIF(A$2:A$2001, A1057)&gt;1, 1, 0), 0)</f>
        <v>0</v>
      </c>
      <c r="M1057" t="b">
        <f>VLOOKUP(D1057, Products!A$2:F$61, 6, FALSE)</f>
        <v>0</v>
      </c>
      <c r="N1057" t="str">
        <f>VLOOKUP(D1057, Products!A$2:C$61, 3, FALSE)</f>
        <v>Beauty</v>
      </c>
      <c r="O1057" t="str">
        <f>VLOOKUP(C1057, Customers!A$2:E$301, 5, FALSE)</f>
        <v>Retail</v>
      </c>
      <c r="P1057">
        <f>VLOOKUP(C1057, Customers!A$2:C$301, 3, FALSE)</f>
        <v>38</v>
      </c>
      <c r="Q1057" t="str">
        <f>VLOOKUP(E1057, Sales_Reps!A$2:C$31, 3, FALSE)</f>
        <v>South</v>
      </c>
      <c r="R1057">
        <f>VLOOKUP(D1057, Products!A$2:D$61, 4, FALSE)</f>
        <v>647</v>
      </c>
    </row>
    <row r="1058" spans="1:18" x14ac:dyDescent="0.3">
      <c r="A1058" s="13" t="s">
        <v>1541</v>
      </c>
      <c r="B1058" s="14">
        <v>45404</v>
      </c>
      <c r="C1058" s="13" t="s">
        <v>779</v>
      </c>
      <c r="D1058" s="13" t="s">
        <v>182</v>
      </c>
      <c r="E1058" s="13" t="s">
        <v>116</v>
      </c>
      <c r="F1058" s="15">
        <v>4</v>
      </c>
      <c r="G1058" s="15">
        <v>1010</v>
      </c>
      <c r="H1058" s="15">
        <v>2.9</v>
      </c>
      <c r="I1058" s="15">
        <v>3922.84</v>
      </c>
      <c r="J1058" s="13" t="s">
        <v>93</v>
      </c>
      <c r="K1058" s="13" t="s">
        <v>117</v>
      </c>
      <c r="L1058">
        <f>IF(COUNTIF(A$2:A1058, A1058)=1, IF(COUNTIF(A$2:A$2001, A1058)&gt;1, 1, 0), 0)</f>
        <v>0</v>
      </c>
      <c r="M1058" t="b">
        <f>VLOOKUP(D1058, Products!A$2:F$61, 6, FALSE)</f>
        <v>1</v>
      </c>
      <c r="N1058" t="str">
        <f>VLOOKUP(D1058, Products!A$2:C$61, 3, FALSE)</f>
        <v>Sports</v>
      </c>
      <c r="O1058" t="str">
        <f>VLOOKUP(C1058, Customers!A$2:E$301, 5, FALSE)</f>
        <v>Retail</v>
      </c>
      <c r="P1058">
        <f>VLOOKUP(C1058, Customers!A$2:C$301, 3, FALSE)</f>
        <v>27</v>
      </c>
      <c r="Q1058" t="str">
        <f>VLOOKUP(E1058, Sales_Reps!A$2:C$31, 3, FALSE)</f>
        <v>West</v>
      </c>
      <c r="R1058">
        <f>VLOOKUP(D1058, Products!A$2:D$61, 4, FALSE)</f>
        <v>516</v>
      </c>
    </row>
    <row r="1059" spans="1:18" x14ac:dyDescent="0.3">
      <c r="A1059" s="13" t="s">
        <v>1542</v>
      </c>
      <c r="B1059" s="14">
        <v>45586</v>
      </c>
      <c r="C1059" s="13" t="s">
        <v>533</v>
      </c>
      <c r="D1059" s="13" t="s">
        <v>380</v>
      </c>
      <c r="E1059" s="13" t="s">
        <v>201</v>
      </c>
      <c r="F1059" s="15">
        <v>5</v>
      </c>
      <c r="G1059" s="15">
        <v>960</v>
      </c>
      <c r="H1059" s="15">
        <v>11.4</v>
      </c>
      <c r="I1059" s="15">
        <v>4252.8</v>
      </c>
      <c r="J1059" s="13" t="s">
        <v>87</v>
      </c>
      <c r="K1059" s="13" t="s">
        <v>99</v>
      </c>
      <c r="L1059">
        <f>IF(COUNTIF(A$2:A1059, A1059)=1, IF(COUNTIF(A$2:A$2001, A1059)&gt;1, 1, 0), 0)</f>
        <v>0</v>
      </c>
      <c r="M1059" t="b">
        <f>VLOOKUP(D1059, Products!A$2:F$61, 6, FALSE)</f>
        <v>1</v>
      </c>
      <c r="N1059" t="str">
        <f>VLOOKUP(D1059, Products!A$2:C$61, 3, FALSE)</f>
        <v>Beauty</v>
      </c>
      <c r="O1059" t="str">
        <f>VLOOKUP(C1059, Customers!A$2:E$301, 5, FALSE)</f>
        <v>SMB</v>
      </c>
      <c r="P1059">
        <f>VLOOKUP(C1059, Customers!A$2:C$301, 3, FALSE)</f>
        <v>48</v>
      </c>
      <c r="Q1059" t="str">
        <f>VLOOKUP(E1059, Sales_Reps!A$2:C$31, 3, FALSE)</f>
        <v>West</v>
      </c>
      <c r="R1059">
        <f>VLOOKUP(D1059, Products!A$2:D$61, 4, FALSE)</f>
        <v>675</v>
      </c>
    </row>
    <row r="1060" spans="1:18" x14ac:dyDescent="0.3">
      <c r="A1060" s="13" t="s">
        <v>1543</v>
      </c>
      <c r="B1060" s="14">
        <v>45524</v>
      </c>
      <c r="C1060" s="13" t="s">
        <v>231</v>
      </c>
      <c r="D1060" s="13" t="s">
        <v>259</v>
      </c>
      <c r="E1060" s="13" t="s">
        <v>132</v>
      </c>
      <c r="F1060" s="15">
        <v>1</v>
      </c>
      <c r="G1060" s="15">
        <v>1540</v>
      </c>
      <c r="H1060" s="15">
        <v>5.6</v>
      </c>
      <c r="I1060" s="15">
        <v>1453.76</v>
      </c>
      <c r="J1060" s="13" t="s">
        <v>87</v>
      </c>
      <c r="K1060" s="13" t="s">
        <v>117</v>
      </c>
      <c r="L1060">
        <f>IF(COUNTIF(A$2:A1060, A1060)=1, IF(COUNTIF(A$2:A$2001, A1060)&gt;1, 1, 0), 0)</f>
        <v>0</v>
      </c>
      <c r="M1060" t="b">
        <f>VLOOKUP(D1060, Products!A$2:F$61, 6, FALSE)</f>
        <v>0</v>
      </c>
      <c r="N1060" t="str">
        <f>VLOOKUP(D1060, Products!A$2:C$61, 3, FALSE)</f>
        <v>Beauty</v>
      </c>
      <c r="O1060" t="str">
        <f>VLOOKUP(C1060, Customers!A$2:E$301, 5, FALSE)</f>
        <v>SMB</v>
      </c>
      <c r="P1060">
        <f>VLOOKUP(C1060, Customers!A$2:C$301, 3, FALSE)</f>
        <v>64</v>
      </c>
      <c r="Q1060" t="str">
        <f>VLOOKUP(E1060, Sales_Reps!A$2:C$31, 3, FALSE)</f>
        <v>South</v>
      </c>
      <c r="R1060">
        <f>VLOOKUP(D1060, Products!A$2:D$61, 4, FALSE)</f>
        <v>647</v>
      </c>
    </row>
    <row r="1061" spans="1:18" x14ac:dyDescent="0.3">
      <c r="A1061" s="13" t="s">
        <v>1544</v>
      </c>
      <c r="B1061" s="14">
        <v>45397</v>
      </c>
      <c r="C1061" s="13" t="s">
        <v>1003</v>
      </c>
      <c r="D1061" s="13" t="s">
        <v>179</v>
      </c>
      <c r="E1061" s="13" t="s">
        <v>121</v>
      </c>
      <c r="F1061" s="15">
        <v>9</v>
      </c>
      <c r="G1061" s="15">
        <v>3350</v>
      </c>
      <c r="H1061" s="15">
        <v>2.1</v>
      </c>
      <c r="I1061" s="15">
        <v>29516.85</v>
      </c>
      <c r="J1061" s="13" t="s">
        <v>87</v>
      </c>
      <c r="K1061" s="13" t="s">
        <v>99</v>
      </c>
      <c r="L1061">
        <f>IF(COUNTIF(A$2:A1061, A1061)=1, IF(COUNTIF(A$2:A$2001, A1061)&gt;1, 1, 0), 0)</f>
        <v>0</v>
      </c>
      <c r="M1061" t="b">
        <f>VLOOKUP(D1061, Products!A$2:F$61, 6, FALSE)</f>
        <v>1</v>
      </c>
      <c r="N1061" t="str">
        <f>VLOOKUP(D1061, Products!A$2:C$61, 3, FALSE)</f>
        <v>Beauty</v>
      </c>
      <c r="O1061" t="str">
        <f>VLOOKUP(C1061, Customers!A$2:E$301, 5, FALSE)</f>
        <v>SMB</v>
      </c>
      <c r="P1061">
        <f>VLOOKUP(C1061, Customers!A$2:C$301, 3, FALSE)</f>
        <v>45</v>
      </c>
      <c r="Q1061" t="str">
        <f>VLOOKUP(E1061, Sales_Reps!A$2:C$31, 3, FALSE)</f>
        <v>East</v>
      </c>
      <c r="R1061">
        <f>VLOOKUP(D1061, Products!A$2:D$61, 4, FALSE)</f>
        <v>1728</v>
      </c>
    </row>
    <row r="1062" spans="1:18" x14ac:dyDescent="0.3">
      <c r="A1062" s="13" t="s">
        <v>1545</v>
      </c>
      <c r="B1062" s="14">
        <v>45336</v>
      </c>
      <c r="C1062" s="13" t="s">
        <v>908</v>
      </c>
      <c r="D1062" s="13" t="s">
        <v>161</v>
      </c>
      <c r="E1062" s="13" t="s">
        <v>158</v>
      </c>
      <c r="F1062" s="15">
        <v>7</v>
      </c>
      <c r="G1062" s="15">
        <v>3450</v>
      </c>
      <c r="H1062" s="15">
        <v>4.7</v>
      </c>
      <c r="I1062" s="15">
        <v>23014.95</v>
      </c>
      <c r="J1062" s="13" t="s">
        <v>87</v>
      </c>
      <c r="K1062" s="13" t="s">
        <v>133</v>
      </c>
      <c r="L1062">
        <f>IF(COUNTIF(A$2:A1062, A1062)=1, IF(COUNTIF(A$2:A$2001, A1062)&gt;1, 1, 0), 0)</f>
        <v>0</v>
      </c>
      <c r="M1062" t="b">
        <f>VLOOKUP(D1062, Products!A$2:F$61, 6, FALSE)</f>
        <v>1</v>
      </c>
      <c r="N1062" t="str">
        <f>VLOOKUP(D1062, Products!A$2:C$61, 3, FALSE)</f>
        <v>Sports</v>
      </c>
      <c r="O1062" t="str">
        <f>VLOOKUP(C1062, Customers!A$2:E$301, 5, FALSE)</f>
        <v>Retail</v>
      </c>
      <c r="P1062">
        <f>VLOOKUP(C1062, Customers!A$2:C$301, 3, FALSE)</f>
        <v>31</v>
      </c>
      <c r="Q1062" t="str">
        <f>VLOOKUP(E1062, Sales_Reps!A$2:C$31, 3, FALSE)</f>
        <v>East</v>
      </c>
      <c r="R1062">
        <f>VLOOKUP(D1062, Products!A$2:D$61, 4, FALSE)</f>
        <v>2467</v>
      </c>
    </row>
    <row r="1063" spans="1:18" x14ac:dyDescent="0.3">
      <c r="A1063" s="13" t="s">
        <v>1546</v>
      </c>
      <c r="B1063" s="14">
        <v>45594</v>
      </c>
      <c r="C1063" s="13" t="s">
        <v>294</v>
      </c>
      <c r="D1063" s="13" t="s">
        <v>115</v>
      </c>
      <c r="E1063" s="13" t="s">
        <v>121</v>
      </c>
      <c r="F1063" s="15">
        <v>10</v>
      </c>
      <c r="G1063" s="15">
        <v>960</v>
      </c>
      <c r="H1063" s="15">
        <v>17.899999999999999</v>
      </c>
      <c r="I1063" s="15">
        <v>7881.6</v>
      </c>
      <c r="J1063" s="13" t="s">
        <v>87</v>
      </c>
      <c r="K1063" s="13" t="s">
        <v>133</v>
      </c>
      <c r="L1063">
        <f>IF(COUNTIF(A$2:A1063, A1063)=1, IF(COUNTIF(A$2:A$2001, A1063)&gt;1, 1, 0), 0)</f>
        <v>0</v>
      </c>
      <c r="M1063" t="b">
        <f>VLOOKUP(D1063, Products!A$2:F$61, 6, FALSE)</f>
        <v>1</v>
      </c>
      <c r="N1063" t="str">
        <f>VLOOKUP(D1063, Products!A$2:C$61, 3, FALSE)</f>
        <v>Sports</v>
      </c>
      <c r="O1063" t="str">
        <f>VLOOKUP(C1063, Customers!A$2:E$301, 5, FALSE)</f>
        <v>SMB</v>
      </c>
      <c r="P1063">
        <f>VLOOKUP(C1063, Customers!A$2:C$301, 3, FALSE)</f>
        <v>43</v>
      </c>
      <c r="Q1063" t="str">
        <f>VLOOKUP(E1063, Sales_Reps!A$2:C$31, 3, FALSE)</f>
        <v>East</v>
      </c>
      <c r="R1063">
        <f>VLOOKUP(D1063, Products!A$2:D$61, 4, FALSE)</f>
        <v>705</v>
      </c>
    </row>
    <row r="1064" spans="1:18" x14ac:dyDescent="0.3">
      <c r="A1064" s="13" t="s">
        <v>1547</v>
      </c>
      <c r="B1064" s="14">
        <v>45617</v>
      </c>
      <c r="C1064" s="13" t="s">
        <v>429</v>
      </c>
      <c r="D1064" s="13" t="s">
        <v>237</v>
      </c>
      <c r="E1064" s="13" t="s">
        <v>98</v>
      </c>
      <c r="F1064" s="15">
        <v>1</v>
      </c>
      <c r="G1064" s="15">
        <v>3640</v>
      </c>
      <c r="H1064" s="15">
        <v>8.8000000000000007</v>
      </c>
      <c r="I1064" s="15">
        <v>3319.68</v>
      </c>
      <c r="J1064" s="13" t="s">
        <v>87</v>
      </c>
      <c r="K1064" s="13" t="s">
        <v>117</v>
      </c>
      <c r="L1064">
        <f>IF(COUNTIF(A$2:A1064, A1064)=1, IF(COUNTIF(A$2:A$2001, A1064)&gt;1, 1, 0), 0)</f>
        <v>0</v>
      </c>
      <c r="M1064" t="b">
        <f>VLOOKUP(D1064, Products!A$2:F$61, 6, FALSE)</f>
        <v>1</v>
      </c>
      <c r="N1064" t="str">
        <f>VLOOKUP(D1064, Products!A$2:C$61, 3, FALSE)</f>
        <v>Apparel</v>
      </c>
      <c r="O1064" t="str">
        <f>VLOOKUP(C1064, Customers!A$2:E$301, 5, FALSE)</f>
        <v>Retail</v>
      </c>
      <c r="P1064">
        <f>VLOOKUP(C1064, Customers!A$2:C$301, 3, FALSE)</f>
        <v>55</v>
      </c>
      <c r="Q1064" t="str">
        <f>VLOOKUP(E1064, Sales_Reps!A$2:C$31, 3, FALSE)</f>
        <v>South</v>
      </c>
      <c r="R1064">
        <f>VLOOKUP(D1064, Products!A$2:D$61, 4, FALSE)</f>
        <v>2611</v>
      </c>
    </row>
    <row r="1065" spans="1:18" x14ac:dyDescent="0.3">
      <c r="A1065" s="13" t="s">
        <v>1548</v>
      </c>
      <c r="B1065" s="14">
        <v>45378</v>
      </c>
      <c r="C1065" s="13" t="s">
        <v>779</v>
      </c>
      <c r="D1065" s="13" t="s">
        <v>338</v>
      </c>
      <c r="E1065" s="13" t="s">
        <v>238</v>
      </c>
      <c r="F1065" s="15">
        <v>1</v>
      </c>
      <c r="G1065" s="15">
        <v>2210</v>
      </c>
      <c r="H1065" s="15">
        <v>10.7</v>
      </c>
      <c r="I1065" s="15">
        <v>1973.53</v>
      </c>
      <c r="J1065" s="13" t="s">
        <v>87</v>
      </c>
      <c r="K1065" s="13" t="s">
        <v>117</v>
      </c>
      <c r="L1065">
        <f>IF(COUNTIF(A$2:A1065, A1065)=1, IF(COUNTIF(A$2:A$2001, A1065)&gt;1, 1, 0), 0)</f>
        <v>0</v>
      </c>
      <c r="M1065" t="b">
        <f>VLOOKUP(D1065, Products!A$2:F$61, 6, FALSE)</f>
        <v>1</v>
      </c>
      <c r="N1065" t="str">
        <f>VLOOKUP(D1065, Products!A$2:C$61, 3, FALSE)</f>
        <v>Grocery</v>
      </c>
      <c r="O1065" t="str">
        <f>VLOOKUP(C1065, Customers!A$2:E$301, 5, FALSE)</f>
        <v>Retail</v>
      </c>
      <c r="P1065">
        <f>VLOOKUP(C1065, Customers!A$2:C$301, 3, FALSE)</f>
        <v>27</v>
      </c>
      <c r="Q1065" t="str">
        <f>VLOOKUP(E1065, Sales_Reps!A$2:C$31, 3, FALSE)</f>
        <v>East</v>
      </c>
      <c r="R1065">
        <f>VLOOKUP(D1065, Products!A$2:D$61, 4, FALSE)</f>
        <v>1010</v>
      </c>
    </row>
    <row r="1066" spans="1:18" x14ac:dyDescent="0.3">
      <c r="A1066" s="13" t="s">
        <v>1549</v>
      </c>
      <c r="B1066" s="14">
        <v>45318</v>
      </c>
      <c r="C1066" s="13" t="s">
        <v>101</v>
      </c>
      <c r="D1066" s="13" t="s">
        <v>226</v>
      </c>
      <c r="E1066" s="13" t="s">
        <v>92</v>
      </c>
      <c r="F1066" s="15">
        <v>2</v>
      </c>
      <c r="G1066" s="15">
        <v>3730</v>
      </c>
      <c r="H1066" s="15">
        <v>13.9</v>
      </c>
      <c r="I1066" s="15">
        <v>6423.06</v>
      </c>
      <c r="J1066" s="13" t="s">
        <v>87</v>
      </c>
      <c r="K1066" s="13" t="s">
        <v>99</v>
      </c>
      <c r="L1066">
        <f>IF(COUNTIF(A$2:A1066, A1066)=1, IF(COUNTIF(A$2:A$2001, A1066)&gt;1, 1, 0), 0)</f>
        <v>0</v>
      </c>
      <c r="M1066" t="b">
        <f>VLOOKUP(D1066, Products!A$2:F$61, 6, FALSE)</f>
        <v>1</v>
      </c>
      <c r="N1066" t="str">
        <f>VLOOKUP(D1066, Products!A$2:C$61, 3, FALSE)</f>
        <v>Home</v>
      </c>
      <c r="O1066" t="str">
        <f>VLOOKUP(C1066, Customers!A$2:E$301, 5, FALSE)</f>
        <v>Corporate</v>
      </c>
      <c r="P1066">
        <f>VLOOKUP(C1066, Customers!A$2:C$301, 3, FALSE)</f>
        <v>46</v>
      </c>
      <c r="Q1066" t="str">
        <f>VLOOKUP(E1066, Sales_Reps!A$2:C$31, 3, FALSE)</f>
        <v>North</v>
      </c>
      <c r="R1066">
        <f>VLOOKUP(D1066, Products!A$2:D$61, 4, FALSE)</f>
        <v>2135</v>
      </c>
    </row>
    <row r="1067" spans="1:18" x14ac:dyDescent="0.3">
      <c r="A1067" s="13" t="s">
        <v>1550</v>
      </c>
      <c r="B1067" s="14">
        <v>45542</v>
      </c>
      <c r="C1067" s="13" t="s">
        <v>427</v>
      </c>
      <c r="D1067" s="13" t="s">
        <v>360</v>
      </c>
      <c r="E1067" s="13" t="s">
        <v>132</v>
      </c>
      <c r="F1067" s="15">
        <v>7</v>
      </c>
      <c r="G1067" s="15">
        <v>5410</v>
      </c>
      <c r="H1067" s="15">
        <v>23.6</v>
      </c>
      <c r="I1067" s="15">
        <v>28932.68</v>
      </c>
      <c r="J1067" s="13" t="s">
        <v>87</v>
      </c>
      <c r="K1067" s="13" t="s">
        <v>88</v>
      </c>
      <c r="L1067">
        <f>IF(COUNTIF(A$2:A1067, A1067)=1, IF(COUNTIF(A$2:A$2001, A1067)&gt;1, 1, 0), 0)</f>
        <v>0</v>
      </c>
      <c r="M1067" t="b">
        <f>VLOOKUP(D1067, Products!A$2:F$61, 6, FALSE)</f>
        <v>1</v>
      </c>
      <c r="N1067" t="str">
        <f>VLOOKUP(D1067, Products!A$2:C$61, 3, FALSE)</f>
        <v>Sports</v>
      </c>
      <c r="O1067" t="str">
        <f>VLOOKUP(C1067, Customers!A$2:E$301, 5, FALSE)</f>
        <v>Corporate</v>
      </c>
      <c r="P1067">
        <f>VLOOKUP(C1067, Customers!A$2:C$301, 3, FALSE)</f>
        <v>48</v>
      </c>
      <c r="Q1067" t="str">
        <f>VLOOKUP(E1067, Sales_Reps!A$2:C$31, 3, FALSE)</f>
        <v>South</v>
      </c>
      <c r="R1067">
        <f>VLOOKUP(D1067, Products!A$2:D$61, 4, FALSE)</f>
        <v>2265</v>
      </c>
    </row>
    <row r="1068" spans="1:18" x14ac:dyDescent="0.3">
      <c r="A1068" s="13" t="s">
        <v>1551</v>
      </c>
      <c r="B1068" s="14">
        <v>45618</v>
      </c>
      <c r="C1068" s="13" t="s">
        <v>872</v>
      </c>
      <c r="D1068" s="13" t="s">
        <v>234</v>
      </c>
      <c r="E1068" s="13" t="s">
        <v>303</v>
      </c>
      <c r="F1068" s="15">
        <v>7</v>
      </c>
      <c r="G1068" s="15">
        <v>3780</v>
      </c>
      <c r="H1068" s="15">
        <v>8.5</v>
      </c>
      <c r="I1068" s="15">
        <v>24210.9</v>
      </c>
      <c r="J1068" s="13" t="s">
        <v>140</v>
      </c>
      <c r="K1068" s="13" t="s">
        <v>112</v>
      </c>
      <c r="L1068">
        <f>IF(COUNTIF(A$2:A1068, A1068)=1, IF(COUNTIF(A$2:A$2001, A1068)&gt;1, 1, 0), 0)</f>
        <v>0</v>
      </c>
      <c r="M1068" t="b">
        <f>VLOOKUP(D1068, Products!A$2:F$61, 6, FALSE)</f>
        <v>1</v>
      </c>
      <c r="N1068" t="str">
        <f>VLOOKUP(D1068, Products!A$2:C$61, 3, FALSE)</f>
        <v>Grocery</v>
      </c>
      <c r="O1068" t="str">
        <f>VLOOKUP(C1068, Customers!A$2:E$301, 5, FALSE)</f>
        <v>Corporate</v>
      </c>
      <c r="P1068">
        <f>VLOOKUP(C1068, Customers!A$2:C$301, 3, FALSE)</f>
        <v>62</v>
      </c>
      <c r="Q1068" t="str">
        <f>VLOOKUP(E1068, Sales_Reps!A$2:C$31, 3, FALSE)</f>
        <v>East</v>
      </c>
      <c r="R1068">
        <f>VLOOKUP(D1068, Products!A$2:D$61, 4, FALSE)</f>
        <v>2436</v>
      </c>
    </row>
    <row r="1069" spans="1:18" x14ac:dyDescent="0.3">
      <c r="A1069" s="13" t="s">
        <v>1552</v>
      </c>
      <c r="B1069" s="14">
        <v>45555</v>
      </c>
      <c r="C1069" s="13" t="s">
        <v>258</v>
      </c>
      <c r="D1069" s="13" t="s">
        <v>270</v>
      </c>
      <c r="E1069" s="13" t="s">
        <v>346</v>
      </c>
      <c r="F1069" s="15">
        <v>9</v>
      </c>
      <c r="G1069" s="15">
        <v>4610</v>
      </c>
      <c r="H1069" s="15">
        <v>26.6</v>
      </c>
      <c r="I1069" s="15">
        <v>30453.66</v>
      </c>
      <c r="J1069" s="13" t="s">
        <v>87</v>
      </c>
      <c r="K1069" s="13" t="s">
        <v>99</v>
      </c>
      <c r="L1069">
        <f>IF(COUNTIF(A$2:A1069, A1069)=1, IF(COUNTIF(A$2:A$2001, A1069)&gt;1, 1, 0), 0)</f>
        <v>0</v>
      </c>
      <c r="M1069" t="b">
        <f>VLOOKUP(D1069, Products!A$2:F$61, 6, FALSE)</f>
        <v>1</v>
      </c>
      <c r="N1069" t="str">
        <f>VLOOKUP(D1069, Products!A$2:C$61, 3, FALSE)</f>
        <v>Home</v>
      </c>
      <c r="O1069" t="str">
        <f>VLOOKUP(C1069, Customers!A$2:E$301, 5, FALSE)</f>
        <v>SMB</v>
      </c>
      <c r="P1069">
        <f>VLOOKUP(C1069, Customers!A$2:C$301, 3, FALSE)</f>
        <v>55</v>
      </c>
      <c r="Q1069" t="str">
        <f>VLOOKUP(E1069, Sales_Reps!A$2:C$31, 3, FALSE)</f>
        <v>South</v>
      </c>
      <c r="R1069">
        <f>VLOOKUP(D1069, Products!A$2:D$61, 4, FALSE)</f>
        <v>1850</v>
      </c>
    </row>
    <row r="1070" spans="1:18" x14ac:dyDescent="0.3">
      <c r="A1070" s="13" t="s">
        <v>1553</v>
      </c>
      <c r="B1070" s="14">
        <v>45373</v>
      </c>
      <c r="C1070" s="13" t="s">
        <v>602</v>
      </c>
      <c r="D1070" s="13" t="s">
        <v>135</v>
      </c>
      <c r="E1070" s="13" t="s">
        <v>111</v>
      </c>
      <c r="F1070" s="15">
        <v>5</v>
      </c>
      <c r="G1070" s="15">
        <v>2640</v>
      </c>
      <c r="H1070" s="15">
        <v>1.5</v>
      </c>
      <c r="I1070" s="15">
        <v>13002</v>
      </c>
      <c r="J1070" s="13" t="s">
        <v>87</v>
      </c>
      <c r="K1070" s="13" t="s">
        <v>94</v>
      </c>
      <c r="L1070">
        <f>IF(COUNTIF(A$2:A1070, A1070)=1, IF(COUNTIF(A$2:A$2001, A1070)&gt;1, 1, 0), 0)</f>
        <v>0</v>
      </c>
      <c r="M1070" t="b">
        <f>VLOOKUP(D1070, Products!A$2:F$61, 6, FALSE)</f>
        <v>1</v>
      </c>
      <c r="N1070" t="str">
        <f>VLOOKUP(D1070, Products!A$2:C$61, 3, FALSE)</f>
        <v>Electronics</v>
      </c>
      <c r="O1070" t="str">
        <f>VLOOKUP(C1070, Customers!A$2:E$301, 5, FALSE)</f>
        <v>Retail</v>
      </c>
      <c r="P1070">
        <f>VLOOKUP(C1070, Customers!A$2:C$301, 3, FALSE)</f>
        <v>61</v>
      </c>
      <c r="Q1070" t="str">
        <f>VLOOKUP(E1070, Sales_Reps!A$2:C$31, 3, FALSE)</f>
        <v>West</v>
      </c>
      <c r="R1070">
        <f>VLOOKUP(D1070, Products!A$2:D$61, 4, FALSE)</f>
        <v>1149</v>
      </c>
    </row>
    <row r="1071" spans="1:18" x14ac:dyDescent="0.3">
      <c r="A1071" s="13" t="s">
        <v>1554</v>
      </c>
      <c r="B1071" s="14">
        <v>45515</v>
      </c>
      <c r="C1071" s="13" t="s">
        <v>223</v>
      </c>
      <c r="D1071" s="13" t="s">
        <v>85</v>
      </c>
      <c r="E1071" s="13" t="s">
        <v>132</v>
      </c>
      <c r="F1071" s="15">
        <v>3</v>
      </c>
      <c r="G1071" s="15">
        <v>3620</v>
      </c>
      <c r="H1071" s="15">
        <v>3.1</v>
      </c>
      <c r="I1071" s="15">
        <v>10523.34</v>
      </c>
      <c r="J1071" s="13" t="s">
        <v>87</v>
      </c>
      <c r="K1071" s="13" t="s">
        <v>99</v>
      </c>
      <c r="L1071">
        <f>IF(COUNTIF(A$2:A1071, A1071)=1, IF(COUNTIF(A$2:A$2001, A1071)&gt;1, 1, 0), 0)</f>
        <v>0</v>
      </c>
      <c r="M1071" t="b">
        <f>VLOOKUP(D1071, Products!A$2:F$61, 6, FALSE)</f>
        <v>1</v>
      </c>
      <c r="N1071" t="str">
        <f>VLOOKUP(D1071, Products!A$2:C$61, 3, FALSE)</f>
        <v>Apparel</v>
      </c>
      <c r="O1071" t="str">
        <f>VLOOKUP(C1071, Customers!A$2:E$301, 5, FALSE)</f>
        <v>Retail</v>
      </c>
      <c r="P1071">
        <f>VLOOKUP(C1071, Customers!A$2:C$301, 3, FALSE)</f>
        <v>53</v>
      </c>
      <c r="Q1071" t="str">
        <f>VLOOKUP(E1071, Sales_Reps!A$2:C$31, 3, FALSE)</f>
        <v>South</v>
      </c>
      <c r="R1071">
        <f>VLOOKUP(D1071, Products!A$2:D$61, 4, FALSE)</f>
        <v>2509</v>
      </c>
    </row>
    <row r="1072" spans="1:18" x14ac:dyDescent="0.3">
      <c r="A1072" s="13" t="s">
        <v>1555</v>
      </c>
      <c r="B1072" s="14">
        <v>45530</v>
      </c>
      <c r="C1072" s="13" t="s">
        <v>797</v>
      </c>
      <c r="D1072" s="13" t="s">
        <v>97</v>
      </c>
      <c r="E1072" s="13" t="s">
        <v>303</v>
      </c>
      <c r="F1072" s="15">
        <v>5</v>
      </c>
      <c r="G1072" s="15">
        <v>470</v>
      </c>
      <c r="H1072" s="15">
        <v>10.6</v>
      </c>
      <c r="I1072" s="15">
        <v>2100.9</v>
      </c>
      <c r="J1072" s="13" t="s">
        <v>140</v>
      </c>
      <c r="K1072" s="13" t="s">
        <v>99</v>
      </c>
      <c r="L1072">
        <f>IF(COUNTIF(A$2:A1072, A1072)=1, IF(COUNTIF(A$2:A$2001, A1072)&gt;1, 1, 0), 0)</f>
        <v>0</v>
      </c>
      <c r="M1072" t="b">
        <f>VLOOKUP(D1072, Products!A$2:F$61, 6, FALSE)</f>
        <v>0</v>
      </c>
      <c r="N1072" t="str">
        <f>VLOOKUP(D1072, Products!A$2:C$61, 3, FALSE)</f>
        <v>Sports</v>
      </c>
      <c r="O1072" t="str">
        <f>VLOOKUP(C1072, Customers!A$2:E$301, 5, FALSE)</f>
        <v>Retail</v>
      </c>
      <c r="P1072">
        <f>VLOOKUP(C1072, Customers!A$2:C$301, 3, FALSE)</f>
        <v>63</v>
      </c>
      <c r="Q1072" t="str">
        <f>VLOOKUP(E1072, Sales_Reps!A$2:C$31, 3, FALSE)</f>
        <v>East</v>
      </c>
      <c r="R1072">
        <f>VLOOKUP(D1072, Products!A$2:D$61, 4, FALSE)</f>
        <v>302</v>
      </c>
    </row>
    <row r="1073" spans="1:18" x14ac:dyDescent="0.3">
      <c r="A1073" s="13" t="s">
        <v>1556</v>
      </c>
      <c r="B1073" s="14">
        <v>45463</v>
      </c>
      <c r="C1073" s="13" t="s">
        <v>261</v>
      </c>
      <c r="D1073" s="13" t="s">
        <v>364</v>
      </c>
      <c r="E1073" s="13" t="s">
        <v>204</v>
      </c>
      <c r="F1073" s="15">
        <v>7</v>
      </c>
      <c r="G1073" s="15">
        <v>5330</v>
      </c>
      <c r="H1073" s="15">
        <v>25</v>
      </c>
      <c r="I1073" s="15">
        <v>27982.5</v>
      </c>
      <c r="J1073" s="13" t="s">
        <v>140</v>
      </c>
      <c r="K1073" s="13" t="s">
        <v>99</v>
      </c>
      <c r="L1073">
        <f>IF(COUNTIF(A$2:A1073, A1073)=1, IF(COUNTIF(A$2:A$2001, A1073)&gt;1, 1, 0), 0)</f>
        <v>0</v>
      </c>
      <c r="M1073" t="b">
        <f>VLOOKUP(D1073, Products!A$2:F$61, 6, FALSE)</f>
        <v>1</v>
      </c>
      <c r="N1073" t="str">
        <f>VLOOKUP(D1073, Products!A$2:C$61, 3, FALSE)</f>
        <v>Electronics</v>
      </c>
      <c r="O1073" t="str">
        <f>VLOOKUP(C1073, Customers!A$2:E$301, 5, FALSE)</f>
        <v>Retail</v>
      </c>
      <c r="P1073">
        <f>VLOOKUP(C1073, Customers!A$2:C$301, 3, FALSE)</f>
        <v>54</v>
      </c>
      <c r="Q1073" t="str">
        <f>VLOOKUP(E1073, Sales_Reps!A$2:C$31, 3, FALSE)</f>
        <v>South</v>
      </c>
      <c r="R1073">
        <f>VLOOKUP(D1073, Products!A$2:D$61, 4, FALSE)</f>
        <v>2405</v>
      </c>
    </row>
    <row r="1074" spans="1:18" x14ac:dyDescent="0.3">
      <c r="A1074" s="13" t="s">
        <v>1557</v>
      </c>
      <c r="B1074" s="14">
        <v>45292</v>
      </c>
      <c r="C1074" s="13" t="s">
        <v>802</v>
      </c>
      <c r="D1074" s="13" t="s">
        <v>241</v>
      </c>
      <c r="E1074" s="13" t="s">
        <v>98</v>
      </c>
      <c r="F1074" s="15">
        <v>1</v>
      </c>
      <c r="G1074" s="15">
        <v>6080</v>
      </c>
      <c r="H1074" s="15">
        <v>27.8</v>
      </c>
      <c r="I1074" s="15">
        <v>4389.76</v>
      </c>
      <c r="J1074" s="13" t="s">
        <v>87</v>
      </c>
      <c r="K1074" s="13" t="s">
        <v>94</v>
      </c>
      <c r="L1074">
        <f>IF(COUNTIF(A$2:A1074, A1074)=1, IF(COUNTIF(A$2:A$2001, A1074)&gt;1, 1, 0), 0)</f>
        <v>0</v>
      </c>
      <c r="M1074" t="b">
        <f>VLOOKUP(D1074, Products!A$2:F$61, 6, FALSE)</f>
        <v>1</v>
      </c>
      <c r="N1074" t="str">
        <f>VLOOKUP(D1074, Products!A$2:C$61, 3, FALSE)</f>
        <v>Beauty</v>
      </c>
      <c r="O1074" t="str">
        <f>VLOOKUP(C1074, Customers!A$2:E$301, 5, FALSE)</f>
        <v>SMB</v>
      </c>
      <c r="P1074">
        <f>VLOOKUP(C1074, Customers!A$2:C$301, 3, FALSE)</f>
        <v>39</v>
      </c>
      <c r="Q1074" t="str">
        <f>VLOOKUP(E1074, Sales_Reps!A$2:C$31, 3, FALSE)</f>
        <v>South</v>
      </c>
      <c r="R1074">
        <f>VLOOKUP(D1074, Products!A$2:D$61, 4, FALSE)</f>
        <v>2617</v>
      </c>
    </row>
    <row r="1075" spans="1:18" x14ac:dyDescent="0.3">
      <c r="A1075" s="13" t="s">
        <v>1558</v>
      </c>
      <c r="B1075" s="14">
        <v>45347</v>
      </c>
      <c r="C1075" s="13" t="s">
        <v>206</v>
      </c>
      <c r="D1075" s="13" t="s">
        <v>179</v>
      </c>
      <c r="E1075" s="13" t="s">
        <v>116</v>
      </c>
      <c r="F1075" s="15">
        <v>6</v>
      </c>
      <c r="G1075" s="15">
        <v>3350</v>
      </c>
      <c r="H1075" s="15">
        <v>12</v>
      </c>
      <c r="I1075" s="15">
        <v>17688</v>
      </c>
      <c r="J1075" s="13" t="s">
        <v>87</v>
      </c>
      <c r="K1075" s="13" t="s">
        <v>133</v>
      </c>
      <c r="L1075">
        <f>IF(COUNTIF(A$2:A1075, A1075)=1, IF(COUNTIF(A$2:A$2001, A1075)&gt;1, 1, 0), 0)</f>
        <v>0</v>
      </c>
      <c r="M1075" t="b">
        <f>VLOOKUP(D1075, Products!A$2:F$61, 6, FALSE)</f>
        <v>1</v>
      </c>
      <c r="N1075" t="str">
        <f>VLOOKUP(D1075, Products!A$2:C$61, 3, FALSE)</f>
        <v>Beauty</v>
      </c>
      <c r="O1075" t="str">
        <f>VLOOKUP(C1075, Customers!A$2:E$301, 5, FALSE)</f>
        <v>SMB</v>
      </c>
      <c r="P1075">
        <f>VLOOKUP(C1075, Customers!A$2:C$301, 3, FALSE)</f>
        <v>40</v>
      </c>
      <c r="Q1075" t="str">
        <f>VLOOKUP(E1075, Sales_Reps!A$2:C$31, 3, FALSE)</f>
        <v>West</v>
      </c>
      <c r="R1075">
        <f>VLOOKUP(D1075, Products!A$2:D$61, 4, FALSE)</f>
        <v>1728</v>
      </c>
    </row>
    <row r="1076" spans="1:18" x14ac:dyDescent="0.3">
      <c r="A1076" s="13" t="s">
        <v>1559</v>
      </c>
      <c r="B1076" s="14">
        <v>45592</v>
      </c>
      <c r="C1076" s="13" t="s">
        <v>1560</v>
      </c>
      <c r="D1076" s="13" t="s">
        <v>515</v>
      </c>
      <c r="E1076" s="13" t="s">
        <v>343</v>
      </c>
      <c r="F1076" s="15">
        <v>6</v>
      </c>
      <c r="G1076" s="15">
        <v>6940</v>
      </c>
      <c r="H1076" s="15">
        <v>20</v>
      </c>
      <c r="I1076" s="15">
        <v>33312</v>
      </c>
      <c r="J1076" s="13" t="s">
        <v>87</v>
      </c>
      <c r="K1076" s="13" t="s">
        <v>94</v>
      </c>
      <c r="L1076">
        <f>IF(COUNTIF(A$2:A1076, A1076)=1, IF(COUNTIF(A$2:A$2001, A1076)&gt;1, 1, 0), 0)</f>
        <v>0</v>
      </c>
      <c r="M1076" t="b">
        <f>VLOOKUP(D1076, Products!A$2:F$61, 6, FALSE)</f>
        <v>1</v>
      </c>
      <c r="N1076" t="str">
        <f>VLOOKUP(D1076, Products!A$2:C$61, 3, FALSE)</f>
        <v>Sports</v>
      </c>
      <c r="O1076" t="e">
        <f>VLOOKUP(C1076, Customers!A$2:E$301, 5, FALSE)</f>
        <v>#N/A</v>
      </c>
      <c r="P1076" t="e">
        <f>VLOOKUP(C1076, Customers!A$2:C$301, 3, FALSE)</f>
        <v>#N/A</v>
      </c>
      <c r="Q1076" t="str">
        <f>VLOOKUP(E1076, Sales_Reps!A$2:C$31, 3, FALSE)</f>
        <v>West</v>
      </c>
      <c r="R1076">
        <f>VLOOKUP(D1076, Products!A$2:D$61, 4, FALSE)</f>
        <v>2827</v>
      </c>
    </row>
    <row r="1077" spans="1:18" x14ac:dyDescent="0.3">
      <c r="A1077" s="13" t="s">
        <v>1561</v>
      </c>
      <c r="B1077" s="14">
        <v>45636</v>
      </c>
      <c r="C1077" s="13" t="s">
        <v>305</v>
      </c>
      <c r="D1077" s="13" t="s">
        <v>110</v>
      </c>
      <c r="E1077" s="13" t="s">
        <v>86</v>
      </c>
      <c r="F1077" s="15">
        <v>1</v>
      </c>
      <c r="G1077" s="15">
        <v>370</v>
      </c>
      <c r="H1077" s="15">
        <v>10</v>
      </c>
      <c r="I1077" s="15">
        <v>333</v>
      </c>
      <c r="J1077" s="13" t="s">
        <v>87</v>
      </c>
      <c r="K1077" s="13" t="s">
        <v>133</v>
      </c>
      <c r="L1077">
        <f>IF(COUNTIF(A$2:A1077, A1077)=1, IF(COUNTIF(A$2:A$2001, A1077)&gt;1, 1, 0), 0)</f>
        <v>0</v>
      </c>
      <c r="M1077" t="b">
        <f>VLOOKUP(D1077, Products!A$2:F$61, 6, FALSE)</f>
        <v>1</v>
      </c>
      <c r="N1077" t="str">
        <f>VLOOKUP(D1077, Products!A$2:C$61, 3, FALSE)</f>
        <v>Home</v>
      </c>
      <c r="O1077" t="str">
        <f>VLOOKUP(C1077, Customers!A$2:E$301, 5, FALSE)</f>
        <v>Corporate</v>
      </c>
      <c r="P1077">
        <f>VLOOKUP(C1077, Customers!A$2:C$301, 3, FALSE)</f>
        <v>46</v>
      </c>
      <c r="Q1077" t="str">
        <f>VLOOKUP(E1077, Sales_Reps!A$2:C$31, 3, FALSE)</f>
        <v>North</v>
      </c>
      <c r="R1077">
        <f>VLOOKUP(D1077, Products!A$2:D$61, 4, FALSE)</f>
        <v>288</v>
      </c>
    </row>
    <row r="1078" spans="1:18" x14ac:dyDescent="0.3">
      <c r="A1078" s="13" t="s">
        <v>1562</v>
      </c>
      <c r="B1078" s="14">
        <v>45432</v>
      </c>
      <c r="C1078" s="13" t="s">
        <v>1016</v>
      </c>
      <c r="D1078" s="13" t="s">
        <v>124</v>
      </c>
      <c r="E1078" s="13" t="s">
        <v>192</v>
      </c>
      <c r="F1078" s="15">
        <v>2</v>
      </c>
      <c r="G1078" s="15">
        <v>5490</v>
      </c>
      <c r="H1078" s="15">
        <v>27.9</v>
      </c>
      <c r="I1078" s="15">
        <v>7916.58</v>
      </c>
      <c r="J1078" s="13" t="s">
        <v>87</v>
      </c>
      <c r="K1078" s="13" t="s">
        <v>117</v>
      </c>
      <c r="L1078">
        <f>IF(COUNTIF(A$2:A1078, A1078)=1, IF(COUNTIF(A$2:A$2001, A1078)&gt;1, 1, 0), 0)</f>
        <v>0</v>
      </c>
      <c r="M1078" t="b">
        <f>VLOOKUP(D1078, Products!A$2:F$61, 6, FALSE)</f>
        <v>1</v>
      </c>
      <c r="N1078" t="str">
        <f>VLOOKUP(D1078, Products!A$2:C$61, 3, FALSE)</f>
        <v>Home</v>
      </c>
      <c r="O1078" t="str">
        <f>VLOOKUP(C1078, Customers!A$2:E$301, 5, FALSE)</f>
        <v>SMB</v>
      </c>
      <c r="P1078">
        <f>VLOOKUP(C1078, Customers!A$2:C$301, 3, FALSE)</f>
        <v>49</v>
      </c>
      <c r="Q1078" t="str">
        <f>VLOOKUP(E1078, Sales_Reps!A$2:C$31, 3, FALSE)</f>
        <v>East</v>
      </c>
      <c r="R1078">
        <f>VLOOKUP(D1078, Products!A$2:D$61, 4, FALSE)</f>
        <v>2549</v>
      </c>
    </row>
    <row r="1079" spans="1:18" x14ac:dyDescent="0.3">
      <c r="A1079" s="13" t="s">
        <v>1563</v>
      </c>
      <c r="B1079" s="14">
        <v>45479</v>
      </c>
      <c r="C1079" s="13" t="s">
        <v>1036</v>
      </c>
      <c r="D1079" s="13" t="s">
        <v>102</v>
      </c>
      <c r="E1079" s="13" t="s">
        <v>204</v>
      </c>
      <c r="F1079" s="15">
        <v>5</v>
      </c>
      <c r="G1079" s="15">
        <v>3660</v>
      </c>
      <c r="H1079" s="15">
        <v>4.5999999999999996</v>
      </c>
      <c r="I1079" s="15">
        <v>17458.2</v>
      </c>
      <c r="J1079" s="13" t="s">
        <v>87</v>
      </c>
      <c r="K1079" s="13" t="s">
        <v>112</v>
      </c>
      <c r="L1079">
        <f>IF(COUNTIF(A$2:A1079, A1079)=1, IF(COUNTIF(A$2:A$2001, A1079)&gt;1, 1, 0), 0)</f>
        <v>0</v>
      </c>
      <c r="M1079" t="b">
        <f>VLOOKUP(D1079, Products!A$2:F$61, 6, FALSE)</f>
        <v>0</v>
      </c>
      <c r="N1079" t="str">
        <f>VLOOKUP(D1079, Products!A$2:C$61, 3, FALSE)</f>
        <v>Grocery</v>
      </c>
      <c r="O1079" t="str">
        <f>VLOOKUP(C1079, Customers!A$2:E$301, 5, FALSE)</f>
        <v>Retail</v>
      </c>
      <c r="P1079">
        <f>VLOOKUP(C1079, Customers!A$2:C$301, 3, FALSE)</f>
        <v>33</v>
      </c>
      <c r="Q1079" t="str">
        <f>VLOOKUP(E1079, Sales_Reps!A$2:C$31, 3, FALSE)</f>
        <v>South</v>
      </c>
      <c r="R1079">
        <f>VLOOKUP(D1079, Products!A$2:D$61, 4, FALSE)</f>
        <v>2214</v>
      </c>
    </row>
    <row r="1080" spans="1:18" x14ac:dyDescent="0.3">
      <c r="A1080" s="13" t="s">
        <v>1564</v>
      </c>
      <c r="B1080" s="14">
        <v>45563</v>
      </c>
      <c r="C1080" s="13" t="s">
        <v>172</v>
      </c>
      <c r="D1080" s="13" t="s">
        <v>282</v>
      </c>
      <c r="E1080" s="13" t="s">
        <v>229</v>
      </c>
      <c r="F1080" s="15">
        <v>6</v>
      </c>
      <c r="G1080" s="15">
        <v>300</v>
      </c>
      <c r="H1080" s="15">
        <v>9</v>
      </c>
      <c r="I1080" s="15">
        <v>1638</v>
      </c>
      <c r="J1080" s="13" t="s">
        <v>87</v>
      </c>
      <c r="K1080" s="13" t="s">
        <v>88</v>
      </c>
      <c r="L1080">
        <f>IF(COUNTIF(A$2:A1080, A1080)=1, IF(COUNTIF(A$2:A$2001, A1080)&gt;1, 1, 0), 0)</f>
        <v>0</v>
      </c>
      <c r="M1080" t="b">
        <f>VLOOKUP(D1080, Products!A$2:F$61, 6, FALSE)</f>
        <v>1</v>
      </c>
      <c r="N1080" t="str">
        <f>VLOOKUP(D1080, Products!A$2:C$61, 3, FALSE)</f>
        <v>Electronics</v>
      </c>
      <c r="O1080" t="str">
        <f>VLOOKUP(C1080, Customers!A$2:E$301, 5, FALSE)</f>
        <v>Retail</v>
      </c>
      <c r="P1080">
        <f>VLOOKUP(C1080, Customers!A$2:C$301, 3, FALSE)</f>
        <v>50</v>
      </c>
      <c r="Q1080" t="str">
        <f>VLOOKUP(E1080, Sales_Reps!A$2:C$31, 3, FALSE)</f>
        <v>West</v>
      </c>
      <c r="R1080">
        <f>VLOOKUP(D1080, Products!A$2:D$61, 4, FALSE)</f>
        <v>128</v>
      </c>
    </row>
    <row r="1081" spans="1:18" x14ac:dyDescent="0.3">
      <c r="A1081" s="13" t="s">
        <v>1565</v>
      </c>
      <c r="B1081" s="14">
        <v>45523</v>
      </c>
      <c r="C1081" s="13" t="s">
        <v>150</v>
      </c>
      <c r="D1081" s="13" t="s">
        <v>282</v>
      </c>
      <c r="E1081" s="13" t="s">
        <v>325</v>
      </c>
      <c r="F1081" s="15">
        <v>3</v>
      </c>
      <c r="G1081" s="15">
        <v>300</v>
      </c>
      <c r="H1081" s="15">
        <v>19.2</v>
      </c>
      <c r="I1081" s="15">
        <v>727.2</v>
      </c>
      <c r="J1081" s="13" t="s">
        <v>87</v>
      </c>
      <c r="K1081" s="13" t="s">
        <v>88</v>
      </c>
      <c r="L1081">
        <f>IF(COUNTIF(A$2:A1081, A1081)=1, IF(COUNTIF(A$2:A$2001, A1081)&gt;1, 1, 0), 0)</f>
        <v>0</v>
      </c>
      <c r="M1081" t="b">
        <f>VLOOKUP(D1081, Products!A$2:F$61, 6, FALSE)</f>
        <v>1</v>
      </c>
      <c r="N1081" t="str">
        <f>VLOOKUP(D1081, Products!A$2:C$61, 3, FALSE)</f>
        <v>Electronics</v>
      </c>
      <c r="O1081" t="str">
        <f>VLOOKUP(C1081, Customers!A$2:E$301, 5, FALSE)</f>
        <v>Retail</v>
      </c>
      <c r="P1081">
        <f>VLOOKUP(C1081, Customers!A$2:C$301, 3, FALSE)</f>
        <v>63</v>
      </c>
      <c r="Q1081" t="str">
        <f>VLOOKUP(E1081, Sales_Reps!A$2:C$31, 3, FALSE)</f>
        <v>South</v>
      </c>
      <c r="R1081">
        <f>VLOOKUP(D1081, Products!A$2:D$61, 4, FALSE)</f>
        <v>128</v>
      </c>
    </row>
    <row r="1082" spans="1:18" x14ac:dyDescent="0.3">
      <c r="A1082" s="13" t="s">
        <v>1566</v>
      </c>
      <c r="B1082" s="14">
        <v>45537</v>
      </c>
      <c r="C1082" s="13" t="s">
        <v>90</v>
      </c>
      <c r="D1082" s="13" t="s">
        <v>380</v>
      </c>
      <c r="E1082" s="13" t="s">
        <v>98</v>
      </c>
      <c r="F1082" s="15">
        <v>6</v>
      </c>
      <c r="G1082" s="15">
        <v>960</v>
      </c>
      <c r="H1082" s="15">
        <v>29.3</v>
      </c>
      <c r="I1082" s="15">
        <v>4072.32</v>
      </c>
      <c r="J1082" s="13" t="s">
        <v>140</v>
      </c>
      <c r="K1082" s="13" t="s">
        <v>94</v>
      </c>
      <c r="L1082">
        <f>IF(COUNTIF(A$2:A1082, A1082)=1, IF(COUNTIF(A$2:A$2001, A1082)&gt;1, 1, 0), 0)</f>
        <v>0</v>
      </c>
      <c r="M1082" t="b">
        <f>VLOOKUP(D1082, Products!A$2:F$61, 6, FALSE)</f>
        <v>1</v>
      </c>
      <c r="N1082" t="str">
        <f>VLOOKUP(D1082, Products!A$2:C$61, 3, FALSE)</f>
        <v>Beauty</v>
      </c>
      <c r="O1082" t="str">
        <f>VLOOKUP(C1082, Customers!A$2:E$301, 5, FALSE)</f>
        <v>Retail</v>
      </c>
      <c r="P1082">
        <f>VLOOKUP(C1082, Customers!A$2:C$301, 3, FALSE)</f>
        <v>39</v>
      </c>
      <c r="Q1082" t="str">
        <f>VLOOKUP(E1082, Sales_Reps!A$2:C$31, 3, FALSE)</f>
        <v>South</v>
      </c>
      <c r="R1082">
        <f>VLOOKUP(D1082, Products!A$2:D$61, 4, FALSE)</f>
        <v>675</v>
      </c>
    </row>
    <row r="1083" spans="1:18" x14ac:dyDescent="0.3">
      <c r="A1083" s="13" t="s">
        <v>1567</v>
      </c>
      <c r="B1083" s="14">
        <v>45383</v>
      </c>
      <c r="C1083" s="13" t="s">
        <v>447</v>
      </c>
      <c r="D1083" s="13" t="s">
        <v>245</v>
      </c>
      <c r="E1083" s="13" t="s">
        <v>111</v>
      </c>
      <c r="F1083" s="15">
        <v>1</v>
      </c>
      <c r="G1083" s="15">
        <v>2270</v>
      </c>
      <c r="H1083" s="15">
        <v>12.4</v>
      </c>
      <c r="I1083" s="15">
        <v>1988.52</v>
      </c>
      <c r="J1083" s="13" t="s">
        <v>87</v>
      </c>
      <c r="K1083" s="13" t="s">
        <v>112</v>
      </c>
      <c r="L1083">
        <f>IF(COUNTIF(A$2:A1083, A1083)=1, IF(COUNTIF(A$2:A$2001, A1083)&gt;1, 1, 0), 0)</f>
        <v>0</v>
      </c>
      <c r="M1083" t="b">
        <f>VLOOKUP(D1083, Products!A$2:F$61, 6, FALSE)</f>
        <v>1</v>
      </c>
      <c r="N1083" t="str">
        <f>VLOOKUP(D1083, Products!A$2:C$61, 3, FALSE)</f>
        <v>Grocery</v>
      </c>
      <c r="O1083" t="str">
        <f>VLOOKUP(C1083, Customers!A$2:E$301, 5, FALSE)</f>
        <v>Retail</v>
      </c>
      <c r="P1083">
        <f>VLOOKUP(C1083, Customers!A$2:C$301, 3, FALSE)</f>
        <v>41</v>
      </c>
      <c r="Q1083" t="str">
        <f>VLOOKUP(E1083, Sales_Reps!A$2:C$31, 3, FALSE)</f>
        <v>West</v>
      </c>
      <c r="R1083">
        <f>VLOOKUP(D1083, Products!A$2:D$61, 4, FALSE)</f>
        <v>1412</v>
      </c>
    </row>
    <row r="1084" spans="1:18" x14ac:dyDescent="0.3">
      <c r="A1084" s="13" t="s">
        <v>1568</v>
      </c>
      <c r="B1084" s="14">
        <v>45541</v>
      </c>
      <c r="C1084" s="13" t="s">
        <v>331</v>
      </c>
      <c r="D1084" s="13" t="s">
        <v>295</v>
      </c>
      <c r="E1084" s="13" t="s">
        <v>343</v>
      </c>
      <c r="F1084" s="15">
        <v>10</v>
      </c>
      <c r="G1084" s="15">
        <v>2030</v>
      </c>
      <c r="H1084" s="15">
        <v>4</v>
      </c>
      <c r="I1084" s="15">
        <v>19488</v>
      </c>
      <c r="J1084" s="13" t="s">
        <v>87</v>
      </c>
      <c r="K1084" s="13" t="s">
        <v>117</v>
      </c>
      <c r="L1084">
        <f>IF(COUNTIF(A$2:A1084, A1084)=1, IF(COUNTIF(A$2:A$2001, A1084)&gt;1, 1, 0), 0)</f>
        <v>0</v>
      </c>
      <c r="M1084" t="b">
        <f>VLOOKUP(D1084, Products!A$2:F$61, 6, FALSE)</f>
        <v>1</v>
      </c>
      <c r="N1084" t="str">
        <f>VLOOKUP(D1084, Products!A$2:C$61, 3, FALSE)</f>
        <v>Home</v>
      </c>
      <c r="O1084" t="str">
        <f>VLOOKUP(C1084, Customers!A$2:E$301, 5, FALSE)</f>
        <v>Corporate</v>
      </c>
      <c r="P1084">
        <f>VLOOKUP(C1084, Customers!A$2:C$301, 3, FALSE)</f>
        <v>59</v>
      </c>
      <c r="Q1084" t="str">
        <f>VLOOKUP(E1084, Sales_Reps!A$2:C$31, 3, FALSE)</f>
        <v>West</v>
      </c>
      <c r="R1084">
        <f>VLOOKUP(D1084, Products!A$2:D$61, 4, FALSE)</f>
        <v>1143</v>
      </c>
    </row>
    <row r="1085" spans="1:18" x14ac:dyDescent="0.3">
      <c r="A1085" s="13" t="s">
        <v>1569</v>
      </c>
      <c r="B1085" s="14">
        <v>45609</v>
      </c>
      <c r="C1085" s="13" t="s">
        <v>902</v>
      </c>
      <c r="D1085" s="13" t="s">
        <v>164</v>
      </c>
      <c r="E1085" s="13" t="s">
        <v>158</v>
      </c>
      <c r="F1085" s="15">
        <v>9</v>
      </c>
      <c r="G1085" s="15">
        <v>1080</v>
      </c>
      <c r="H1085" s="15">
        <v>19.2</v>
      </c>
      <c r="I1085" s="15">
        <v>7853.76</v>
      </c>
      <c r="J1085" s="13" t="s">
        <v>93</v>
      </c>
      <c r="K1085" s="13" t="s">
        <v>112</v>
      </c>
      <c r="L1085">
        <f>IF(COUNTIF(A$2:A1085, A1085)=1, IF(COUNTIF(A$2:A$2001, A1085)&gt;1, 1, 0), 0)</f>
        <v>0</v>
      </c>
      <c r="M1085" t="b">
        <f>VLOOKUP(D1085, Products!A$2:F$61, 6, FALSE)</f>
        <v>1</v>
      </c>
      <c r="N1085" t="str">
        <f>VLOOKUP(D1085, Products!A$2:C$61, 3, FALSE)</f>
        <v>Home</v>
      </c>
      <c r="O1085" t="str">
        <f>VLOOKUP(C1085, Customers!A$2:E$301, 5, FALSE)</f>
        <v>Retail</v>
      </c>
      <c r="P1085">
        <f>VLOOKUP(C1085, Customers!A$2:C$301, 3, FALSE)</f>
        <v>37</v>
      </c>
      <c r="Q1085" t="str">
        <f>VLOOKUP(E1085, Sales_Reps!A$2:C$31, 3, FALSE)</f>
        <v>East</v>
      </c>
      <c r="R1085">
        <f>VLOOKUP(D1085, Products!A$2:D$61, 4, FALSE)</f>
        <v>519</v>
      </c>
    </row>
    <row r="1086" spans="1:18" x14ac:dyDescent="0.3">
      <c r="A1086" s="13" t="s">
        <v>1570</v>
      </c>
      <c r="B1086" s="14">
        <v>45463</v>
      </c>
      <c r="C1086" s="13" t="s">
        <v>172</v>
      </c>
      <c r="D1086" s="13" t="s">
        <v>195</v>
      </c>
      <c r="E1086" s="13" t="s">
        <v>111</v>
      </c>
      <c r="F1086" s="15">
        <v>5</v>
      </c>
      <c r="G1086" s="15">
        <v>2860</v>
      </c>
      <c r="H1086" s="15">
        <v>25</v>
      </c>
      <c r="I1086" s="15">
        <v>10725</v>
      </c>
      <c r="J1086" s="13" t="s">
        <v>93</v>
      </c>
      <c r="K1086" s="13" t="s">
        <v>88</v>
      </c>
      <c r="L1086">
        <f>IF(COUNTIF(A$2:A1086, A1086)=1, IF(COUNTIF(A$2:A$2001, A1086)&gt;1, 1, 0), 0)</f>
        <v>0</v>
      </c>
      <c r="M1086" t="b">
        <f>VLOOKUP(D1086, Products!A$2:F$61, 6, FALSE)</f>
        <v>1</v>
      </c>
      <c r="N1086" t="str">
        <f>VLOOKUP(D1086, Products!A$2:C$61, 3, FALSE)</f>
        <v>Sports</v>
      </c>
      <c r="O1086" t="str">
        <f>VLOOKUP(C1086, Customers!A$2:E$301, 5, FALSE)</f>
        <v>Retail</v>
      </c>
      <c r="P1086">
        <f>VLOOKUP(C1086, Customers!A$2:C$301, 3, FALSE)</f>
        <v>50</v>
      </c>
      <c r="Q1086" t="str">
        <f>VLOOKUP(E1086, Sales_Reps!A$2:C$31, 3, FALSE)</f>
        <v>West</v>
      </c>
      <c r="R1086">
        <f>VLOOKUP(D1086, Products!A$2:D$61, 4, FALSE)</f>
        <v>2028</v>
      </c>
    </row>
    <row r="1087" spans="1:18" x14ac:dyDescent="0.3">
      <c r="A1087" s="13" t="s">
        <v>1571</v>
      </c>
      <c r="B1087" s="14">
        <v>45588</v>
      </c>
      <c r="C1087" s="13" t="s">
        <v>101</v>
      </c>
      <c r="D1087" s="13" t="s">
        <v>131</v>
      </c>
      <c r="E1087" s="13" t="s">
        <v>325</v>
      </c>
      <c r="F1087" s="15">
        <v>6</v>
      </c>
      <c r="G1087" s="15">
        <v>2270</v>
      </c>
      <c r="H1087" s="15">
        <v>9.3000000000000007</v>
      </c>
      <c r="I1087" s="15">
        <v>12353.34</v>
      </c>
      <c r="J1087" s="13" t="s">
        <v>87</v>
      </c>
      <c r="K1087" s="13" t="s">
        <v>99</v>
      </c>
      <c r="L1087">
        <f>IF(COUNTIF(A$2:A1087, A1087)=1, IF(COUNTIF(A$2:A$2001, A1087)&gt;1, 1, 0), 0)</f>
        <v>0</v>
      </c>
      <c r="M1087" t="b">
        <f>VLOOKUP(D1087, Products!A$2:F$61, 6, FALSE)</f>
        <v>1</v>
      </c>
      <c r="N1087" t="str">
        <f>VLOOKUP(D1087, Products!A$2:C$61, 3, FALSE)</f>
        <v>Grocery</v>
      </c>
      <c r="O1087" t="str">
        <f>VLOOKUP(C1087, Customers!A$2:E$301, 5, FALSE)</f>
        <v>Corporate</v>
      </c>
      <c r="P1087">
        <f>VLOOKUP(C1087, Customers!A$2:C$301, 3, FALSE)</f>
        <v>46</v>
      </c>
      <c r="Q1087" t="str">
        <f>VLOOKUP(E1087, Sales_Reps!A$2:C$31, 3, FALSE)</f>
        <v>South</v>
      </c>
      <c r="R1087">
        <f>VLOOKUP(D1087, Products!A$2:D$61, 4, FALSE)</f>
        <v>1203</v>
      </c>
    </row>
    <row r="1088" spans="1:18" x14ac:dyDescent="0.3">
      <c r="A1088" s="13" t="s">
        <v>1572</v>
      </c>
      <c r="B1088" s="14">
        <v>45328</v>
      </c>
      <c r="C1088" s="13" t="s">
        <v>635</v>
      </c>
      <c r="D1088" s="13" t="s">
        <v>173</v>
      </c>
      <c r="E1088" s="13" t="s">
        <v>116</v>
      </c>
      <c r="F1088" s="15">
        <v>1</v>
      </c>
      <c r="G1088" s="15">
        <v>2720</v>
      </c>
      <c r="H1088" s="15">
        <v>15.2</v>
      </c>
      <c r="I1088" s="15">
        <v>2306.56</v>
      </c>
      <c r="J1088" s="13" t="s">
        <v>87</v>
      </c>
      <c r="K1088" s="13" t="s">
        <v>99</v>
      </c>
      <c r="L1088">
        <f>IF(COUNTIF(A$2:A1088, A1088)=1, IF(COUNTIF(A$2:A$2001, A1088)&gt;1, 1, 0), 0)</f>
        <v>0</v>
      </c>
      <c r="M1088" t="b">
        <f>VLOOKUP(D1088, Products!A$2:F$61, 6, FALSE)</f>
        <v>1</v>
      </c>
      <c r="N1088" t="str">
        <f>VLOOKUP(D1088, Products!A$2:C$61, 3, FALSE)</f>
        <v>Apparel</v>
      </c>
      <c r="O1088" t="str">
        <f>VLOOKUP(C1088, Customers!A$2:E$301, 5, FALSE)</f>
        <v>Retail</v>
      </c>
      <c r="P1088">
        <f>VLOOKUP(C1088, Customers!A$2:C$301, 3, FALSE)</f>
        <v>49</v>
      </c>
      <c r="Q1088" t="str">
        <f>VLOOKUP(E1088, Sales_Reps!A$2:C$31, 3, FALSE)</f>
        <v>West</v>
      </c>
      <c r="R1088">
        <f>VLOOKUP(D1088, Products!A$2:D$61, 4, FALSE)</f>
        <v>1962</v>
      </c>
    </row>
    <row r="1089" spans="1:18" x14ac:dyDescent="0.3">
      <c r="A1089" s="13" t="s">
        <v>1573</v>
      </c>
      <c r="B1089" s="14">
        <v>45638</v>
      </c>
      <c r="C1089" s="13" t="s">
        <v>1038</v>
      </c>
      <c r="D1089" s="13" t="s">
        <v>248</v>
      </c>
      <c r="E1089" s="13" t="s">
        <v>92</v>
      </c>
      <c r="F1089" s="15">
        <v>10</v>
      </c>
      <c r="G1089" s="15">
        <v>3870</v>
      </c>
      <c r="H1089" s="15">
        <v>4.9000000000000004</v>
      </c>
      <c r="I1089" s="15">
        <v>36803.699999999997</v>
      </c>
      <c r="J1089" s="13" t="s">
        <v>140</v>
      </c>
      <c r="K1089" s="13" t="s">
        <v>117</v>
      </c>
      <c r="L1089">
        <f>IF(COUNTIF(A$2:A1089, A1089)=1, IF(COUNTIF(A$2:A$2001, A1089)&gt;1, 1, 0), 0)</f>
        <v>0</v>
      </c>
      <c r="M1089" t="b">
        <f>VLOOKUP(D1089, Products!A$2:F$61, 6, FALSE)</f>
        <v>1</v>
      </c>
      <c r="N1089" t="str">
        <f>VLOOKUP(D1089, Products!A$2:C$61, 3, FALSE)</f>
        <v>Electronics</v>
      </c>
      <c r="O1089" t="str">
        <f>VLOOKUP(C1089, Customers!A$2:E$301, 5, FALSE)</f>
        <v>Corporate</v>
      </c>
      <c r="P1089">
        <f>VLOOKUP(C1089, Customers!A$2:C$301, 3, FALSE)</f>
        <v>55</v>
      </c>
      <c r="Q1089" t="str">
        <f>VLOOKUP(E1089, Sales_Reps!A$2:C$31, 3, FALSE)</f>
        <v>North</v>
      </c>
      <c r="R1089">
        <f>VLOOKUP(D1089, Products!A$2:D$61, 4, FALSE)</f>
        <v>1559</v>
      </c>
    </row>
    <row r="1090" spans="1:18" x14ac:dyDescent="0.3">
      <c r="A1090" s="13" t="s">
        <v>1574</v>
      </c>
      <c r="B1090" s="14">
        <v>45332</v>
      </c>
      <c r="C1090" s="13" t="s">
        <v>1575</v>
      </c>
      <c r="D1090" s="13" t="s">
        <v>452</v>
      </c>
      <c r="E1090" s="13" t="s">
        <v>121</v>
      </c>
      <c r="F1090" s="15">
        <v>8</v>
      </c>
      <c r="G1090" s="15">
        <v>3450</v>
      </c>
      <c r="H1090" s="15">
        <v>20.6</v>
      </c>
      <c r="I1090" s="15">
        <v>21914.400000000001</v>
      </c>
      <c r="J1090" s="13" t="s">
        <v>87</v>
      </c>
      <c r="K1090" s="13" t="s">
        <v>133</v>
      </c>
      <c r="L1090">
        <f>IF(COUNTIF(A$2:A1090, A1090)=1, IF(COUNTIF(A$2:A$2001, A1090)&gt;1, 1, 0), 0)</f>
        <v>0</v>
      </c>
      <c r="M1090" t="b">
        <f>VLOOKUP(D1090, Products!A$2:F$61, 6, FALSE)</f>
        <v>1</v>
      </c>
      <c r="N1090" t="str">
        <f>VLOOKUP(D1090, Products!A$2:C$61, 3, FALSE)</f>
        <v>Apparel</v>
      </c>
      <c r="O1090" t="str">
        <f>VLOOKUP(C1090, Customers!A$2:E$301, 5, FALSE)</f>
        <v>Corporate</v>
      </c>
      <c r="P1090">
        <f>VLOOKUP(C1090, Customers!A$2:C$301, 3, FALSE)</f>
        <v>60</v>
      </c>
      <c r="Q1090" t="str">
        <f>VLOOKUP(E1090, Sales_Reps!A$2:C$31, 3, FALSE)</f>
        <v>East</v>
      </c>
      <c r="R1090">
        <f>VLOOKUP(D1090, Products!A$2:D$61, 4, FALSE)</f>
        <v>1748</v>
      </c>
    </row>
    <row r="1091" spans="1:18" x14ac:dyDescent="0.3">
      <c r="A1091" s="13" t="s">
        <v>1576</v>
      </c>
      <c r="B1091" s="14">
        <v>45406</v>
      </c>
      <c r="C1091" s="13" t="s">
        <v>269</v>
      </c>
      <c r="D1091" s="13" t="s">
        <v>97</v>
      </c>
      <c r="E1091" s="13" t="s">
        <v>297</v>
      </c>
      <c r="F1091" s="15">
        <v>1</v>
      </c>
      <c r="G1091" s="15">
        <v>470</v>
      </c>
      <c r="H1091" s="15">
        <v>5.4</v>
      </c>
      <c r="I1091" s="15">
        <v>444.62</v>
      </c>
      <c r="J1091" s="13" t="s">
        <v>144</v>
      </c>
      <c r="K1091" s="13" t="s">
        <v>112</v>
      </c>
      <c r="L1091">
        <f>IF(COUNTIF(A$2:A1091, A1091)=1, IF(COUNTIF(A$2:A$2001, A1091)&gt;1, 1, 0), 0)</f>
        <v>0</v>
      </c>
      <c r="M1091" t="b">
        <f>VLOOKUP(D1091, Products!A$2:F$61, 6, FALSE)</f>
        <v>0</v>
      </c>
      <c r="N1091" t="str">
        <f>VLOOKUP(D1091, Products!A$2:C$61, 3, FALSE)</f>
        <v>Sports</v>
      </c>
      <c r="O1091" t="str">
        <f>VLOOKUP(C1091, Customers!A$2:E$301, 5, FALSE)</f>
        <v>Retail</v>
      </c>
      <c r="P1091">
        <f>VLOOKUP(C1091, Customers!A$2:C$301, 3, FALSE)</f>
        <v>40</v>
      </c>
      <c r="Q1091" t="str">
        <f>VLOOKUP(E1091, Sales_Reps!A$2:C$31, 3, FALSE)</f>
        <v>North</v>
      </c>
      <c r="R1091">
        <f>VLOOKUP(D1091, Products!A$2:D$61, 4, FALSE)</f>
        <v>302</v>
      </c>
    </row>
    <row r="1092" spans="1:18" x14ac:dyDescent="0.3">
      <c r="A1092" s="13" t="s">
        <v>1577</v>
      </c>
      <c r="B1092" s="14">
        <v>45405</v>
      </c>
      <c r="C1092" s="13" t="s">
        <v>324</v>
      </c>
      <c r="D1092" s="13" t="s">
        <v>408</v>
      </c>
      <c r="E1092" s="13" t="s">
        <v>204</v>
      </c>
      <c r="F1092" s="15">
        <v>5</v>
      </c>
      <c r="G1092" s="15">
        <v>3970</v>
      </c>
      <c r="H1092" s="15">
        <v>5.8</v>
      </c>
      <c r="I1092" s="15">
        <v>18698.7</v>
      </c>
      <c r="J1092" s="13" t="s">
        <v>87</v>
      </c>
      <c r="K1092" s="13" t="s">
        <v>133</v>
      </c>
      <c r="L1092">
        <f>IF(COUNTIF(A$2:A1092, A1092)=1, IF(COUNTIF(A$2:A$2001, A1092)&gt;1, 1, 0), 0)</f>
        <v>0</v>
      </c>
      <c r="M1092" t="b">
        <f>VLOOKUP(D1092, Products!A$2:F$61, 6, FALSE)</f>
        <v>1</v>
      </c>
      <c r="N1092" t="str">
        <f>VLOOKUP(D1092, Products!A$2:C$61, 3, FALSE)</f>
        <v>Electronics</v>
      </c>
      <c r="O1092" t="str">
        <f>VLOOKUP(C1092, Customers!A$2:E$301, 5, FALSE)</f>
        <v>Retail</v>
      </c>
      <c r="P1092">
        <f>VLOOKUP(C1092, Customers!A$2:C$301, 3, FALSE)</f>
        <v>28</v>
      </c>
      <c r="Q1092" t="str">
        <f>VLOOKUP(E1092, Sales_Reps!A$2:C$31, 3, FALSE)</f>
        <v>South</v>
      </c>
      <c r="R1092">
        <f>VLOOKUP(D1092, Products!A$2:D$61, 4, FALSE)</f>
        <v>2865</v>
      </c>
    </row>
    <row r="1093" spans="1:18" x14ac:dyDescent="0.3">
      <c r="A1093" s="13" t="s">
        <v>1578</v>
      </c>
      <c r="B1093" s="14">
        <v>45469</v>
      </c>
      <c r="C1093" s="13" t="s">
        <v>1006</v>
      </c>
      <c r="D1093" s="13" t="s">
        <v>191</v>
      </c>
      <c r="E1093" s="13" t="s">
        <v>325</v>
      </c>
      <c r="F1093" s="15">
        <v>2</v>
      </c>
      <c r="G1093" s="15">
        <v>5100</v>
      </c>
      <c r="H1093" s="15">
        <v>19.899999999999999</v>
      </c>
      <c r="I1093" s="15">
        <v>8170.2</v>
      </c>
      <c r="J1093" s="13" t="s">
        <v>87</v>
      </c>
      <c r="K1093" s="13" t="s">
        <v>117</v>
      </c>
      <c r="L1093">
        <f>IF(COUNTIF(A$2:A1093, A1093)=1, IF(COUNTIF(A$2:A$2001, A1093)&gt;1, 1, 0), 0)</f>
        <v>0</v>
      </c>
      <c r="M1093" t="b">
        <f>VLOOKUP(D1093, Products!A$2:F$61, 6, FALSE)</f>
        <v>1</v>
      </c>
      <c r="N1093" t="str">
        <f>VLOOKUP(D1093, Products!A$2:C$61, 3, FALSE)</f>
        <v>Beauty</v>
      </c>
      <c r="O1093" t="str">
        <f>VLOOKUP(C1093, Customers!A$2:E$301, 5, FALSE)</f>
        <v>SMB</v>
      </c>
      <c r="P1093">
        <f>VLOOKUP(C1093, Customers!A$2:C$301, 3, FALSE)</f>
        <v>44</v>
      </c>
      <c r="Q1093" t="str">
        <f>VLOOKUP(E1093, Sales_Reps!A$2:C$31, 3, FALSE)</f>
        <v>South</v>
      </c>
      <c r="R1093">
        <f>VLOOKUP(D1093, Products!A$2:D$61, 4, FALSE)</f>
        <v>2237</v>
      </c>
    </row>
    <row r="1094" spans="1:18" x14ac:dyDescent="0.3">
      <c r="A1094" s="13" t="s">
        <v>1579</v>
      </c>
      <c r="B1094" s="14">
        <v>45656</v>
      </c>
      <c r="C1094" s="13" t="s">
        <v>493</v>
      </c>
      <c r="D1094" s="13" t="s">
        <v>157</v>
      </c>
      <c r="E1094" s="13" t="s">
        <v>215</v>
      </c>
      <c r="F1094" s="15">
        <v>6</v>
      </c>
      <c r="G1094" s="15">
        <v>3450</v>
      </c>
      <c r="H1094" s="15">
        <v>13</v>
      </c>
      <c r="I1094" s="15">
        <v>18009</v>
      </c>
      <c r="J1094" s="13" t="s">
        <v>87</v>
      </c>
      <c r="K1094" s="13" t="s">
        <v>88</v>
      </c>
      <c r="L1094">
        <f>IF(COUNTIF(A$2:A1094, A1094)=1, IF(COUNTIF(A$2:A$2001, A1094)&gt;1, 1, 0), 0)</f>
        <v>0</v>
      </c>
      <c r="M1094" t="b">
        <f>VLOOKUP(D1094, Products!A$2:F$61, 6, FALSE)</f>
        <v>1</v>
      </c>
      <c r="N1094" t="str">
        <f>VLOOKUP(D1094, Products!A$2:C$61, 3, FALSE)</f>
        <v>Beauty</v>
      </c>
      <c r="O1094" t="str">
        <f>VLOOKUP(C1094, Customers!A$2:E$301, 5, FALSE)</f>
        <v>Retail</v>
      </c>
      <c r="P1094">
        <f>VLOOKUP(C1094, Customers!A$2:C$301, 3, FALSE)</f>
        <v>57</v>
      </c>
      <c r="Q1094" t="str">
        <f>VLOOKUP(E1094, Sales_Reps!A$2:C$31, 3, FALSE)</f>
        <v>North</v>
      </c>
      <c r="R1094">
        <f>VLOOKUP(D1094, Products!A$2:D$61, 4, FALSE)</f>
        <v>2420</v>
      </c>
    </row>
    <row r="1095" spans="1:18" x14ac:dyDescent="0.3">
      <c r="A1095" s="13" t="s">
        <v>1580</v>
      </c>
      <c r="B1095" s="14">
        <v>45653</v>
      </c>
      <c r="C1095" s="13" t="s">
        <v>1499</v>
      </c>
      <c r="D1095" s="13" t="s">
        <v>226</v>
      </c>
      <c r="E1095" s="13" t="s">
        <v>325</v>
      </c>
      <c r="F1095" s="15">
        <v>9</v>
      </c>
      <c r="G1095" s="15">
        <v>3730</v>
      </c>
      <c r="H1095" s="15">
        <v>15.5</v>
      </c>
      <c r="I1095" s="15">
        <v>28366.65</v>
      </c>
      <c r="J1095" s="13" t="s">
        <v>87</v>
      </c>
      <c r="K1095" s="13" t="s">
        <v>94</v>
      </c>
      <c r="L1095">
        <f>IF(COUNTIF(A$2:A1095, A1095)=1, IF(COUNTIF(A$2:A$2001, A1095)&gt;1, 1, 0), 0)</f>
        <v>0</v>
      </c>
      <c r="M1095" t="b">
        <f>VLOOKUP(D1095, Products!A$2:F$61, 6, FALSE)</f>
        <v>1</v>
      </c>
      <c r="N1095" t="str">
        <f>VLOOKUP(D1095, Products!A$2:C$61, 3, FALSE)</f>
        <v>Home</v>
      </c>
      <c r="O1095" t="str">
        <f>VLOOKUP(C1095, Customers!A$2:E$301, 5, FALSE)</f>
        <v>Retail</v>
      </c>
      <c r="P1095">
        <f>VLOOKUP(C1095, Customers!A$2:C$301, 3, FALSE)</f>
        <v>26</v>
      </c>
      <c r="Q1095" t="str">
        <f>VLOOKUP(E1095, Sales_Reps!A$2:C$31, 3, FALSE)</f>
        <v>South</v>
      </c>
      <c r="R1095">
        <f>VLOOKUP(D1095, Products!A$2:D$61, 4, FALSE)</f>
        <v>2135</v>
      </c>
    </row>
    <row r="1096" spans="1:18" x14ac:dyDescent="0.3">
      <c r="A1096" s="13" t="s">
        <v>1581</v>
      </c>
      <c r="B1096" s="14">
        <v>45440</v>
      </c>
      <c r="C1096" s="13" t="s">
        <v>1575</v>
      </c>
      <c r="D1096" s="13" t="s">
        <v>380</v>
      </c>
      <c r="E1096" s="13" t="s">
        <v>192</v>
      </c>
      <c r="F1096" s="15">
        <v>5</v>
      </c>
      <c r="G1096" s="15">
        <v>960</v>
      </c>
      <c r="H1096" s="15">
        <v>9.3000000000000007</v>
      </c>
      <c r="I1096" s="15">
        <v>4353.6000000000004</v>
      </c>
      <c r="J1096" s="13" t="s">
        <v>87</v>
      </c>
      <c r="K1096" s="13" t="s">
        <v>133</v>
      </c>
      <c r="L1096">
        <f>IF(COUNTIF(A$2:A1096, A1096)=1, IF(COUNTIF(A$2:A$2001, A1096)&gt;1, 1, 0), 0)</f>
        <v>0</v>
      </c>
      <c r="M1096" t="b">
        <f>VLOOKUP(D1096, Products!A$2:F$61, 6, FALSE)</f>
        <v>1</v>
      </c>
      <c r="N1096" t="str">
        <f>VLOOKUP(D1096, Products!A$2:C$61, 3, FALSE)</f>
        <v>Beauty</v>
      </c>
      <c r="O1096" t="str">
        <f>VLOOKUP(C1096, Customers!A$2:E$301, 5, FALSE)</f>
        <v>Corporate</v>
      </c>
      <c r="P1096">
        <f>VLOOKUP(C1096, Customers!A$2:C$301, 3, FALSE)</f>
        <v>60</v>
      </c>
      <c r="Q1096" t="str">
        <f>VLOOKUP(E1096, Sales_Reps!A$2:C$31, 3, FALSE)</f>
        <v>East</v>
      </c>
      <c r="R1096">
        <f>VLOOKUP(D1096, Products!A$2:D$61, 4, FALSE)</f>
        <v>675</v>
      </c>
    </row>
    <row r="1097" spans="1:18" x14ac:dyDescent="0.3">
      <c r="A1097" s="13" t="s">
        <v>1582</v>
      </c>
      <c r="B1097" s="14">
        <v>45511</v>
      </c>
      <c r="C1097" s="13" t="s">
        <v>781</v>
      </c>
      <c r="D1097" s="13" t="s">
        <v>443</v>
      </c>
      <c r="E1097" s="13" t="s">
        <v>107</v>
      </c>
      <c r="F1097" s="15">
        <v>3</v>
      </c>
      <c r="G1097" s="15">
        <v>5080</v>
      </c>
      <c r="H1097" s="15">
        <v>17.399999999999999</v>
      </c>
      <c r="I1097" s="15">
        <v>12588.24</v>
      </c>
      <c r="J1097" s="13" t="s">
        <v>140</v>
      </c>
      <c r="K1097" s="13" t="s">
        <v>99</v>
      </c>
      <c r="L1097">
        <f>IF(COUNTIF(A$2:A1097, A1097)=1, IF(COUNTIF(A$2:A$2001, A1097)&gt;1, 1, 0), 0)</f>
        <v>0</v>
      </c>
      <c r="M1097" t="b">
        <f>VLOOKUP(D1097, Products!A$2:F$61, 6, FALSE)</f>
        <v>1</v>
      </c>
      <c r="N1097" t="str">
        <f>VLOOKUP(D1097, Products!A$2:C$61, 3, FALSE)</f>
        <v>Home</v>
      </c>
      <c r="O1097" t="str">
        <f>VLOOKUP(C1097, Customers!A$2:E$301, 5, FALSE)</f>
        <v>SMB</v>
      </c>
      <c r="P1097">
        <f>VLOOKUP(C1097, Customers!A$2:C$301, 3, FALSE)</f>
        <v>29</v>
      </c>
      <c r="Q1097" t="str">
        <f>VLOOKUP(E1097, Sales_Reps!A$2:C$31, 3, FALSE)</f>
        <v>North</v>
      </c>
      <c r="R1097">
        <f>VLOOKUP(D1097, Products!A$2:D$61, 4, FALSE)</f>
        <v>2459</v>
      </c>
    </row>
    <row r="1098" spans="1:18" x14ac:dyDescent="0.3">
      <c r="A1098" s="13" t="s">
        <v>1583</v>
      </c>
      <c r="B1098" s="14">
        <v>45300</v>
      </c>
      <c r="C1098" s="13" t="s">
        <v>948</v>
      </c>
      <c r="D1098" s="13" t="s">
        <v>248</v>
      </c>
      <c r="E1098" s="13" t="s">
        <v>148</v>
      </c>
      <c r="F1098" s="15">
        <v>4</v>
      </c>
      <c r="G1098" s="15">
        <v>3870</v>
      </c>
      <c r="H1098" s="15">
        <v>20.5</v>
      </c>
      <c r="I1098" s="15">
        <v>12306.6</v>
      </c>
      <c r="J1098" s="13" t="s">
        <v>93</v>
      </c>
      <c r="K1098" s="13" t="s">
        <v>721</v>
      </c>
      <c r="L1098">
        <f>IF(COUNTIF(A$2:A1098, A1098)=1, IF(COUNTIF(A$2:A$2001, A1098)&gt;1, 1, 0), 0)</f>
        <v>0</v>
      </c>
      <c r="M1098" t="b">
        <f>VLOOKUP(D1098, Products!A$2:F$61, 6, FALSE)</f>
        <v>1</v>
      </c>
      <c r="N1098" t="str">
        <f>VLOOKUP(D1098, Products!A$2:C$61, 3, FALSE)</f>
        <v>Electronics</v>
      </c>
      <c r="O1098" t="str">
        <f>VLOOKUP(C1098, Customers!A$2:E$301, 5, FALSE)</f>
        <v>Retail</v>
      </c>
      <c r="P1098">
        <f>VLOOKUP(C1098, Customers!A$2:C$301, 3, FALSE)</f>
        <v>65</v>
      </c>
      <c r="Q1098" t="str">
        <f>VLOOKUP(E1098, Sales_Reps!A$2:C$31, 3, FALSE)</f>
        <v>North</v>
      </c>
      <c r="R1098">
        <f>VLOOKUP(D1098, Products!A$2:D$61, 4, FALSE)</f>
        <v>1559</v>
      </c>
    </row>
    <row r="1099" spans="1:18" x14ac:dyDescent="0.3">
      <c r="A1099" s="13" t="s">
        <v>1584</v>
      </c>
      <c r="B1099" s="14">
        <v>45528</v>
      </c>
      <c r="C1099" s="13" t="s">
        <v>427</v>
      </c>
      <c r="D1099" s="13" t="s">
        <v>461</v>
      </c>
      <c r="E1099" s="13" t="s">
        <v>116</v>
      </c>
      <c r="F1099" s="15">
        <v>1</v>
      </c>
      <c r="G1099" s="15">
        <v>3780</v>
      </c>
      <c r="H1099" s="15">
        <v>21.5</v>
      </c>
      <c r="I1099" s="15">
        <v>2967.3</v>
      </c>
      <c r="J1099" s="13" t="s">
        <v>87</v>
      </c>
      <c r="K1099" s="13" t="s">
        <v>88</v>
      </c>
      <c r="L1099">
        <f>IF(COUNTIF(A$2:A1099, A1099)=1, IF(COUNTIF(A$2:A$2001, A1099)&gt;1, 1, 0), 0)</f>
        <v>0</v>
      </c>
      <c r="M1099" t="b">
        <f>VLOOKUP(D1099, Products!A$2:F$61, 6, FALSE)</f>
        <v>1</v>
      </c>
      <c r="N1099" t="str">
        <f>VLOOKUP(D1099, Products!A$2:C$61, 3, FALSE)</f>
        <v>Sports</v>
      </c>
      <c r="O1099" t="str">
        <f>VLOOKUP(C1099, Customers!A$2:E$301, 5, FALSE)</f>
        <v>Corporate</v>
      </c>
      <c r="P1099">
        <f>VLOOKUP(C1099, Customers!A$2:C$301, 3, FALSE)</f>
        <v>48</v>
      </c>
      <c r="Q1099" t="str">
        <f>VLOOKUP(E1099, Sales_Reps!A$2:C$31, 3, FALSE)</f>
        <v>West</v>
      </c>
      <c r="R1099">
        <f>VLOOKUP(D1099, Products!A$2:D$61, 4, FALSE)</f>
        <v>1860</v>
      </c>
    </row>
    <row r="1100" spans="1:18" x14ac:dyDescent="0.3">
      <c r="A1100" s="13" t="s">
        <v>1585</v>
      </c>
      <c r="B1100" s="14">
        <v>45622</v>
      </c>
      <c r="C1100" s="13" t="s">
        <v>114</v>
      </c>
      <c r="D1100" s="13" t="s">
        <v>248</v>
      </c>
      <c r="E1100" s="13" t="s">
        <v>238</v>
      </c>
      <c r="F1100" s="15">
        <v>3</v>
      </c>
      <c r="G1100" s="15">
        <v>3870</v>
      </c>
      <c r="H1100" s="15">
        <v>21.9</v>
      </c>
      <c r="I1100" s="15">
        <v>9067.41</v>
      </c>
      <c r="J1100" s="13" t="s">
        <v>93</v>
      </c>
      <c r="K1100" s="13" t="s">
        <v>117</v>
      </c>
      <c r="L1100">
        <f>IF(COUNTIF(A$2:A1100, A1100)=1, IF(COUNTIF(A$2:A$2001, A1100)&gt;1, 1, 0), 0)</f>
        <v>0</v>
      </c>
      <c r="M1100" t="b">
        <f>VLOOKUP(D1100, Products!A$2:F$61, 6, FALSE)</f>
        <v>1</v>
      </c>
      <c r="N1100" t="str">
        <f>VLOOKUP(D1100, Products!A$2:C$61, 3, FALSE)</f>
        <v>Electronics</v>
      </c>
      <c r="O1100" t="str">
        <f>VLOOKUP(C1100, Customers!A$2:E$301, 5, FALSE)</f>
        <v>Retail</v>
      </c>
      <c r="P1100">
        <f>VLOOKUP(C1100, Customers!A$2:C$301, 3, FALSE)</f>
        <v>27</v>
      </c>
      <c r="Q1100" t="str">
        <f>VLOOKUP(E1100, Sales_Reps!A$2:C$31, 3, FALSE)</f>
        <v>East</v>
      </c>
      <c r="R1100">
        <f>VLOOKUP(D1100, Products!A$2:D$61, 4, FALSE)</f>
        <v>1559</v>
      </c>
    </row>
    <row r="1101" spans="1:18" x14ac:dyDescent="0.3">
      <c r="A1101" s="13" t="s">
        <v>1586</v>
      </c>
      <c r="B1101" s="14">
        <v>45463</v>
      </c>
      <c r="C1101" s="13" t="s">
        <v>233</v>
      </c>
      <c r="D1101" s="13" t="s">
        <v>295</v>
      </c>
      <c r="E1101" s="13" t="s">
        <v>204</v>
      </c>
      <c r="F1101" s="15">
        <v>4</v>
      </c>
      <c r="G1101" s="15">
        <v>2030</v>
      </c>
      <c r="H1101" s="15">
        <v>23.4</v>
      </c>
      <c r="I1101" s="15">
        <v>6219.92</v>
      </c>
      <c r="J1101" s="13" t="s">
        <v>87</v>
      </c>
      <c r="K1101" s="13" t="s">
        <v>88</v>
      </c>
      <c r="L1101">
        <f>IF(COUNTIF(A$2:A1101, A1101)=1, IF(COUNTIF(A$2:A$2001, A1101)&gt;1, 1, 0), 0)</f>
        <v>0</v>
      </c>
      <c r="M1101" t="b">
        <f>VLOOKUP(D1101, Products!A$2:F$61, 6, FALSE)</f>
        <v>1</v>
      </c>
      <c r="N1101" t="str">
        <f>VLOOKUP(D1101, Products!A$2:C$61, 3, FALSE)</f>
        <v>Home</v>
      </c>
      <c r="O1101" t="str">
        <f>VLOOKUP(C1101, Customers!A$2:E$301, 5, FALSE)</f>
        <v>SMB</v>
      </c>
      <c r="P1101">
        <f>VLOOKUP(C1101, Customers!A$2:C$301, 3, FALSE)</f>
        <v>29</v>
      </c>
      <c r="Q1101" t="str">
        <f>VLOOKUP(E1101, Sales_Reps!A$2:C$31, 3, FALSE)</f>
        <v>South</v>
      </c>
      <c r="R1101">
        <f>VLOOKUP(D1101, Products!A$2:D$61, 4, FALSE)</f>
        <v>1143</v>
      </c>
    </row>
    <row r="1102" spans="1:18" x14ac:dyDescent="0.3">
      <c r="A1102" s="13" t="s">
        <v>1587</v>
      </c>
      <c r="B1102" s="14">
        <v>45407</v>
      </c>
      <c r="C1102" s="13" t="s">
        <v>595</v>
      </c>
      <c r="D1102" s="13" t="s">
        <v>338</v>
      </c>
      <c r="E1102" s="13" t="s">
        <v>148</v>
      </c>
      <c r="F1102" s="15">
        <v>6</v>
      </c>
      <c r="G1102" s="15">
        <v>2210</v>
      </c>
      <c r="H1102" s="15">
        <v>9.1</v>
      </c>
      <c r="I1102" s="15">
        <v>12053.34</v>
      </c>
      <c r="J1102" s="13" t="s">
        <v>87</v>
      </c>
      <c r="K1102" s="13" t="s">
        <v>99</v>
      </c>
      <c r="L1102">
        <f>IF(COUNTIF(A$2:A1102, A1102)=1, IF(COUNTIF(A$2:A$2001, A1102)&gt;1, 1, 0), 0)</f>
        <v>0</v>
      </c>
      <c r="M1102" t="b">
        <f>VLOOKUP(D1102, Products!A$2:F$61, 6, FALSE)</f>
        <v>1</v>
      </c>
      <c r="N1102" t="str">
        <f>VLOOKUP(D1102, Products!A$2:C$61, 3, FALSE)</f>
        <v>Grocery</v>
      </c>
      <c r="O1102" t="str">
        <f>VLOOKUP(C1102, Customers!A$2:E$301, 5, FALSE)</f>
        <v>SMB</v>
      </c>
      <c r="P1102">
        <f>VLOOKUP(C1102, Customers!A$2:C$301, 3, FALSE)</f>
        <v>48</v>
      </c>
      <c r="Q1102" t="str">
        <f>VLOOKUP(E1102, Sales_Reps!A$2:C$31, 3, FALSE)</f>
        <v>North</v>
      </c>
      <c r="R1102">
        <f>VLOOKUP(D1102, Products!A$2:D$61, 4, FALSE)</f>
        <v>1010</v>
      </c>
    </row>
    <row r="1103" spans="1:18" x14ac:dyDescent="0.3">
      <c r="A1103" s="13" t="s">
        <v>1588</v>
      </c>
      <c r="B1103" s="14">
        <v>45627</v>
      </c>
      <c r="C1103" s="13" t="s">
        <v>886</v>
      </c>
      <c r="D1103" s="13" t="s">
        <v>259</v>
      </c>
      <c r="E1103" s="13" t="s">
        <v>238</v>
      </c>
      <c r="F1103" s="15">
        <v>5</v>
      </c>
      <c r="G1103" s="15">
        <v>1540</v>
      </c>
      <c r="H1103" s="15">
        <v>18.100000000000001</v>
      </c>
      <c r="I1103" s="15">
        <v>6306.3</v>
      </c>
      <c r="J1103" s="13" t="s">
        <v>87</v>
      </c>
      <c r="K1103" s="13" t="s">
        <v>94</v>
      </c>
      <c r="L1103">
        <f>IF(COUNTIF(A$2:A1103, A1103)=1, IF(COUNTIF(A$2:A$2001, A1103)&gt;1, 1, 0), 0)</f>
        <v>0</v>
      </c>
      <c r="M1103" t="b">
        <f>VLOOKUP(D1103, Products!A$2:F$61, 6, FALSE)</f>
        <v>0</v>
      </c>
      <c r="N1103" t="str">
        <f>VLOOKUP(D1103, Products!A$2:C$61, 3, FALSE)</f>
        <v>Beauty</v>
      </c>
      <c r="O1103" t="str">
        <f>VLOOKUP(C1103, Customers!A$2:E$301, 5, FALSE)</f>
        <v>Corporate</v>
      </c>
      <c r="P1103">
        <f>VLOOKUP(C1103, Customers!A$2:C$301, 3, FALSE)</f>
        <v>44</v>
      </c>
      <c r="Q1103" t="str">
        <f>VLOOKUP(E1103, Sales_Reps!A$2:C$31, 3, FALSE)</f>
        <v>East</v>
      </c>
      <c r="R1103">
        <f>VLOOKUP(D1103, Products!A$2:D$61, 4, FALSE)</f>
        <v>647</v>
      </c>
    </row>
    <row r="1104" spans="1:18" x14ac:dyDescent="0.3">
      <c r="A1104" s="13" t="s">
        <v>1589</v>
      </c>
      <c r="B1104" s="14">
        <v>45393</v>
      </c>
      <c r="C1104" s="13" t="s">
        <v>638</v>
      </c>
      <c r="D1104" s="13" t="s">
        <v>182</v>
      </c>
      <c r="E1104" s="13" t="s">
        <v>273</v>
      </c>
      <c r="F1104" s="15">
        <v>1</v>
      </c>
      <c r="G1104" s="15">
        <v>1010</v>
      </c>
      <c r="H1104" s="15">
        <v>7.3</v>
      </c>
      <c r="I1104" s="15">
        <v>936.27</v>
      </c>
      <c r="J1104" s="13" t="s">
        <v>87</v>
      </c>
      <c r="K1104" s="13" t="s">
        <v>99</v>
      </c>
      <c r="L1104">
        <f>IF(COUNTIF(A$2:A1104, A1104)=1, IF(COUNTIF(A$2:A$2001, A1104)&gt;1, 1, 0), 0)</f>
        <v>0</v>
      </c>
      <c r="M1104" t="b">
        <f>VLOOKUP(D1104, Products!A$2:F$61, 6, FALSE)</f>
        <v>1</v>
      </c>
      <c r="N1104" t="str">
        <f>VLOOKUP(D1104, Products!A$2:C$61, 3, FALSE)</f>
        <v>Sports</v>
      </c>
      <c r="O1104" t="str">
        <f>VLOOKUP(C1104, Customers!A$2:E$301, 5, FALSE)</f>
        <v>Retail</v>
      </c>
      <c r="P1104">
        <f>VLOOKUP(C1104, Customers!A$2:C$301, 3, FALSE)</f>
        <v>43</v>
      </c>
      <c r="Q1104" t="str">
        <f>VLOOKUP(E1104, Sales_Reps!A$2:C$31, 3, FALSE)</f>
        <v>South</v>
      </c>
      <c r="R1104">
        <f>VLOOKUP(D1104, Products!A$2:D$61, 4, FALSE)</f>
        <v>516</v>
      </c>
    </row>
    <row r="1105" spans="1:18" x14ac:dyDescent="0.3">
      <c r="A1105" s="13" t="s">
        <v>1590</v>
      </c>
      <c r="B1105" s="14">
        <v>45360</v>
      </c>
      <c r="C1105" s="13" t="s">
        <v>676</v>
      </c>
      <c r="D1105" s="13" t="s">
        <v>364</v>
      </c>
      <c r="E1105" s="13" t="s">
        <v>188</v>
      </c>
      <c r="F1105" s="15">
        <v>10</v>
      </c>
      <c r="G1105" s="15">
        <v>5330</v>
      </c>
      <c r="H1105" s="15">
        <v>27.3</v>
      </c>
      <c r="I1105" s="15">
        <v>38749.1</v>
      </c>
      <c r="J1105" s="13" t="s">
        <v>87</v>
      </c>
      <c r="K1105" s="13" t="s">
        <v>88</v>
      </c>
      <c r="L1105">
        <f>IF(COUNTIF(A$2:A1105, A1105)=1, IF(COUNTIF(A$2:A$2001, A1105)&gt;1, 1, 0), 0)</f>
        <v>0</v>
      </c>
      <c r="M1105" t="b">
        <f>VLOOKUP(D1105, Products!A$2:F$61, 6, FALSE)</f>
        <v>1</v>
      </c>
      <c r="N1105" t="str">
        <f>VLOOKUP(D1105, Products!A$2:C$61, 3, FALSE)</f>
        <v>Electronics</v>
      </c>
      <c r="O1105" t="str">
        <f>VLOOKUP(C1105, Customers!A$2:E$301, 5, FALSE)</f>
        <v>SMB</v>
      </c>
      <c r="P1105">
        <f>VLOOKUP(C1105, Customers!A$2:C$301, 3, FALSE)</f>
        <v>35</v>
      </c>
      <c r="Q1105" t="str">
        <f>VLOOKUP(E1105, Sales_Reps!A$2:C$31, 3, FALSE)</f>
        <v>South</v>
      </c>
      <c r="R1105">
        <f>VLOOKUP(D1105, Products!A$2:D$61, 4, FALSE)</f>
        <v>2405</v>
      </c>
    </row>
    <row r="1106" spans="1:18" x14ac:dyDescent="0.3">
      <c r="A1106" s="13" t="s">
        <v>1591</v>
      </c>
      <c r="B1106" s="14">
        <v>45548</v>
      </c>
      <c r="C1106" s="13" t="s">
        <v>405</v>
      </c>
      <c r="D1106" s="13" t="s">
        <v>187</v>
      </c>
      <c r="E1106" s="13" t="s">
        <v>285</v>
      </c>
      <c r="F1106" s="15">
        <v>7</v>
      </c>
      <c r="G1106" s="15">
        <v>3570</v>
      </c>
      <c r="H1106" s="15">
        <v>24.3</v>
      </c>
      <c r="I1106" s="15">
        <v>18917.43</v>
      </c>
      <c r="J1106" s="13" t="s">
        <v>87</v>
      </c>
      <c r="K1106" s="13" t="s">
        <v>94</v>
      </c>
      <c r="L1106">
        <f>IF(COUNTIF(A$2:A1106, A1106)=1, IF(COUNTIF(A$2:A$2001, A1106)&gt;1, 1, 0), 0)</f>
        <v>0</v>
      </c>
      <c r="M1106" t="b">
        <f>VLOOKUP(D1106, Products!A$2:F$61, 6, FALSE)</f>
        <v>1</v>
      </c>
      <c r="N1106" t="str">
        <f>VLOOKUP(D1106, Products!A$2:C$61, 3, FALSE)</f>
        <v>Electronics</v>
      </c>
      <c r="O1106" t="str">
        <f>VLOOKUP(C1106, Customers!A$2:E$301, 5, FALSE)</f>
        <v>Corporate</v>
      </c>
      <c r="P1106">
        <f>VLOOKUP(C1106, Customers!A$2:C$301, 3, FALSE)</f>
        <v>24</v>
      </c>
      <c r="Q1106" t="str">
        <f>VLOOKUP(E1106, Sales_Reps!A$2:C$31, 3, FALSE)</f>
        <v>East</v>
      </c>
      <c r="R1106">
        <f>VLOOKUP(D1106, Products!A$2:D$61, 4, FALSE)</f>
        <v>1665</v>
      </c>
    </row>
    <row r="1107" spans="1:18" x14ac:dyDescent="0.3">
      <c r="A1107" s="13" t="s">
        <v>1592</v>
      </c>
      <c r="B1107" s="14">
        <v>45569</v>
      </c>
      <c r="C1107" s="13" t="s">
        <v>369</v>
      </c>
      <c r="D1107" s="13" t="s">
        <v>179</v>
      </c>
      <c r="E1107" s="13" t="s">
        <v>238</v>
      </c>
      <c r="F1107" s="15">
        <v>1</v>
      </c>
      <c r="G1107" s="15">
        <v>3350</v>
      </c>
      <c r="H1107" s="15">
        <v>14.9</v>
      </c>
      <c r="I1107" s="15">
        <v>2850.85</v>
      </c>
      <c r="J1107" s="13" t="s">
        <v>87</v>
      </c>
      <c r="K1107" s="13" t="s">
        <v>94</v>
      </c>
      <c r="L1107">
        <f>IF(COUNTIF(A$2:A1107, A1107)=1, IF(COUNTIF(A$2:A$2001, A1107)&gt;1, 1, 0), 0)</f>
        <v>0</v>
      </c>
      <c r="M1107" t="b">
        <f>VLOOKUP(D1107, Products!A$2:F$61, 6, FALSE)</f>
        <v>1</v>
      </c>
      <c r="N1107" t="str">
        <f>VLOOKUP(D1107, Products!A$2:C$61, 3, FALSE)</f>
        <v>Beauty</v>
      </c>
      <c r="O1107" t="str">
        <f>VLOOKUP(C1107, Customers!A$2:E$301, 5, FALSE)</f>
        <v>SMB</v>
      </c>
      <c r="P1107">
        <f>VLOOKUP(C1107, Customers!A$2:C$301, 3, FALSE)</f>
        <v>62</v>
      </c>
      <c r="Q1107" t="str">
        <f>VLOOKUP(E1107, Sales_Reps!A$2:C$31, 3, FALSE)</f>
        <v>East</v>
      </c>
      <c r="R1107">
        <f>VLOOKUP(D1107, Products!A$2:D$61, 4, FALSE)</f>
        <v>1728</v>
      </c>
    </row>
    <row r="1108" spans="1:18" x14ac:dyDescent="0.3">
      <c r="A1108" s="13" t="s">
        <v>1593</v>
      </c>
      <c r="B1108" s="14">
        <v>45541</v>
      </c>
      <c r="C1108" s="13" t="s">
        <v>615</v>
      </c>
      <c r="D1108" s="13" t="s">
        <v>355</v>
      </c>
      <c r="E1108" s="13" t="s">
        <v>154</v>
      </c>
      <c r="F1108" s="15">
        <v>2</v>
      </c>
      <c r="G1108" s="15">
        <v>2510</v>
      </c>
      <c r="H1108" s="15">
        <v>10.6</v>
      </c>
      <c r="I1108" s="15">
        <v>4487.88</v>
      </c>
      <c r="J1108" s="13" t="s">
        <v>87</v>
      </c>
      <c r="K1108" s="13" t="s">
        <v>112</v>
      </c>
      <c r="L1108">
        <f>IF(COUNTIF(A$2:A1108, A1108)=1, IF(COUNTIF(A$2:A$2001, A1108)&gt;1, 1, 0), 0)</f>
        <v>0</v>
      </c>
      <c r="M1108" t="b">
        <f>VLOOKUP(D1108, Products!A$2:F$61, 6, FALSE)</f>
        <v>0</v>
      </c>
      <c r="N1108" t="str">
        <f>VLOOKUP(D1108, Products!A$2:C$61, 3, FALSE)</f>
        <v>Apparel</v>
      </c>
      <c r="O1108" t="str">
        <f>VLOOKUP(C1108, Customers!A$2:E$301, 5, FALSE)</f>
        <v>Retail</v>
      </c>
      <c r="P1108">
        <f>VLOOKUP(C1108, Customers!A$2:C$301, 3, FALSE)</f>
        <v>53</v>
      </c>
      <c r="Q1108" t="str">
        <f>VLOOKUP(E1108, Sales_Reps!A$2:C$31, 3, FALSE)</f>
        <v>East</v>
      </c>
      <c r="R1108">
        <f>VLOOKUP(D1108, Products!A$2:D$61, 4, FALSE)</f>
        <v>1075</v>
      </c>
    </row>
    <row r="1109" spans="1:18" x14ac:dyDescent="0.3">
      <c r="A1109" s="13" t="s">
        <v>1594</v>
      </c>
      <c r="B1109" s="14">
        <v>45369</v>
      </c>
      <c r="C1109" s="13" t="s">
        <v>160</v>
      </c>
      <c r="D1109" s="13" t="s">
        <v>127</v>
      </c>
      <c r="E1109" s="13" t="s">
        <v>111</v>
      </c>
      <c r="F1109" s="15">
        <v>5</v>
      </c>
      <c r="G1109" s="15">
        <v>970</v>
      </c>
      <c r="H1109" s="15">
        <v>6.8</v>
      </c>
      <c r="I1109" s="15">
        <v>4520.2</v>
      </c>
      <c r="J1109" s="13" t="s">
        <v>93</v>
      </c>
      <c r="K1109" s="13" t="s">
        <v>112</v>
      </c>
      <c r="L1109">
        <f>IF(COUNTIF(A$2:A1109, A1109)=1, IF(COUNTIF(A$2:A$2001, A1109)&gt;1, 1, 0), 0)</f>
        <v>0</v>
      </c>
      <c r="M1109" t="b">
        <f>VLOOKUP(D1109, Products!A$2:F$61, 6, FALSE)</f>
        <v>1</v>
      </c>
      <c r="N1109" t="str">
        <f>VLOOKUP(D1109, Products!A$2:C$61, 3, FALSE)</f>
        <v>Grocery</v>
      </c>
      <c r="O1109" t="str">
        <f>VLOOKUP(C1109, Customers!A$2:E$301, 5, FALSE)</f>
        <v>Retail</v>
      </c>
      <c r="P1109">
        <f>VLOOKUP(C1109, Customers!A$2:C$301, 3, FALSE)</f>
        <v>54</v>
      </c>
      <c r="Q1109" t="str">
        <f>VLOOKUP(E1109, Sales_Reps!A$2:C$31, 3, FALSE)</f>
        <v>West</v>
      </c>
      <c r="R1109">
        <f>VLOOKUP(D1109, Products!A$2:D$61, 4, FALSE)</f>
        <v>434</v>
      </c>
    </row>
    <row r="1110" spans="1:18" x14ac:dyDescent="0.3">
      <c r="A1110" s="13" t="s">
        <v>1595</v>
      </c>
      <c r="B1110" s="14">
        <v>45519</v>
      </c>
      <c r="C1110" s="13" t="s">
        <v>231</v>
      </c>
      <c r="D1110" s="13" t="s">
        <v>234</v>
      </c>
      <c r="E1110" s="13" t="s">
        <v>297</v>
      </c>
      <c r="F1110" s="15">
        <v>5</v>
      </c>
      <c r="G1110" s="15">
        <v>3780</v>
      </c>
      <c r="H1110" s="15">
        <v>16.600000000000001</v>
      </c>
      <c r="I1110" s="15">
        <v>15762.6</v>
      </c>
      <c r="J1110" s="13" t="s">
        <v>87</v>
      </c>
      <c r="K1110" s="13" t="s">
        <v>117</v>
      </c>
      <c r="L1110">
        <f>IF(COUNTIF(A$2:A1110, A1110)=1, IF(COUNTIF(A$2:A$2001, A1110)&gt;1, 1, 0), 0)</f>
        <v>0</v>
      </c>
      <c r="M1110" t="b">
        <f>VLOOKUP(D1110, Products!A$2:F$61, 6, FALSE)</f>
        <v>1</v>
      </c>
      <c r="N1110" t="str">
        <f>VLOOKUP(D1110, Products!A$2:C$61, 3, FALSE)</f>
        <v>Grocery</v>
      </c>
      <c r="O1110" t="str">
        <f>VLOOKUP(C1110, Customers!A$2:E$301, 5, FALSE)</f>
        <v>SMB</v>
      </c>
      <c r="P1110">
        <f>VLOOKUP(C1110, Customers!A$2:C$301, 3, FALSE)</f>
        <v>64</v>
      </c>
      <c r="Q1110" t="str">
        <f>VLOOKUP(E1110, Sales_Reps!A$2:C$31, 3, FALSE)</f>
        <v>North</v>
      </c>
      <c r="R1110">
        <f>VLOOKUP(D1110, Products!A$2:D$61, 4, FALSE)</f>
        <v>2436</v>
      </c>
    </row>
    <row r="1111" spans="1:18" x14ac:dyDescent="0.3">
      <c r="A1111" s="13" t="s">
        <v>1596</v>
      </c>
      <c r="B1111" s="14">
        <v>45379</v>
      </c>
      <c r="C1111" s="13" t="s">
        <v>676</v>
      </c>
      <c r="D1111" s="13" t="s">
        <v>355</v>
      </c>
      <c r="E1111" s="13" t="s">
        <v>86</v>
      </c>
      <c r="F1111" s="15">
        <v>3</v>
      </c>
      <c r="G1111" s="15">
        <v>2510</v>
      </c>
      <c r="H1111" s="15">
        <v>24.9</v>
      </c>
      <c r="I1111" s="15">
        <v>5655.03</v>
      </c>
      <c r="J1111" s="13" t="s">
        <v>140</v>
      </c>
      <c r="K1111" s="13" t="s">
        <v>88</v>
      </c>
      <c r="L1111">
        <f>IF(COUNTIF(A$2:A1111, A1111)=1, IF(COUNTIF(A$2:A$2001, A1111)&gt;1, 1, 0), 0)</f>
        <v>0</v>
      </c>
      <c r="M1111" t="b">
        <f>VLOOKUP(D1111, Products!A$2:F$61, 6, FALSE)</f>
        <v>0</v>
      </c>
      <c r="N1111" t="str">
        <f>VLOOKUP(D1111, Products!A$2:C$61, 3, FALSE)</f>
        <v>Apparel</v>
      </c>
      <c r="O1111" t="str">
        <f>VLOOKUP(C1111, Customers!A$2:E$301, 5, FALSE)</f>
        <v>SMB</v>
      </c>
      <c r="P1111">
        <f>VLOOKUP(C1111, Customers!A$2:C$301, 3, FALSE)</f>
        <v>35</v>
      </c>
      <c r="Q1111" t="str">
        <f>VLOOKUP(E1111, Sales_Reps!A$2:C$31, 3, FALSE)</f>
        <v>North</v>
      </c>
      <c r="R1111">
        <f>VLOOKUP(D1111, Products!A$2:D$61, 4, FALSE)</f>
        <v>1075</v>
      </c>
    </row>
    <row r="1112" spans="1:18" x14ac:dyDescent="0.3">
      <c r="A1112" s="13" t="s">
        <v>1597</v>
      </c>
      <c r="B1112" s="14">
        <v>45548</v>
      </c>
      <c r="C1112" s="13" t="s">
        <v>1361</v>
      </c>
      <c r="D1112" s="13" t="s">
        <v>295</v>
      </c>
      <c r="E1112" s="13" t="s">
        <v>107</v>
      </c>
      <c r="F1112" s="15">
        <v>3</v>
      </c>
      <c r="G1112" s="15">
        <v>2030</v>
      </c>
      <c r="H1112" s="15">
        <v>3.8</v>
      </c>
      <c r="I1112" s="15">
        <v>5858.58</v>
      </c>
      <c r="J1112" s="13" t="s">
        <v>87</v>
      </c>
      <c r="K1112" s="13" t="s">
        <v>94</v>
      </c>
      <c r="L1112">
        <f>IF(COUNTIF(A$2:A1112, A1112)=1, IF(COUNTIF(A$2:A$2001, A1112)&gt;1, 1, 0), 0)</f>
        <v>0</v>
      </c>
      <c r="M1112" t="b">
        <f>VLOOKUP(D1112, Products!A$2:F$61, 6, FALSE)</f>
        <v>1</v>
      </c>
      <c r="N1112" t="str">
        <f>VLOOKUP(D1112, Products!A$2:C$61, 3, FALSE)</f>
        <v>Home</v>
      </c>
      <c r="O1112" t="str">
        <f>VLOOKUP(C1112, Customers!A$2:E$301, 5, FALSE)</f>
        <v>Retail</v>
      </c>
      <c r="P1112">
        <f>VLOOKUP(C1112, Customers!A$2:C$301, 3, FALSE)</f>
        <v>34</v>
      </c>
      <c r="Q1112" t="str">
        <f>VLOOKUP(E1112, Sales_Reps!A$2:C$31, 3, FALSE)</f>
        <v>North</v>
      </c>
      <c r="R1112">
        <f>VLOOKUP(D1112, Products!A$2:D$61, 4, FALSE)</f>
        <v>1143</v>
      </c>
    </row>
    <row r="1113" spans="1:18" x14ac:dyDescent="0.3">
      <c r="A1113" s="13" t="s">
        <v>1598</v>
      </c>
      <c r="B1113" s="14">
        <v>45478</v>
      </c>
      <c r="C1113" s="13" t="s">
        <v>970</v>
      </c>
      <c r="D1113" s="13" t="s">
        <v>147</v>
      </c>
      <c r="E1113" s="13" t="s">
        <v>98</v>
      </c>
      <c r="F1113" s="15">
        <v>9</v>
      </c>
      <c r="G1113" s="15">
        <v>190</v>
      </c>
      <c r="H1113" s="15">
        <v>5.4</v>
      </c>
      <c r="I1113" s="15">
        <v>1617.66</v>
      </c>
      <c r="J1113" s="13" t="s">
        <v>87</v>
      </c>
      <c r="K1113" s="13" t="s">
        <v>112</v>
      </c>
      <c r="L1113">
        <f>IF(COUNTIF(A$2:A1113, A1113)=1, IF(COUNTIF(A$2:A$2001, A1113)&gt;1, 1, 0), 0)</f>
        <v>0</v>
      </c>
      <c r="M1113" t="b">
        <f>VLOOKUP(D1113, Products!A$2:F$61, 6, FALSE)</f>
        <v>1</v>
      </c>
      <c r="N1113" t="str">
        <f>VLOOKUP(D1113, Products!A$2:C$61, 3, FALSE)</f>
        <v>Sports</v>
      </c>
      <c r="O1113" t="str">
        <f>VLOOKUP(C1113, Customers!A$2:E$301, 5, FALSE)</f>
        <v>Retail</v>
      </c>
      <c r="P1113">
        <f>VLOOKUP(C1113, Customers!A$2:C$301, 3, FALSE)</f>
        <v>40</v>
      </c>
      <c r="Q1113" t="str">
        <f>VLOOKUP(E1113, Sales_Reps!A$2:C$31, 3, FALSE)</f>
        <v>South</v>
      </c>
      <c r="R1113">
        <f>VLOOKUP(D1113, Products!A$2:D$61, 4, FALSE)</f>
        <v>147</v>
      </c>
    </row>
    <row r="1114" spans="1:18" x14ac:dyDescent="0.3">
      <c r="A1114" s="13" t="s">
        <v>1599</v>
      </c>
      <c r="B1114" s="14">
        <v>45338</v>
      </c>
      <c r="C1114" s="13" t="s">
        <v>345</v>
      </c>
      <c r="D1114" s="13" t="s">
        <v>338</v>
      </c>
      <c r="E1114" s="13" t="s">
        <v>192</v>
      </c>
      <c r="F1114" s="15">
        <v>6</v>
      </c>
      <c r="G1114" s="15">
        <v>2210</v>
      </c>
      <c r="H1114" s="15">
        <v>29.4</v>
      </c>
      <c r="I1114" s="15">
        <v>9361.56</v>
      </c>
      <c r="J1114" s="13" t="s">
        <v>87</v>
      </c>
      <c r="K1114" s="13" t="s">
        <v>94</v>
      </c>
      <c r="L1114">
        <f>IF(COUNTIF(A$2:A1114, A1114)=1, IF(COUNTIF(A$2:A$2001, A1114)&gt;1, 1, 0), 0)</f>
        <v>0</v>
      </c>
      <c r="M1114" t="b">
        <f>VLOOKUP(D1114, Products!A$2:F$61, 6, FALSE)</f>
        <v>1</v>
      </c>
      <c r="N1114" t="str">
        <f>VLOOKUP(D1114, Products!A$2:C$61, 3, FALSE)</f>
        <v>Grocery</v>
      </c>
      <c r="O1114" t="str">
        <f>VLOOKUP(C1114, Customers!A$2:E$301, 5, FALSE)</f>
        <v>Corporate</v>
      </c>
      <c r="P1114">
        <f>VLOOKUP(C1114, Customers!A$2:C$301, 3, FALSE)</f>
        <v>38</v>
      </c>
      <c r="Q1114" t="str">
        <f>VLOOKUP(E1114, Sales_Reps!A$2:C$31, 3, FALSE)</f>
        <v>East</v>
      </c>
      <c r="R1114">
        <f>VLOOKUP(D1114, Products!A$2:D$61, 4, FALSE)</f>
        <v>1010</v>
      </c>
    </row>
    <row r="1115" spans="1:18" x14ac:dyDescent="0.3">
      <c r="A1115" s="13" t="s">
        <v>1600</v>
      </c>
      <c r="B1115" s="14">
        <v>45546</v>
      </c>
      <c r="C1115" s="13" t="s">
        <v>420</v>
      </c>
      <c r="D1115" s="13" t="s">
        <v>237</v>
      </c>
      <c r="E1115" s="13" t="s">
        <v>92</v>
      </c>
      <c r="F1115" s="15">
        <v>4</v>
      </c>
      <c r="G1115" s="15">
        <v>3640</v>
      </c>
      <c r="H1115" s="15">
        <v>0.6</v>
      </c>
      <c r="I1115" s="15">
        <v>14472.64</v>
      </c>
      <c r="J1115" s="13" t="s">
        <v>87</v>
      </c>
      <c r="K1115" s="13" t="s">
        <v>99</v>
      </c>
      <c r="L1115">
        <f>IF(COUNTIF(A$2:A1115, A1115)=1, IF(COUNTIF(A$2:A$2001, A1115)&gt;1, 1, 0), 0)</f>
        <v>0</v>
      </c>
      <c r="M1115" t="b">
        <f>VLOOKUP(D1115, Products!A$2:F$61, 6, FALSE)</f>
        <v>1</v>
      </c>
      <c r="N1115" t="str">
        <f>VLOOKUP(D1115, Products!A$2:C$61, 3, FALSE)</f>
        <v>Apparel</v>
      </c>
      <c r="O1115" t="str">
        <f>VLOOKUP(C1115, Customers!A$2:E$301, 5, FALSE)</f>
        <v>Retail</v>
      </c>
      <c r="P1115">
        <f>VLOOKUP(C1115, Customers!A$2:C$301, 3, FALSE)</f>
        <v>44</v>
      </c>
      <c r="Q1115" t="str">
        <f>VLOOKUP(E1115, Sales_Reps!A$2:C$31, 3, FALSE)</f>
        <v>North</v>
      </c>
      <c r="R1115">
        <f>VLOOKUP(D1115, Products!A$2:D$61, 4, FALSE)</f>
        <v>2611</v>
      </c>
    </row>
    <row r="1116" spans="1:18" x14ac:dyDescent="0.3">
      <c r="A1116" s="13" t="s">
        <v>1601</v>
      </c>
      <c r="B1116" s="14">
        <v>45626</v>
      </c>
      <c r="C1116" s="13" t="s">
        <v>900</v>
      </c>
      <c r="D1116" s="13" t="s">
        <v>267</v>
      </c>
      <c r="E1116" s="13" t="s">
        <v>204</v>
      </c>
      <c r="F1116" s="15">
        <v>9</v>
      </c>
      <c r="G1116" s="15">
        <v>1220</v>
      </c>
      <c r="H1116" s="15">
        <v>24.1</v>
      </c>
      <c r="I1116" s="15">
        <v>8333.82</v>
      </c>
      <c r="J1116" s="13" t="s">
        <v>87</v>
      </c>
      <c r="K1116" s="13" t="s">
        <v>117</v>
      </c>
      <c r="L1116">
        <f>IF(COUNTIF(A$2:A1116, A1116)=1, IF(COUNTIF(A$2:A$2001, A1116)&gt;1, 1, 0), 0)</f>
        <v>0</v>
      </c>
      <c r="M1116" t="b">
        <f>VLOOKUP(D1116, Products!A$2:F$61, 6, FALSE)</f>
        <v>1</v>
      </c>
      <c r="N1116" t="str">
        <f>VLOOKUP(D1116, Products!A$2:C$61, 3, FALSE)</f>
        <v>Electronics</v>
      </c>
      <c r="O1116" t="str">
        <f>VLOOKUP(C1116, Customers!A$2:E$301, 5, FALSE)</f>
        <v>Retail</v>
      </c>
      <c r="P1116">
        <f>VLOOKUP(C1116, Customers!A$2:C$301, 3, FALSE)</f>
        <v>35</v>
      </c>
      <c r="Q1116" t="str">
        <f>VLOOKUP(E1116, Sales_Reps!A$2:C$31, 3, FALSE)</f>
        <v>South</v>
      </c>
      <c r="R1116">
        <f>VLOOKUP(D1116, Products!A$2:D$61, 4, FALSE)</f>
        <v>517</v>
      </c>
    </row>
    <row r="1117" spans="1:18" x14ac:dyDescent="0.3">
      <c r="A1117" s="13" t="s">
        <v>1602</v>
      </c>
      <c r="B1117" s="14">
        <v>45402</v>
      </c>
      <c r="C1117" s="13" t="s">
        <v>585</v>
      </c>
      <c r="D1117" s="13" t="s">
        <v>515</v>
      </c>
      <c r="E1117" s="13" t="s">
        <v>204</v>
      </c>
      <c r="F1117" s="15">
        <v>2</v>
      </c>
      <c r="G1117" s="15">
        <v>6940</v>
      </c>
      <c r="H1117" s="15">
        <v>27</v>
      </c>
      <c r="I1117" s="15">
        <v>10132.4</v>
      </c>
      <c r="J1117" s="13" t="s">
        <v>87</v>
      </c>
      <c r="K1117" s="13" t="s">
        <v>94</v>
      </c>
      <c r="L1117">
        <f>IF(COUNTIF(A$2:A1117, A1117)=1, IF(COUNTIF(A$2:A$2001, A1117)&gt;1, 1, 0), 0)</f>
        <v>0</v>
      </c>
      <c r="M1117" t="b">
        <f>VLOOKUP(D1117, Products!A$2:F$61, 6, FALSE)</f>
        <v>1</v>
      </c>
      <c r="N1117" t="str">
        <f>VLOOKUP(D1117, Products!A$2:C$61, 3, FALSE)</f>
        <v>Sports</v>
      </c>
      <c r="O1117" t="str">
        <f>VLOOKUP(C1117, Customers!A$2:E$301, 5, FALSE)</f>
        <v>Retail</v>
      </c>
      <c r="P1117">
        <f>VLOOKUP(C1117, Customers!A$2:C$301, 3, FALSE)</f>
        <v>26</v>
      </c>
      <c r="Q1117" t="str">
        <f>VLOOKUP(E1117, Sales_Reps!A$2:C$31, 3, FALSE)</f>
        <v>South</v>
      </c>
      <c r="R1117">
        <f>VLOOKUP(D1117, Products!A$2:D$61, 4, FALSE)</f>
        <v>2827</v>
      </c>
    </row>
    <row r="1118" spans="1:18" x14ac:dyDescent="0.3">
      <c r="A1118" s="13" t="s">
        <v>1603</v>
      </c>
      <c r="B1118" s="14">
        <v>45604</v>
      </c>
      <c r="C1118" s="13" t="s">
        <v>357</v>
      </c>
      <c r="D1118" s="13" t="s">
        <v>195</v>
      </c>
      <c r="E1118" s="13" t="s">
        <v>132</v>
      </c>
      <c r="F1118" s="15">
        <v>6</v>
      </c>
      <c r="G1118" s="15">
        <v>2860</v>
      </c>
      <c r="H1118" s="15">
        <v>6.6</v>
      </c>
      <c r="I1118" s="15">
        <v>16027.44</v>
      </c>
      <c r="J1118" s="13" t="s">
        <v>87</v>
      </c>
      <c r="K1118" s="13" t="s">
        <v>99</v>
      </c>
      <c r="L1118">
        <f>IF(COUNTIF(A$2:A1118, A1118)=1, IF(COUNTIF(A$2:A$2001, A1118)&gt;1, 1, 0), 0)</f>
        <v>0</v>
      </c>
      <c r="M1118" t="b">
        <f>VLOOKUP(D1118, Products!A$2:F$61, 6, FALSE)</f>
        <v>1</v>
      </c>
      <c r="N1118" t="str">
        <f>VLOOKUP(D1118, Products!A$2:C$61, 3, FALSE)</f>
        <v>Sports</v>
      </c>
      <c r="O1118" t="str">
        <f>VLOOKUP(C1118, Customers!A$2:E$301, 5, FALSE)</f>
        <v>SMB</v>
      </c>
      <c r="P1118">
        <f>VLOOKUP(C1118, Customers!A$2:C$301, 3, FALSE)</f>
        <v>38</v>
      </c>
      <c r="Q1118" t="str">
        <f>VLOOKUP(E1118, Sales_Reps!A$2:C$31, 3, FALSE)</f>
        <v>South</v>
      </c>
      <c r="R1118">
        <f>VLOOKUP(D1118, Products!A$2:D$61, 4, FALSE)</f>
        <v>2028</v>
      </c>
    </row>
    <row r="1119" spans="1:18" x14ac:dyDescent="0.3">
      <c r="A1119" s="13" t="s">
        <v>1604</v>
      </c>
      <c r="B1119" s="14">
        <v>45545</v>
      </c>
      <c r="C1119" s="13" t="s">
        <v>186</v>
      </c>
      <c r="D1119" s="13" t="s">
        <v>173</v>
      </c>
      <c r="E1119" s="13" t="s">
        <v>303</v>
      </c>
      <c r="F1119" s="15">
        <v>5</v>
      </c>
      <c r="G1119" s="15">
        <v>2720</v>
      </c>
      <c r="H1119" s="15">
        <v>21.4</v>
      </c>
      <c r="I1119" s="15">
        <v>10689.6</v>
      </c>
      <c r="J1119" s="13" t="s">
        <v>87</v>
      </c>
      <c r="K1119" s="13" t="s">
        <v>94</v>
      </c>
      <c r="L1119">
        <f>IF(COUNTIF(A$2:A1119, A1119)=1, IF(COUNTIF(A$2:A$2001, A1119)&gt;1, 1, 0), 0)</f>
        <v>0</v>
      </c>
      <c r="M1119" t="b">
        <f>VLOOKUP(D1119, Products!A$2:F$61, 6, FALSE)</f>
        <v>1</v>
      </c>
      <c r="N1119" t="str">
        <f>VLOOKUP(D1119, Products!A$2:C$61, 3, FALSE)</f>
        <v>Apparel</v>
      </c>
      <c r="O1119" t="str">
        <f>VLOOKUP(C1119, Customers!A$2:E$301, 5, FALSE)</f>
        <v>SMB</v>
      </c>
      <c r="P1119">
        <f>VLOOKUP(C1119, Customers!A$2:C$301, 3, FALSE)</f>
        <v>52</v>
      </c>
      <c r="Q1119" t="str">
        <f>VLOOKUP(E1119, Sales_Reps!A$2:C$31, 3, FALSE)</f>
        <v>East</v>
      </c>
      <c r="R1119">
        <f>VLOOKUP(D1119, Products!A$2:D$61, 4, FALSE)</f>
        <v>1962</v>
      </c>
    </row>
    <row r="1120" spans="1:18" x14ac:dyDescent="0.3">
      <c r="A1120" s="13" t="s">
        <v>1605</v>
      </c>
      <c r="B1120" s="14">
        <v>45445</v>
      </c>
      <c r="C1120" s="13" t="s">
        <v>269</v>
      </c>
      <c r="D1120" s="13" t="s">
        <v>91</v>
      </c>
      <c r="E1120" s="13" t="s">
        <v>103</v>
      </c>
      <c r="F1120" s="15">
        <v>5</v>
      </c>
      <c r="G1120" s="15">
        <v>820</v>
      </c>
      <c r="H1120" s="15">
        <v>28.6</v>
      </c>
      <c r="I1120" s="15">
        <v>2927.4</v>
      </c>
      <c r="J1120" s="13" t="s">
        <v>87</v>
      </c>
      <c r="K1120" s="13" t="s">
        <v>112</v>
      </c>
      <c r="L1120">
        <f>IF(COUNTIF(A$2:A1120, A1120)=1, IF(COUNTIF(A$2:A$2001, A1120)&gt;1, 1, 0), 0)</f>
        <v>0</v>
      </c>
      <c r="M1120" t="b">
        <f>VLOOKUP(D1120, Products!A$2:F$61, 6, FALSE)</f>
        <v>1</v>
      </c>
      <c r="N1120" t="str">
        <f>VLOOKUP(D1120, Products!A$2:C$61, 3, FALSE)</f>
        <v>Apparel</v>
      </c>
      <c r="O1120" t="str">
        <f>VLOOKUP(C1120, Customers!A$2:E$301, 5, FALSE)</f>
        <v>Retail</v>
      </c>
      <c r="P1120">
        <f>VLOOKUP(C1120, Customers!A$2:C$301, 3, FALSE)</f>
        <v>40</v>
      </c>
      <c r="Q1120" t="str">
        <f>VLOOKUP(E1120, Sales_Reps!A$2:C$31, 3, FALSE)</f>
        <v>North</v>
      </c>
      <c r="R1120">
        <f>VLOOKUP(D1120, Products!A$2:D$61, 4, FALSE)</f>
        <v>391</v>
      </c>
    </row>
    <row r="1121" spans="1:18" x14ac:dyDescent="0.3">
      <c r="A1121" s="13" t="s">
        <v>1606</v>
      </c>
      <c r="B1121" s="14">
        <v>45489</v>
      </c>
      <c r="C1121" s="13" t="s">
        <v>1308</v>
      </c>
      <c r="D1121" s="13" t="s">
        <v>386</v>
      </c>
      <c r="E1121" s="13" t="s">
        <v>285</v>
      </c>
      <c r="F1121" s="15">
        <v>6</v>
      </c>
      <c r="G1121" s="15">
        <v>2290</v>
      </c>
      <c r="H1121" s="15">
        <v>18.8</v>
      </c>
      <c r="I1121" s="15">
        <v>11156.88</v>
      </c>
      <c r="J1121" s="13" t="s">
        <v>87</v>
      </c>
      <c r="K1121" s="13" t="s">
        <v>94</v>
      </c>
      <c r="L1121">
        <f>IF(COUNTIF(A$2:A1121, A1121)=1, IF(COUNTIF(A$2:A$2001, A1121)&gt;1, 1, 0), 0)</f>
        <v>0</v>
      </c>
      <c r="M1121" t="b">
        <f>VLOOKUP(D1121, Products!A$2:F$61, 6, FALSE)</f>
        <v>1</v>
      </c>
      <c r="N1121" t="str">
        <f>VLOOKUP(D1121, Products!A$2:C$61, 3, FALSE)</f>
        <v>Beauty</v>
      </c>
      <c r="O1121" t="str">
        <f>VLOOKUP(C1121, Customers!A$2:E$301, 5, FALSE)</f>
        <v>SMB</v>
      </c>
      <c r="P1121">
        <f>VLOOKUP(C1121, Customers!A$2:C$301, 3, FALSE)</f>
        <v>51</v>
      </c>
      <c r="Q1121" t="str">
        <f>VLOOKUP(E1121, Sales_Reps!A$2:C$31, 3, FALSE)</f>
        <v>East</v>
      </c>
      <c r="R1121">
        <f>VLOOKUP(D1121, Products!A$2:D$61, 4, FALSE)</f>
        <v>1219</v>
      </c>
    </row>
    <row r="1122" spans="1:18" x14ac:dyDescent="0.3">
      <c r="A1122" s="13" t="s">
        <v>1607</v>
      </c>
      <c r="B1122" s="14">
        <v>45394</v>
      </c>
      <c r="C1122" s="13" t="s">
        <v>689</v>
      </c>
      <c r="D1122" s="13" t="s">
        <v>157</v>
      </c>
      <c r="E1122" s="13" t="s">
        <v>158</v>
      </c>
      <c r="F1122" s="15">
        <v>6</v>
      </c>
      <c r="G1122" s="15">
        <v>3450</v>
      </c>
      <c r="H1122" s="15">
        <v>28.4</v>
      </c>
      <c r="I1122" s="15">
        <v>14821.2</v>
      </c>
      <c r="J1122" s="13" t="s">
        <v>87</v>
      </c>
      <c r="K1122" s="13" t="s">
        <v>133</v>
      </c>
      <c r="L1122">
        <f>IF(COUNTIF(A$2:A1122, A1122)=1, IF(COUNTIF(A$2:A$2001, A1122)&gt;1, 1, 0), 0)</f>
        <v>0</v>
      </c>
      <c r="M1122" t="b">
        <f>VLOOKUP(D1122, Products!A$2:F$61, 6, FALSE)</f>
        <v>1</v>
      </c>
      <c r="N1122" t="str">
        <f>VLOOKUP(D1122, Products!A$2:C$61, 3, FALSE)</f>
        <v>Beauty</v>
      </c>
      <c r="O1122" t="str">
        <f>VLOOKUP(C1122, Customers!A$2:E$301, 5, FALSE)</f>
        <v>Retail</v>
      </c>
      <c r="P1122">
        <f>VLOOKUP(C1122, Customers!A$2:C$301, 3, FALSE)</f>
        <v>28</v>
      </c>
      <c r="Q1122" t="str">
        <f>VLOOKUP(E1122, Sales_Reps!A$2:C$31, 3, FALSE)</f>
        <v>East</v>
      </c>
      <c r="R1122">
        <f>VLOOKUP(D1122, Products!A$2:D$61, 4, FALSE)</f>
        <v>2420</v>
      </c>
    </row>
    <row r="1123" spans="1:18" x14ac:dyDescent="0.3">
      <c r="A1123" s="13" t="s">
        <v>1608</v>
      </c>
      <c r="B1123" s="14">
        <v>45340</v>
      </c>
      <c r="C1123" s="13" t="s">
        <v>123</v>
      </c>
      <c r="D1123" s="13" t="s">
        <v>295</v>
      </c>
      <c r="E1123" s="13" t="s">
        <v>297</v>
      </c>
      <c r="F1123" s="15">
        <v>10</v>
      </c>
      <c r="G1123" s="15">
        <v>2030</v>
      </c>
      <c r="H1123" s="15">
        <v>8</v>
      </c>
      <c r="I1123" s="15">
        <v>18676</v>
      </c>
      <c r="J1123" s="13" t="s">
        <v>87</v>
      </c>
      <c r="K1123" s="13" t="s">
        <v>117</v>
      </c>
      <c r="L1123">
        <f>IF(COUNTIF(A$2:A1123, A1123)=1, IF(COUNTIF(A$2:A$2001, A1123)&gt;1, 1, 0), 0)</f>
        <v>0</v>
      </c>
      <c r="M1123" t="b">
        <f>VLOOKUP(D1123, Products!A$2:F$61, 6, FALSE)</f>
        <v>1</v>
      </c>
      <c r="N1123" t="str">
        <f>VLOOKUP(D1123, Products!A$2:C$61, 3, FALSE)</f>
        <v>Home</v>
      </c>
      <c r="O1123" t="str">
        <f>VLOOKUP(C1123, Customers!A$2:E$301, 5, FALSE)</f>
        <v>Retail</v>
      </c>
      <c r="P1123">
        <f>VLOOKUP(C1123, Customers!A$2:C$301, 3, FALSE)</f>
        <v>42</v>
      </c>
      <c r="Q1123" t="str">
        <f>VLOOKUP(E1123, Sales_Reps!A$2:C$31, 3, FALSE)</f>
        <v>North</v>
      </c>
      <c r="R1123">
        <f>VLOOKUP(D1123, Products!A$2:D$61, 4, FALSE)</f>
        <v>1143</v>
      </c>
    </row>
    <row r="1124" spans="1:18" x14ac:dyDescent="0.3">
      <c r="A1124" s="13" t="s">
        <v>1609</v>
      </c>
      <c r="B1124" s="14">
        <v>45378</v>
      </c>
      <c r="C1124" s="13" t="s">
        <v>959</v>
      </c>
      <c r="D1124" s="13" t="s">
        <v>151</v>
      </c>
      <c r="E1124" s="13" t="s">
        <v>285</v>
      </c>
      <c r="F1124" s="15">
        <v>1</v>
      </c>
      <c r="G1124" s="15">
        <v>2400</v>
      </c>
      <c r="H1124" s="15">
        <v>9.6999999999999993</v>
      </c>
      <c r="I1124" s="15">
        <v>2167.1999999999998</v>
      </c>
      <c r="J1124" s="13" t="s">
        <v>87</v>
      </c>
      <c r="K1124" s="13" t="s">
        <v>112</v>
      </c>
      <c r="L1124">
        <f>IF(COUNTIF(A$2:A1124, A1124)=1, IF(COUNTIF(A$2:A$2001, A1124)&gt;1, 1, 0), 0)</f>
        <v>0</v>
      </c>
      <c r="M1124" t="b">
        <f>VLOOKUP(D1124, Products!A$2:F$61, 6, FALSE)</f>
        <v>1</v>
      </c>
      <c r="N1124" t="str">
        <f>VLOOKUP(D1124, Products!A$2:C$61, 3, FALSE)</f>
        <v>Sports</v>
      </c>
      <c r="O1124" t="str">
        <f>VLOOKUP(C1124, Customers!A$2:E$301, 5, FALSE)</f>
        <v>SMB</v>
      </c>
      <c r="P1124">
        <f>VLOOKUP(C1124, Customers!A$2:C$301, 3, FALSE)</f>
        <v>65</v>
      </c>
      <c r="Q1124" t="str">
        <f>VLOOKUP(E1124, Sales_Reps!A$2:C$31, 3, FALSE)</f>
        <v>East</v>
      </c>
      <c r="R1124">
        <f>VLOOKUP(D1124, Products!A$2:D$61, 4, FALSE)</f>
        <v>974</v>
      </c>
    </row>
    <row r="1125" spans="1:18" x14ac:dyDescent="0.3">
      <c r="A1125" s="13" t="s">
        <v>1610</v>
      </c>
      <c r="B1125" s="14">
        <v>45369</v>
      </c>
      <c r="C1125" s="13" t="s">
        <v>643</v>
      </c>
      <c r="D1125" s="13" t="s">
        <v>295</v>
      </c>
      <c r="E1125" s="13" t="s">
        <v>98</v>
      </c>
      <c r="F1125" s="15">
        <v>4</v>
      </c>
      <c r="G1125" s="15">
        <v>2030</v>
      </c>
      <c r="H1125" s="15">
        <v>24.8</v>
      </c>
      <c r="I1125" s="15">
        <v>6106.24</v>
      </c>
      <c r="J1125" s="13" t="s">
        <v>93</v>
      </c>
      <c r="K1125" s="13" t="s">
        <v>112</v>
      </c>
      <c r="L1125">
        <f>IF(COUNTIF(A$2:A1125, A1125)=1, IF(COUNTIF(A$2:A$2001, A1125)&gt;1, 1, 0), 0)</f>
        <v>0</v>
      </c>
      <c r="M1125" t="b">
        <f>VLOOKUP(D1125, Products!A$2:F$61, 6, FALSE)</f>
        <v>1</v>
      </c>
      <c r="N1125" t="str">
        <f>VLOOKUP(D1125, Products!A$2:C$61, 3, FALSE)</f>
        <v>Home</v>
      </c>
      <c r="O1125" t="str">
        <f>VLOOKUP(C1125, Customers!A$2:E$301, 5, FALSE)</f>
        <v>SMB</v>
      </c>
      <c r="P1125">
        <f>VLOOKUP(C1125, Customers!A$2:C$301, 3, FALSE)</f>
        <v>27</v>
      </c>
      <c r="Q1125" t="str">
        <f>VLOOKUP(E1125, Sales_Reps!A$2:C$31, 3, FALSE)</f>
        <v>South</v>
      </c>
      <c r="R1125">
        <f>VLOOKUP(D1125, Products!A$2:D$61, 4, FALSE)</f>
        <v>1143</v>
      </c>
    </row>
    <row r="1126" spans="1:18" x14ac:dyDescent="0.3">
      <c r="A1126" s="13" t="s">
        <v>1611</v>
      </c>
      <c r="B1126" s="14">
        <v>45513</v>
      </c>
      <c r="C1126" s="13" t="s">
        <v>178</v>
      </c>
      <c r="D1126" s="13" t="s">
        <v>351</v>
      </c>
      <c r="E1126" s="13" t="s">
        <v>297</v>
      </c>
      <c r="F1126" s="15">
        <v>5</v>
      </c>
      <c r="G1126" s="15">
        <v>4060</v>
      </c>
      <c r="H1126" s="15">
        <v>9.1</v>
      </c>
      <c r="I1126" s="15">
        <v>18452.7</v>
      </c>
      <c r="J1126" s="13" t="s">
        <v>93</v>
      </c>
      <c r="K1126" s="13" t="s">
        <v>94</v>
      </c>
      <c r="L1126">
        <f>IF(COUNTIF(A$2:A1126, A1126)=1, IF(COUNTIF(A$2:A$2001, A1126)&gt;1, 1, 0), 0)</f>
        <v>0</v>
      </c>
      <c r="M1126" t="b">
        <f>VLOOKUP(D1126, Products!A$2:F$61, 6, FALSE)</f>
        <v>1</v>
      </c>
      <c r="N1126" t="str">
        <f>VLOOKUP(D1126, Products!A$2:C$61, 3, FALSE)</f>
        <v>Grocery</v>
      </c>
      <c r="O1126" t="str">
        <f>VLOOKUP(C1126, Customers!A$2:E$301, 5, FALSE)</f>
        <v>Corporate</v>
      </c>
      <c r="P1126">
        <f>VLOOKUP(C1126, Customers!A$2:C$301, 3, FALSE)</f>
        <v>55</v>
      </c>
      <c r="Q1126" t="str">
        <f>VLOOKUP(E1126, Sales_Reps!A$2:C$31, 3, FALSE)</f>
        <v>North</v>
      </c>
      <c r="R1126">
        <f>VLOOKUP(D1126, Products!A$2:D$61, 4, FALSE)</f>
        <v>2911</v>
      </c>
    </row>
    <row r="1127" spans="1:18" x14ac:dyDescent="0.3">
      <c r="A1127" s="13" t="s">
        <v>1612</v>
      </c>
      <c r="B1127" s="14">
        <v>45438</v>
      </c>
      <c r="C1127" s="13" t="s">
        <v>407</v>
      </c>
      <c r="D1127" s="13" t="s">
        <v>295</v>
      </c>
      <c r="E1127" s="13" t="s">
        <v>252</v>
      </c>
      <c r="F1127" s="15">
        <v>9</v>
      </c>
      <c r="G1127" s="15">
        <v>2030</v>
      </c>
      <c r="H1127" s="15">
        <v>15.9</v>
      </c>
      <c r="I1127" s="15">
        <v>15365.07</v>
      </c>
      <c r="J1127" s="13" t="s">
        <v>93</v>
      </c>
      <c r="K1127" s="13" t="s">
        <v>88</v>
      </c>
      <c r="L1127">
        <f>IF(COUNTIF(A$2:A1127, A1127)=1, IF(COUNTIF(A$2:A$2001, A1127)&gt;1, 1, 0), 0)</f>
        <v>0</v>
      </c>
      <c r="M1127" t="b">
        <f>VLOOKUP(D1127, Products!A$2:F$61, 6, FALSE)</f>
        <v>1</v>
      </c>
      <c r="N1127" t="str">
        <f>VLOOKUP(D1127, Products!A$2:C$61, 3, FALSE)</f>
        <v>Home</v>
      </c>
      <c r="O1127" t="str">
        <f>VLOOKUP(C1127, Customers!A$2:E$301, 5, FALSE)</f>
        <v>SMB</v>
      </c>
      <c r="P1127">
        <f>VLOOKUP(C1127, Customers!A$2:C$301, 3, FALSE)</f>
        <v>53</v>
      </c>
      <c r="Q1127" t="str">
        <f>VLOOKUP(E1127, Sales_Reps!A$2:C$31, 3, FALSE)</f>
        <v>South</v>
      </c>
      <c r="R1127">
        <f>VLOOKUP(D1127, Products!A$2:D$61, 4, FALSE)</f>
        <v>1143</v>
      </c>
    </row>
    <row r="1128" spans="1:18" x14ac:dyDescent="0.3">
      <c r="A1128" s="13" t="s">
        <v>1613</v>
      </c>
      <c r="B1128" s="14">
        <v>45529</v>
      </c>
      <c r="C1128" s="13" t="s">
        <v>738</v>
      </c>
      <c r="D1128" s="13" t="s">
        <v>179</v>
      </c>
      <c r="E1128" s="13" t="s">
        <v>98</v>
      </c>
      <c r="F1128" s="15">
        <v>1</v>
      </c>
      <c r="G1128" s="15">
        <v>3350</v>
      </c>
      <c r="H1128" s="15">
        <v>23.2</v>
      </c>
      <c r="I1128" s="15">
        <v>2572.8000000000002</v>
      </c>
      <c r="J1128" s="13" t="s">
        <v>144</v>
      </c>
      <c r="K1128" s="13" t="s">
        <v>88</v>
      </c>
      <c r="L1128">
        <f>IF(COUNTIF(A$2:A1128, A1128)=1, IF(COUNTIF(A$2:A$2001, A1128)&gt;1, 1, 0), 0)</f>
        <v>0</v>
      </c>
      <c r="M1128" t="b">
        <f>VLOOKUP(D1128, Products!A$2:F$61, 6, FALSE)</f>
        <v>1</v>
      </c>
      <c r="N1128" t="str">
        <f>VLOOKUP(D1128, Products!A$2:C$61, 3, FALSE)</f>
        <v>Beauty</v>
      </c>
      <c r="O1128" t="str">
        <f>VLOOKUP(C1128, Customers!A$2:E$301, 5, FALSE)</f>
        <v>Retail</v>
      </c>
      <c r="P1128">
        <f>VLOOKUP(C1128, Customers!A$2:C$301, 3, FALSE)</f>
        <v>36</v>
      </c>
      <c r="Q1128" t="str">
        <f>VLOOKUP(E1128, Sales_Reps!A$2:C$31, 3, FALSE)</f>
        <v>South</v>
      </c>
      <c r="R1128">
        <f>VLOOKUP(D1128, Products!A$2:D$61, 4, FALSE)</f>
        <v>1728</v>
      </c>
    </row>
    <row r="1129" spans="1:18" x14ac:dyDescent="0.3">
      <c r="A1129" s="13" t="s">
        <v>1614</v>
      </c>
      <c r="B1129" s="14">
        <v>45634</v>
      </c>
      <c r="C1129" s="13" t="s">
        <v>454</v>
      </c>
      <c r="D1129" s="13" t="s">
        <v>203</v>
      </c>
      <c r="E1129" s="13" t="s">
        <v>103</v>
      </c>
      <c r="F1129" s="15">
        <v>4</v>
      </c>
      <c r="G1129" s="15">
        <v>660</v>
      </c>
      <c r="H1129" s="15">
        <v>27.1</v>
      </c>
      <c r="I1129" s="15">
        <v>1924.56</v>
      </c>
      <c r="J1129" s="13" t="s">
        <v>87</v>
      </c>
      <c r="K1129" s="13" t="s">
        <v>133</v>
      </c>
      <c r="L1129">
        <f>IF(COUNTIF(A$2:A1129, A1129)=1, IF(COUNTIF(A$2:A$2001, A1129)&gt;1, 1, 0), 0)</f>
        <v>0</v>
      </c>
      <c r="M1129" t="b">
        <f>VLOOKUP(D1129, Products!A$2:F$61, 6, FALSE)</f>
        <v>1</v>
      </c>
      <c r="N1129" t="str">
        <f>VLOOKUP(D1129, Products!A$2:C$61, 3, FALSE)</f>
        <v>Home</v>
      </c>
      <c r="O1129" t="str">
        <f>VLOOKUP(C1129, Customers!A$2:E$301, 5, FALSE)</f>
        <v>Corporate</v>
      </c>
      <c r="P1129">
        <f>VLOOKUP(C1129, Customers!A$2:C$301, 3, FALSE)</f>
        <v>43</v>
      </c>
      <c r="Q1129" t="str">
        <f>VLOOKUP(E1129, Sales_Reps!A$2:C$31, 3, FALSE)</f>
        <v>North</v>
      </c>
      <c r="R1129">
        <f>VLOOKUP(D1129, Products!A$2:D$61, 4, FALSE)</f>
        <v>329</v>
      </c>
    </row>
    <row r="1130" spans="1:18" x14ac:dyDescent="0.3">
      <c r="A1130" s="13" t="s">
        <v>1615</v>
      </c>
      <c r="B1130" s="14">
        <v>45441</v>
      </c>
      <c r="C1130" s="13" t="s">
        <v>261</v>
      </c>
      <c r="D1130" s="13" t="s">
        <v>276</v>
      </c>
      <c r="E1130" s="13" t="s">
        <v>98</v>
      </c>
      <c r="F1130" s="15">
        <v>3</v>
      </c>
      <c r="G1130" s="15">
        <v>3020</v>
      </c>
      <c r="H1130" s="15">
        <v>7.2</v>
      </c>
      <c r="I1130" s="15">
        <v>8407.68</v>
      </c>
      <c r="J1130" s="13" t="s">
        <v>87</v>
      </c>
      <c r="K1130" s="13" t="s">
        <v>99</v>
      </c>
      <c r="L1130">
        <f>IF(COUNTIF(A$2:A1130, A1130)=1, IF(COUNTIF(A$2:A$2001, A1130)&gt;1, 1, 0), 0)</f>
        <v>0</v>
      </c>
      <c r="M1130" t="b">
        <f>VLOOKUP(D1130, Products!A$2:F$61, 6, FALSE)</f>
        <v>1</v>
      </c>
      <c r="N1130" t="str">
        <f>VLOOKUP(D1130, Products!A$2:C$61, 3, FALSE)</f>
        <v>Beauty</v>
      </c>
      <c r="O1130" t="str">
        <f>VLOOKUP(C1130, Customers!A$2:E$301, 5, FALSE)</f>
        <v>Retail</v>
      </c>
      <c r="P1130">
        <f>VLOOKUP(C1130, Customers!A$2:C$301, 3, FALSE)</f>
        <v>54</v>
      </c>
      <c r="Q1130" t="str">
        <f>VLOOKUP(E1130, Sales_Reps!A$2:C$31, 3, FALSE)</f>
        <v>South</v>
      </c>
      <c r="R1130">
        <f>VLOOKUP(D1130, Products!A$2:D$61, 4, FALSE)</f>
        <v>1626</v>
      </c>
    </row>
    <row r="1131" spans="1:18" x14ac:dyDescent="0.3">
      <c r="A1131" s="13" t="s">
        <v>1616</v>
      </c>
      <c r="B1131" s="14">
        <v>45409</v>
      </c>
      <c r="C1131" s="13" t="s">
        <v>565</v>
      </c>
      <c r="D1131" s="13" t="s">
        <v>279</v>
      </c>
      <c r="E1131" s="13" t="s">
        <v>103</v>
      </c>
      <c r="F1131" s="15">
        <v>3</v>
      </c>
      <c r="G1131" s="15">
        <v>2660</v>
      </c>
      <c r="H1131" s="15">
        <v>0.2</v>
      </c>
      <c r="I1131" s="15">
        <v>7964.04</v>
      </c>
      <c r="J1131" s="13" t="s">
        <v>87</v>
      </c>
      <c r="K1131" s="13" t="s">
        <v>112</v>
      </c>
      <c r="L1131">
        <f>IF(COUNTIF(A$2:A1131, A1131)=1, IF(COUNTIF(A$2:A$2001, A1131)&gt;1, 1, 0), 0)</f>
        <v>0</v>
      </c>
      <c r="M1131" t="b">
        <f>VLOOKUP(D1131, Products!A$2:F$61, 6, FALSE)</f>
        <v>0</v>
      </c>
      <c r="N1131" t="str">
        <f>VLOOKUP(D1131, Products!A$2:C$61, 3, FALSE)</f>
        <v>Electronics</v>
      </c>
      <c r="O1131" t="str">
        <f>VLOOKUP(C1131, Customers!A$2:E$301, 5, FALSE)</f>
        <v>SMB</v>
      </c>
      <c r="P1131">
        <f>VLOOKUP(C1131, Customers!A$2:C$301, 3, FALSE)</f>
        <v>61</v>
      </c>
      <c r="Q1131" t="str">
        <f>VLOOKUP(E1131, Sales_Reps!A$2:C$31, 3, FALSE)</f>
        <v>North</v>
      </c>
      <c r="R1131">
        <f>VLOOKUP(D1131, Products!A$2:D$61, 4, FALSE)</f>
        <v>1259</v>
      </c>
    </row>
    <row r="1132" spans="1:18" x14ac:dyDescent="0.3">
      <c r="A1132" s="13" t="s">
        <v>1617</v>
      </c>
      <c r="B1132" s="14">
        <v>45650</v>
      </c>
      <c r="C1132" s="13" t="s">
        <v>956</v>
      </c>
      <c r="D1132" s="13" t="s">
        <v>182</v>
      </c>
      <c r="E1132" s="13" t="s">
        <v>103</v>
      </c>
      <c r="F1132" s="15">
        <v>4</v>
      </c>
      <c r="G1132" s="15">
        <v>1010</v>
      </c>
      <c r="H1132" s="15">
        <v>3.1</v>
      </c>
      <c r="I1132" s="15">
        <v>3914.76</v>
      </c>
      <c r="J1132" s="13" t="s">
        <v>87</v>
      </c>
      <c r="K1132" s="13" t="s">
        <v>112</v>
      </c>
      <c r="L1132">
        <f>IF(COUNTIF(A$2:A1132, A1132)=1, IF(COUNTIF(A$2:A$2001, A1132)&gt;1, 1, 0), 0)</f>
        <v>0</v>
      </c>
      <c r="M1132" t="b">
        <f>VLOOKUP(D1132, Products!A$2:F$61, 6, FALSE)</f>
        <v>1</v>
      </c>
      <c r="N1132" t="str">
        <f>VLOOKUP(D1132, Products!A$2:C$61, 3, FALSE)</f>
        <v>Sports</v>
      </c>
      <c r="O1132" t="str">
        <f>VLOOKUP(C1132, Customers!A$2:E$301, 5, FALSE)</f>
        <v>Retail</v>
      </c>
      <c r="P1132">
        <f>VLOOKUP(C1132, Customers!A$2:C$301, 3, FALSE)</f>
        <v>49</v>
      </c>
      <c r="Q1132" t="str">
        <f>VLOOKUP(E1132, Sales_Reps!A$2:C$31, 3, FALSE)</f>
        <v>North</v>
      </c>
      <c r="R1132">
        <f>VLOOKUP(D1132, Products!A$2:D$61, 4, FALSE)</f>
        <v>516</v>
      </c>
    </row>
    <row r="1133" spans="1:18" x14ac:dyDescent="0.3">
      <c r="A1133" s="13" t="s">
        <v>1618</v>
      </c>
      <c r="B1133" s="14">
        <v>45380</v>
      </c>
      <c r="C1133" s="13" t="s">
        <v>952</v>
      </c>
      <c r="D1133" s="13" t="s">
        <v>124</v>
      </c>
      <c r="E1133" s="13" t="s">
        <v>238</v>
      </c>
      <c r="F1133" s="15">
        <v>5</v>
      </c>
      <c r="G1133" s="15">
        <v>5490</v>
      </c>
      <c r="H1133" s="15">
        <v>3.6</v>
      </c>
      <c r="I1133" s="15">
        <v>26461.8</v>
      </c>
      <c r="J1133" s="13" t="s">
        <v>87</v>
      </c>
      <c r="K1133" s="13" t="s">
        <v>133</v>
      </c>
      <c r="L1133">
        <f>IF(COUNTIF(A$2:A1133, A1133)=1, IF(COUNTIF(A$2:A$2001, A1133)&gt;1, 1, 0), 0)</f>
        <v>0</v>
      </c>
      <c r="M1133" t="b">
        <f>VLOOKUP(D1133, Products!A$2:F$61, 6, FALSE)</f>
        <v>1</v>
      </c>
      <c r="N1133" t="str">
        <f>VLOOKUP(D1133, Products!A$2:C$61, 3, FALSE)</f>
        <v>Home</v>
      </c>
      <c r="O1133" t="str">
        <f>VLOOKUP(C1133, Customers!A$2:E$301, 5, FALSE)</f>
        <v>Retail</v>
      </c>
      <c r="P1133">
        <f>VLOOKUP(C1133, Customers!A$2:C$301, 3, FALSE)</f>
        <v>35</v>
      </c>
      <c r="Q1133" t="str">
        <f>VLOOKUP(E1133, Sales_Reps!A$2:C$31, 3, FALSE)</f>
        <v>East</v>
      </c>
      <c r="R1133">
        <f>VLOOKUP(D1133, Products!A$2:D$61, 4, FALSE)</f>
        <v>2549</v>
      </c>
    </row>
    <row r="1134" spans="1:18" x14ac:dyDescent="0.3">
      <c r="A1134" s="13" t="s">
        <v>1619</v>
      </c>
      <c r="B1134" s="14">
        <v>45322</v>
      </c>
      <c r="C1134" s="13" t="s">
        <v>160</v>
      </c>
      <c r="D1134" s="13" t="s">
        <v>151</v>
      </c>
      <c r="E1134" s="13" t="s">
        <v>121</v>
      </c>
      <c r="F1134" s="15">
        <v>1</v>
      </c>
      <c r="G1134" s="15">
        <v>2400</v>
      </c>
      <c r="H1134" s="15">
        <v>24.3</v>
      </c>
      <c r="I1134" s="15">
        <v>1816.8</v>
      </c>
      <c r="J1134" s="13" t="s">
        <v>87</v>
      </c>
      <c r="K1134" s="13" t="s">
        <v>112</v>
      </c>
      <c r="L1134">
        <f>IF(COUNTIF(A$2:A1134, A1134)=1, IF(COUNTIF(A$2:A$2001, A1134)&gt;1, 1, 0), 0)</f>
        <v>0</v>
      </c>
      <c r="M1134" t="b">
        <f>VLOOKUP(D1134, Products!A$2:F$61, 6, FALSE)</f>
        <v>1</v>
      </c>
      <c r="N1134" t="str">
        <f>VLOOKUP(D1134, Products!A$2:C$61, 3, FALSE)</f>
        <v>Sports</v>
      </c>
      <c r="O1134" t="str">
        <f>VLOOKUP(C1134, Customers!A$2:E$301, 5, FALSE)</f>
        <v>Retail</v>
      </c>
      <c r="P1134">
        <f>VLOOKUP(C1134, Customers!A$2:C$301, 3, FALSE)</f>
        <v>54</v>
      </c>
      <c r="Q1134" t="str">
        <f>VLOOKUP(E1134, Sales_Reps!A$2:C$31, 3, FALSE)</f>
        <v>East</v>
      </c>
      <c r="R1134">
        <f>VLOOKUP(D1134, Products!A$2:D$61, 4, FALSE)</f>
        <v>974</v>
      </c>
    </row>
    <row r="1135" spans="1:18" x14ac:dyDescent="0.3">
      <c r="A1135" s="13" t="s">
        <v>1620</v>
      </c>
      <c r="B1135" s="14">
        <v>45532</v>
      </c>
      <c r="C1135" s="13" t="s">
        <v>359</v>
      </c>
      <c r="D1135" s="13" t="s">
        <v>203</v>
      </c>
      <c r="E1135" s="13" t="s">
        <v>204</v>
      </c>
      <c r="F1135" s="15">
        <v>8</v>
      </c>
      <c r="G1135" s="15">
        <v>660</v>
      </c>
      <c r="H1135" s="15">
        <v>19.8</v>
      </c>
      <c r="I1135" s="15">
        <v>4234.5600000000004</v>
      </c>
      <c r="J1135" s="13" t="s">
        <v>87</v>
      </c>
      <c r="K1135" s="13" t="s">
        <v>99</v>
      </c>
      <c r="L1135">
        <f>IF(COUNTIF(A$2:A1135, A1135)=1, IF(COUNTIF(A$2:A$2001, A1135)&gt;1, 1, 0), 0)</f>
        <v>0</v>
      </c>
      <c r="M1135" t="b">
        <f>VLOOKUP(D1135, Products!A$2:F$61, 6, FALSE)</f>
        <v>1</v>
      </c>
      <c r="N1135" t="str">
        <f>VLOOKUP(D1135, Products!A$2:C$61, 3, FALSE)</f>
        <v>Home</v>
      </c>
      <c r="O1135" t="str">
        <f>VLOOKUP(C1135, Customers!A$2:E$301, 5, FALSE)</f>
        <v>SMB</v>
      </c>
      <c r="P1135">
        <f>VLOOKUP(C1135, Customers!A$2:C$301, 3, FALSE)</f>
        <v>28</v>
      </c>
      <c r="Q1135" t="str">
        <f>VLOOKUP(E1135, Sales_Reps!A$2:C$31, 3, FALSE)</f>
        <v>South</v>
      </c>
      <c r="R1135">
        <f>VLOOKUP(D1135, Products!A$2:D$61, 4, FALSE)</f>
        <v>329</v>
      </c>
    </row>
    <row r="1136" spans="1:18" x14ac:dyDescent="0.3">
      <c r="A1136" s="13" t="s">
        <v>1621</v>
      </c>
      <c r="B1136" s="14">
        <v>45504</v>
      </c>
      <c r="C1136" s="13" t="s">
        <v>1294</v>
      </c>
      <c r="D1136" s="13" t="s">
        <v>364</v>
      </c>
      <c r="E1136" s="13" t="s">
        <v>346</v>
      </c>
      <c r="F1136" s="15">
        <v>9</v>
      </c>
      <c r="G1136" s="15">
        <v>5330</v>
      </c>
      <c r="H1136" s="15">
        <v>16.5</v>
      </c>
      <c r="I1136" s="15">
        <v>40054.949999999997</v>
      </c>
      <c r="J1136" s="13" t="s">
        <v>87</v>
      </c>
      <c r="K1136" s="13" t="s">
        <v>94</v>
      </c>
      <c r="L1136">
        <f>IF(COUNTIF(A$2:A1136, A1136)=1, IF(COUNTIF(A$2:A$2001, A1136)&gt;1, 1, 0), 0)</f>
        <v>0</v>
      </c>
      <c r="M1136" t="b">
        <f>VLOOKUP(D1136, Products!A$2:F$61, 6, FALSE)</f>
        <v>1</v>
      </c>
      <c r="N1136" t="str">
        <f>VLOOKUP(D1136, Products!A$2:C$61, 3, FALSE)</f>
        <v>Electronics</v>
      </c>
      <c r="O1136" t="str">
        <f>VLOOKUP(C1136, Customers!A$2:E$301, 5, FALSE)</f>
        <v>SMB</v>
      </c>
      <c r="P1136">
        <f>VLOOKUP(C1136, Customers!A$2:C$301, 3, FALSE)</f>
        <v>43</v>
      </c>
      <c r="Q1136" t="str">
        <f>VLOOKUP(E1136, Sales_Reps!A$2:C$31, 3, FALSE)</f>
        <v>South</v>
      </c>
      <c r="R1136">
        <f>VLOOKUP(D1136, Products!A$2:D$61, 4, FALSE)</f>
        <v>2405</v>
      </c>
    </row>
    <row r="1137" spans="1:18" x14ac:dyDescent="0.3">
      <c r="A1137" s="13" t="s">
        <v>1290</v>
      </c>
      <c r="B1137" s="14">
        <v>45516</v>
      </c>
      <c r="C1137" s="13" t="s">
        <v>589</v>
      </c>
      <c r="D1137" s="13" t="s">
        <v>138</v>
      </c>
      <c r="E1137" s="13" t="s">
        <v>86</v>
      </c>
      <c r="F1137" s="15">
        <v>5</v>
      </c>
      <c r="G1137" s="15">
        <v>2600</v>
      </c>
      <c r="H1137" s="15">
        <v>0.3</v>
      </c>
      <c r="I1137" s="15">
        <v>12961</v>
      </c>
      <c r="J1137" s="13" t="s">
        <v>87</v>
      </c>
      <c r="K1137" s="13" t="s">
        <v>94</v>
      </c>
      <c r="L1137">
        <f>IF(COUNTIF(A$2:A1137, A1137)=1, IF(COUNTIF(A$2:A$2001, A1137)&gt;1, 1, 0), 0)</f>
        <v>0</v>
      </c>
      <c r="M1137" t="b">
        <f>VLOOKUP(D1137, Products!A$2:F$61, 6, FALSE)</f>
        <v>1</v>
      </c>
      <c r="N1137" t="str">
        <f>VLOOKUP(D1137, Products!A$2:C$61, 3, FALSE)</f>
        <v>Electronics</v>
      </c>
      <c r="O1137" t="str">
        <f>VLOOKUP(C1137, Customers!A$2:E$301, 5, FALSE)</f>
        <v>Corporate</v>
      </c>
      <c r="P1137">
        <f>VLOOKUP(C1137, Customers!A$2:C$301, 3, FALSE)</f>
        <v>30</v>
      </c>
      <c r="Q1137" t="str">
        <f>VLOOKUP(E1137, Sales_Reps!A$2:C$31, 3, FALSE)</f>
        <v>North</v>
      </c>
      <c r="R1137">
        <f>VLOOKUP(D1137, Products!A$2:D$61, 4, FALSE)</f>
        <v>1052</v>
      </c>
    </row>
    <row r="1138" spans="1:18" x14ac:dyDescent="0.3">
      <c r="A1138" s="13" t="s">
        <v>1622</v>
      </c>
      <c r="B1138" s="14">
        <v>45462</v>
      </c>
      <c r="C1138" s="13" t="s">
        <v>1623</v>
      </c>
      <c r="D1138" s="13" t="s">
        <v>443</v>
      </c>
      <c r="E1138" s="13" t="s">
        <v>303</v>
      </c>
      <c r="F1138" s="15">
        <v>4</v>
      </c>
      <c r="G1138" s="15">
        <v>5080</v>
      </c>
      <c r="H1138" s="15">
        <v>13.8</v>
      </c>
      <c r="I1138" s="15">
        <v>17515.84</v>
      </c>
      <c r="J1138" s="13" t="s">
        <v>93</v>
      </c>
      <c r="K1138" s="13" t="s">
        <v>117</v>
      </c>
      <c r="L1138">
        <f>IF(COUNTIF(A$2:A1138, A1138)=1, IF(COUNTIF(A$2:A$2001, A1138)&gt;1, 1, 0), 0)</f>
        <v>0</v>
      </c>
      <c r="M1138" t="b">
        <f>VLOOKUP(D1138, Products!A$2:F$61, 6, FALSE)</f>
        <v>1</v>
      </c>
      <c r="N1138" t="str">
        <f>VLOOKUP(D1138, Products!A$2:C$61, 3, FALSE)</f>
        <v>Home</v>
      </c>
      <c r="O1138" t="str">
        <f>VLOOKUP(C1138, Customers!A$2:E$301, 5, FALSE)</f>
        <v>Retail</v>
      </c>
      <c r="P1138">
        <f>VLOOKUP(C1138, Customers!A$2:C$301, 3, FALSE)</f>
        <v>53</v>
      </c>
      <c r="Q1138" t="str">
        <f>VLOOKUP(E1138, Sales_Reps!A$2:C$31, 3, FALSE)</f>
        <v>East</v>
      </c>
      <c r="R1138">
        <f>VLOOKUP(D1138, Products!A$2:D$61, 4, FALSE)</f>
        <v>2459</v>
      </c>
    </row>
    <row r="1139" spans="1:18" x14ac:dyDescent="0.3">
      <c r="A1139" s="13" t="s">
        <v>1624</v>
      </c>
      <c r="B1139" s="14">
        <v>45597</v>
      </c>
      <c r="C1139" s="13" t="s">
        <v>1250</v>
      </c>
      <c r="D1139" s="13" t="s">
        <v>367</v>
      </c>
      <c r="E1139" s="13" t="s">
        <v>297</v>
      </c>
      <c r="F1139" s="15">
        <v>7</v>
      </c>
      <c r="G1139" s="15">
        <v>2380</v>
      </c>
      <c r="H1139" s="15">
        <v>15.5</v>
      </c>
      <c r="I1139" s="15">
        <v>14077.7</v>
      </c>
      <c r="J1139" s="13" t="s">
        <v>87</v>
      </c>
      <c r="K1139" s="13" t="s">
        <v>88</v>
      </c>
      <c r="L1139">
        <f>IF(COUNTIF(A$2:A1139, A1139)=1, IF(COUNTIF(A$2:A$2001, A1139)&gt;1, 1, 0), 0)</f>
        <v>0</v>
      </c>
      <c r="M1139" t="b">
        <f>VLOOKUP(D1139, Products!A$2:F$61, 6, FALSE)</f>
        <v>1</v>
      </c>
      <c r="N1139" t="str">
        <f>VLOOKUP(D1139, Products!A$2:C$61, 3, FALSE)</f>
        <v>Grocery</v>
      </c>
      <c r="O1139" t="str">
        <f>VLOOKUP(C1139, Customers!A$2:E$301, 5, FALSE)</f>
        <v>Retail</v>
      </c>
      <c r="P1139">
        <f>VLOOKUP(C1139, Customers!A$2:C$301, 3, FALSE)</f>
        <v>44</v>
      </c>
      <c r="Q1139" t="str">
        <f>VLOOKUP(E1139, Sales_Reps!A$2:C$31, 3, FALSE)</f>
        <v>North</v>
      </c>
      <c r="R1139">
        <f>VLOOKUP(D1139, Products!A$2:D$61, 4, FALSE)</f>
        <v>1182</v>
      </c>
    </row>
    <row r="1140" spans="1:18" x14ac:dyDescent="0.3">
      <c r="A1140" s="13" t="s">
        <v>1625</v>
      </c>
      <c r="B1140" s="14">
        <v>45648</v>
      </c>
      <c r="C1140" s="13" t="s">
        <v>247</v>
      </c>
      <c r="D1140" s="13" t="s">
        <v>184</v>
      </c>
      <c r="E1140" s="13" t="s">
        <v>103</v>
      </c>
      <c r="F1140" s="15">
        <v>3</v>
      </c>
      <c r="G1140" s="15">
        <v>4880</v>
      </c>
      <c r="H1140" s="15">
        <v>6.1</v>
      </c>
      <c r="I1140" s="15">
        <v>13746.96</v>
      </c>
      <c r="J1140" s="13" t="s">
        <v>87</v>
      </c>
      <c r="K1140" s="13" t="s">
        <v>117</v>
      </c>
      <c r="L1140">
        <f>IF(COUNTIF(A$2:A1140, A1140)=1, IF(COUNTIF(A$2:A$2001, A1140)&gt;1, 1, 0), 0)</f>
        <v>0</v>
      </c>
      <c r="M1140" t="b">
        <f>VLOOKUP(D1140, Products!A$2:F$61, 6, FALSE)</f>
        <v>1</v>
      </c>
      <c r="N1140" t="str">
        <f>VLOOKUP(D1140, Products!A$2:C$61, 3, FALSE)</f>
        <v>Beauty</v>
      </c>
      <c r="O1140" t="str">
        <f>VLOOKUP(C1140, Customers!A$2:E$301, 5, FALSE)</f>
        <v>Retail</v>
      </c>
      <c r="P1140">
        <f>VLOOKUP(C1140, Customers!A$2:C$301, 3, FALSE)</f>
        <v>34</v>
      </c>
      <c r="Q1140" t="str">
        <f>VLOOKUP(E1140, Sales_Reps!A$2:C$31, 3, FALSE)</f>
        <v>North</v>
      </c>
      <c r="R1140">
        <f>VLOOKUP(D1140, Products!A$2:D$61, 4, FALSE)</f>
        <v>2768</v>
      </c>
    </row>
    <row r="1141" spans="1:18" x14ac:dyDescent="0.3">
      <c r="A1141" s="13" t="s">
        <v>1626</v>
      </c>
      <c r="B1141" s="14">
        <v>45355</v>
      </c>
      <c r="C1141" s="13" t="s">
        <v>764</v>
      </c>
      <c r="D1141" s="13" t="s">
        <v>179</v>
      </c>
      <c r="E1141" s="13" t="s">
        <v>204</v>
      </c>
      <c r="F1141" s="15">
        <v>2</v>
      </c>
      <c r="G1141" s="15">
        <v>3350</v>
      </c>
      <c r="H1141" s="15">
        <v>17.2</v>
      </c>
      <c r="I1141" s="15">
        <v>5547.6</v>
      </c>
      <c r="J1141" s="13" t="s">
        <v>87</v>
      </c>
      <c r="K1141" s="13" t="s">
        <v>94</v>
      </c>
      <c r="L1141">
        <f>IF(COUNTIF(A$2:A1141, A1141)=1, IF(COUNTIF(A$2:A$2001, A1141)&gt;1, 1, 0), 0)</f>
        <v>0</v>
      </c>
      <c r="M1141" t="b">
        <f>VLOOKUP(D1141, Products!A$2:F$61, 6, FALSE)</f>
        <v>1</v>
      </c>
      <c r="N1141" t="str">
        <f>VLOOKUP(D1141, Products!A$2:C$61, 3, FALSE)</f>
        <v>Beauty</v>
      </c>
      <c r="O1141" t="str">
        <f>VLOOKUP(C1141, Customers!A$2:E$301, 5, FALSE)</f>
        <v>SMB</v>
      </c>
      <c r="P1141">
        <f>VLOOKUP(C1141, Customers!A$2:C$301, 3, FALSE)</f>
        <v>26</v>
      </c>
      <c r="Q1141" t="str">
        <f>VLOOKUP(E1141, Sales_Reps!A$2:C$31, 3, FALSE)</f>
        <v>South</v>
      </c>
      <c r="R1141">
        <f>VLOOKUP(D1141, Products!A$2:D$61, 4, FALSE)</f>
        <v>1728</v>
      </c>
    </row>
    <row r="1142" spans="1:18" x14ac:dyDescent="0.3">
      <c r="A1142" s="13" t="s">
        <v>1627</v>
      </c>
      <c r="B1142" s="14">
        <v>45331</v>
      </c>
      <c r="C1142" s="13" t="s">
        <v>1628</v>
      </c>
      <c r="D1142" s="13" t="s">
        <v>127</v>
      </c>
      <c r="E1142" s="13" t="s">
        <v>116</v>
      </c>
      <c r="F1142" s="15">
        <v>5</v>
      </c>
      <c r="G1142" s="15">
        <v>970</v>
      </c>
      <c r="H1142" s="15">
        <v>23.6</v>
      </c>
      <c r="I1142" s="15">
        <v>3705.4</v>
      </c>
      <c r="J1142" s="13" t="s">
        <v>87</v>
      </c>
      <c r="K1142" s="13" t="s">
        <v>94</v>
      </c>
      <c r="L1142">
        <f>IF(COUNTIF(A$2:A1142, A1142)=1, IF(COUNTIF(A$2:A$2001, A1142)&gt;1, 1, 0), 0)</f>
        <v>0</v>
      </c>
      <c r="M1142" t="b">
        <f>VLOOKUP(D1142, Products!A$2:F$61, 6, FALSE)</f>
        <v>1</v>
      </c>
      <c r="N1142" t="str">
        <f>VLOOKUP(D1142, Products!A$2:C$61, 3, FALSE)</f>
        <v>Grocery</v>
      </c>
      <c r="O1142" t="str">
        <f>VLOOKUP(C1142, Customers!A$2:E$301, 5, FALSE)</f>
        <v>Retail</v>
      </c>
      <c r="P1142">
        <f>VLOOKUP(C1142, Customers!A$2:C$301, 3, FALSE)</f>
        <v>35</v>
      </c>
      <c r="Q1142" t="str">
        <f>VLOOKUP(E1142, Sales_Reps!A$2:C$31, 3, FALSE)</f>
        <v>West</v>
      </c>
      <c r="R1142">
        <f>VLOOKUP(D1142, Products!A$2:D$61, 4, FALSE)</f>
        <v>434</v>
      </c>
    </row>
    <row r="1143" spans="1:18" x14ac:dyDescent="0.3">
      <c r="A1143" s="13" t="s">
        <v>1629</v>
      </c>
      <c r="B1143" s="14">
        <v>45632</v>
      </c>
      <c r="C1143" s="13" t="s">
        <v>318</v>
      </c>
      <c r="D1143" s="13" t="s">
        <v>282</v>
      </c>
      <c r="E1143" s="13" t="s">
        <v>285</v>
      </c>
      <c r="F1143" s="15">
        <v>5</v>
      </c>
      <c r="G1143" s="15">
        <v>300</v>
      </c>
      <c r="H1143" s="15">
        <v>3.8</v>
      </c>
      <c r="I1143" s="15">
        <v>1443</v>
      </c>
      <c r="J1143" s="13" t="s">
        <v>87</v>
      </c>
      <c r="K1143" s="13" t="s">
        <v>94</v>
      </c>
      <c r="L1143">
        <f>IF(COUNTIF(A$2:A1143, A1143)=1, IF(COUNTIF(A$2:A$2001, A1143)&gt;1, 1, 0), 0)</f>
        <v>0</v>
      </c>
      <c r="M1143" t="b">
        <f>VLOOKUP(D1143, Products!A$2:F$61, 6, FALSE)</f>
        <v>1</v>
      </c>
      <c r="N1143" t="str">
        <f>VLOOKUP(D1143, Products!A$2:C$61, 3, FALSE)</f>
        <v>Electronics</v>
      </c>
      <c r="O1143" t="str">
        <f>VLOOKUP(C1143, Customers!A$2:E$301, 5, FALSE)</f>
        <v>SMB</v>
      </c>
      <c r="P1143">
        <f>VLOOKUP(C1143, Customers!A$2:C$301, 3, FALSE)</f>
        <v>57</v>
      </c>
      <c r="Q1143" t="str">
        <f>VLOOKUP(E1143, Sales_Reps!A$2:C$31, 3, FALSE)</f>
        <v>East</v>
      </c>
      <c r="R1143">
        <f>VLOOKUP(D1143, Products!A$2:D$61, 4, FALSE)</f>
        <v>128</v>
      </c>
    </row>
    <row r="1144" spans="1:18" x14ac:dyDescent="0.3">
      <c r="A1144" s="13" t="s">
        <v>1630</v>
      </c>
      <c r="B1144" s="14">
        <v>45358</v>
      </c>
      <c r="C1144" s="13" t="s">
        <v>559</v>
      </c>
      <c r="D1144" s="13" t="s">
        <v>408</v>
      </c>
      <c r="E1144" s="13" t="s">
        <v>92</v>
      </c>
      <c r="F1144" s="15">
        <v>9</v>
      </c>
      <c r="G1144" s="15">
        <v>3970</v>
      </c>
      <c r="H1144" s="15">
        <v>0.8</v>
      </c>
      <c r="I1144" s="15">
        <v>35444.160000000003</v>
      </c>
      <c r="J1144" s="13" t="s">
        <v>87</v>
      </c>
      <c r="K1144" s="13" t="s">
        <v>88</v>
      </c>
      <c r="L1144">
        <f>IF(COUNTIF(A$2:A1144, A1144)=1, IF(COUNTIF(A$2:A$2001, A1144)&gt;1, 1, 0), 0)</f>
        <v>0</v>
      </c>
      <c r="M1144" t="b">
        <f>VLOOKUP(D1144, Products!A$2:F$61, 6, FALSE)</f>
        <v>1</v>
      </c>
      <c r="N1144" t="str">
        <f>VLOOKUP(D1144, Products!A$2:C$61, 3, FALSE)</f>
        <v>Electronics</v>
      </c>
      <c r="O1144" t="str">
        <f>VLOOKUP(C1144, Customers!A$2:E$301, 5, FALSE)</f>
        <v>Retail</v>
      </c>
      <c r="P1144">
        <f>VLOOKUP(C1144, Customers!A$2:C$301, 3, FALSE)</f>
        <v>62</v>
      </c>
      <c r="Q1144" t="str">
        <f>VLOOKUP(E1144, Sales_Reps!A$2:C$31, 3, FALSE)</f>
        <v>North</v>
      </c>
      <c r="R1144">
        <f>VLOOKUP(D1144, Products!A$2:D$61, 4, FALSE)</f>
        <v>2865</v>
      </c>
    </row>
    <row r="1145" spans="1:18" x14ac:dyDescent="0.3">
      <c r="A1145" s="13" t="s">
        <v>1631</v>
      </c>
      <c r="B1145" s="14">
        <v>45440</v>
      </c>
      <c r="C1145" s="13" t="s">
        <v>1121</v>
      </c>
      <c r="D1145" s="13" t="s">
        <v>173</v>
      </c>
      <c r="E1145" s="13" t="s">
        <v>252</v>
      </c>
      <c r="F1145" s="15">
        <v>4</v>
      </c>
      <c r="G1145" s="15">
        <v>2720</v>
      </c>
      <c r="H1145" s="15">
        <v>12.7</v>
      </c>
      <c r="I1145" s="15">
        <v>9498.24</v>
      </c>
      <c r="J1145" s="13" t="s">
        <v>87</v>
      </c>
      <c r="K1145" s="13" t="s">
        <v>112</v>
      </c>
      <c r="L1145">
        <f>IF(COUNTIF(A$2:A1145, A1145)=1, IF(COUNTIF(A$2:A$2001, A1145)&gt;1, 1, 0), 0)</f>
        <v>0</v>
      </c>
      <c r="M1145" t="b">
        <f>VLOOKUP(D1145, Products!A$2:F$61, 6, FALSE)</f>
        <v>1</v>
      </c>
      <c r="N1145" t="str">
        <f>VLOOKUP(D1145, Products!A$2:C$61, 3, FALSE)</f>
        <v>Apparel</v>
      </c>
      <c r="O1145" t="str">
        <f>VLOOKUP(C1145, Customers!A$2:E$301, 5, FALSE)</f>
        <v>Corporate</v>
      </c>
      <c r="P1145">
        <f>VLOOKUP(C1145, Customers!A$2:C$301, 3, FALSE)</f>
        <v>46</v>
      </c>
      <c r="Q1145" t="str">
        <f>VLOOKUP(E1145, Sales_Reps!A$2:C$31, 3, FALSE)</f>
        <v>South</v>
      </c>
      <c r="R1145">
        <f>VLOOKUP(D1145, Products!A$2:D$61, 4, FALSE)</f>
        <v>1962</v>
      </c>
    </row>
    <row r="1146" spans="1:18" x14ac:dyDescent="0.3">
      <c r="A1146" s="13" t="s">
        <v>1632</v>
      </c>
      <c r="B1146" s="14">
        <v>45412</v>
      </c>
      <c r="C1146" s="13" t="s">
        <v>275</v>
      </c>
      <c r="D1146" s="13" t="s">
        <v>292</v>
      </c>
      <c r="E1146" s="13" t="s">
        <v>158</v>
      </c>
      <c r="F1146" s="15">
        <v>3</v>
      </c>
      <c r="G1146" s="15">
        <v>620</v>
      </c>
      <c r="H1146" s="15">
        <v>5.5</v>
      </c>
      <c r="I1146" s="15">
        <v>1757.7</v>
      </c>
      <c r="J1146" s="13" t="s">
        <v>87</v>
      </c>
      <c r="K1146" s="13" t="s">
        <v>88</v>
      </c>
      <c r="L1146">
        <f>IF(COUNTIF(A$2:A1146, A1146)=1, IF(COUNTIF(A$2:A$2001, A1146)&gt;1, 1, 0), 0)</f>
        <v>0</v>
      </c>
      <c r="M1146" t="b">
        <f>VLOOKUP(D1146, Products!A$2:F$61, 6, FALSE)</f>
        <v>1</v>
      </c>
      <c r="N1146" t="str">
        <f>VLOOKUP(D1146, Products!A$2:C$61, 3, FALSE)</f>
        <v>Apparel</v>
      </c>
      <c r="O1146" t="str">
        <f>VLOOKUP(C1146, Customers!A$2:E$301, 5, FALSE)</f>
        <v>Retail</v>
      </c>
      <c r="P1146">
        <f>VLOOKUP(C1146, Customers!A$2:C$301, 3, FALSE)</f>
        <v>44</v>
      </c>
      <c r="Q1146" t="str">
        <f>VLOOKUP(E1146, Sales_Reps!A$2:C$31, 3, FALSE)</f>
        <v>East</v>
      </c>
      <c r="R1146">
        <f>VLOOKUP(D1146, Products!A$2:D$61, 4, FALSE)</f>
        <v>396</v>
      </c>
    </row>
    <row r="1147" spans="1:18" x14ac:dyDescent="0.3">
      <c r="A1147" s="13" t="s">
        <v>1633</v>
      </c>
      <c r="B1147" s="14">
        <v>45479</v>
      </c>
      <c r="C1147" s="13" t="s">
        <v>178</v>
      </c>
      <c r="D1147" s="13" t="s">
        <v>259</v>
      </c>
      <c r="E1147" s="13" t="s">
        <v>116</v>
      </c>
      <c r="F1147" s="15">
        <v>2</v>
      </c>
      <c r="G1147" s="15">
        <v>1540</v>
      </c>
      <c r="H1147" s="15">
        <v>2.2000000000000002</v>
      </c>
      <c r="I1147" s="15">
        <v>3012.24</v>
      </c>
      <c r="J1147" s="13" t="s">
        <v>93</v>
      </c>
      <c r="K1147" s="13" t="s">
        <v>94</v>
      </c>
      <c r="L1147">
        <f>IF(COUNTIF(A$2:A1147, A1147)=1, IF(COUNTIF(A$2:A$2001, A1147)&gt;1, 1, 0), 0)</f>
        <v>0</v>
      </c>
      <c r="M1147" t="b">
        <f>VLOOKUP(D1147, Products!A$2:F$61, 6, FALSE)</f>
        <v>0</v>
      </c>
      <c r="N1147" t="str">
        <f>VLOOKUP(D1147, Products!A$2:C$61, 3, FALSE)</f>
        <v>Beauty</v>
      </c>
      <c r="O1147" t="str">
        <f>VLOOKUP(C1147, Customers!A$2:E$301, 5, FALSE)</f>
        <v>Corporate</v>
      </c>
      <c r="P1147">
        <f>VLOOKUP(C1147, Customers!A$2:C$301, 3, FALSE)</f>
        <v>55</v>
      </c>
      <c r="Q1147" t="str">
        <f>VLOOKUP(E1147, Sales_Reps!A$2:C$31, 3, FALSE)</f>
        <v>West</v>
      </c>
      <c r="R1147">
        <f>VLOOKUP(D1147, Products!A$2:D$61, 4, FALSE)</f>
        <v>647</v>
      </c>
    </row>
    <row r="1148" spans="1:18" x14ac:dyDescent="0.3">
      <c r="A1148" s="13" t="s">
        <v>1634</v>
      </c>
      <c r="B1148" s="14">
        <v>45534</v>
      </c>
      <c r="C1148" s="13" t="s">
        <v>312</v>
      </c>
      <c r="D1148" s="13" t="s">
        <v>386</v>
      </c>
      <c r="E1148" s="13" t="s">
        <v>201</v>
      </c>
      <c r="F1148" s="15">
        <v>1</v>
      </c>
      <c r="G1148" s="15">
        <v>2290</v>
      </c>
      <c r="H1148" s="15">
        <v>24.4</v>
      </c>
      <c r="I1148" s="15">
        <v>1731.24</v>
      </c>
      <c r="J1148" s="13" t="s">
        <v>140</v>
      </c>
      <c r="K1148" s="13" t="s">
        <v>133</v>
      </c>
      <c r="L1148">
        <f>IF(COUNTIF(A$2:A1148, A1148)=1, IF(COUNTIF(A$2:A$2001, A1148)&gt;1, 1, 0), 0)</f>
        <v>0</v>
      </c>
      <c r="M1148" t="b">
        <f>VLOOKUP(D1148, Products!A$2:F$61, 6, FALSE)</f>
        <v>1</v>
      </c>
      <c r="N1148" t="str">
        <f>VLOOKUP(D1148, Products!A$2:C$61, 3, FALSE)</f>
        <v>Beauty</v>
      </c>
      <c r="O1148" t="str">
        <f>VLOOKUP(C1148, Customers!A$2:E$301, 5, FALSE)</f>
        <v>Retail</v>
      </c>
      <c r="P1148">
        <f>VLOOKUP(C1148, Customers!A$2:C$301, 3, FALSE)</f>
        <v>46</v>
      </c>
      <c r="Q1148" t="str">
        <f>VLOOKUP(E1148, Sales_Reps!A$2:C$31, 3, FALSE)</f>
        <v>West</v>
      </c>
      <c r="R1148">
        <f>VLOOKUP(D1148, Products!A$2:D$61, 4, FALSE)</f>
        <v>1219</v>
      </c>
    </row>
    <row r="1149" spans="1:18" x14ac:dyDescent="0.3">
      <c r="A1149" s="13" t="s">
        <v>1635</v>
      </c>
      <c r="B1149" s="14">
        <v>45313</v>
      </c>
      <c r="C1149" s="13" t="s">
        <v>725</v>
      </c>
      <c r="D1149" s="13" t="s">
        <v>173</v>
      </c>
      <c r="E1149" s="13" t="s">
        <v>303</v>
      </c>
      <c r="F1149" s="15">
        <v>8</v>
      </c>
      <c r="G1149" s="15">
        <v>2720</v>
      </c>
      <c r="H1149" s="15">
        <v>1.7</v>
      </c>
      <c r="I1149" s="15">
        <v>21390.080000000002</v>
      </c>
      <c r="J1149" s="13" t="s">
        <v>87</v>
      </c>
      <c r="K1149" s="13" t="s">
        <v>99</v>
      </c>
      <c r="L1149">
        <f>IF(COUNTIF(A$2:A1149, A1149)=1, IF(COUNTIF(A$2:A$2001, A1149)&gt;1, 1, 0), 0)</f>
        <v>0</v>
      </c>
      <c r="M1149" t="b">
        <f>VLOOKUP(D1149, Products!A$2:F$61, 6, FALSE)</f>
        <v>1</v>
      </c>
      <c r="N1149" t="str">
        <f>VLOOKUP(D1149, Products!A$2:C$61, 3, FALSE)</f>
        <v>Apparel</v>
      </c>
      <c r="O1149" t="str">
        <f>VLOOKUP(C1149, Customers!A$2:E$301, 5, FALSE)</f>
        <v>SMB</v>
      </c>
      <c r="P1149">
        <f>VLOOKUP(C1149, Customers!A$2:C$301, 3, FALSE)</f>
        <v>26</v>
      </c>
      <c r="Q1149" t="str">
        <f>VLOOKUP(E1149, Sales_Reps!A$2:C$31, 3, FALSE)</f>
        <v>East</v>
      </c>
      <c r="R1149">
        <f>VLOOKUP(D1149, Products!A$2:D$61, 4, FALSE)</f>
        <v>1962</v>
      </c>
    </row>
    <row r="1150" spans="1:18" x14ac:dyDescent="0.3">
      <c r="A1150" s="13" t="s">
        <v>1636</v>
      </c>
      <c r="B1150" s="14">
        <v>45390</v>
      </c>
      <c r="C1150" s="13" t="s">
        <v>1534</v>
      </c>
      <c r="D1150" s="13" t="s">
        <v>351</v>
      </c>
      <c r="E1150" s="13" t="s">
        <v>154</v>
      </c>
      <c r="F1150" s="15">
        <v>4</v>
      </c>
      <c r="G1150" s="15">
        <v>4060</v>
      </c>
      <c r="H1150" s="15">
        <v>19.600000000000001</v>
      </c>
      <c r="I1150" s="15">
        <v>13056.96</v>
      </c>
      <c r="J1150" s="13" t="s">
        <v>140</v>
      </c>
      <c r="K1150" s="13" t="s">
        <v>133</v>
      </c>
      <c r="L1150">
        <f>IF(COUNTIF(A$2:A1150, A1150)=1, IF(COUNTIF(A$2:A$2001, A1150)&gt;1, 1, 0), 0)</f>
        <v>0</v>
      </c>
      <c r="M1150" t="b">
        <f>VLOOKUP(D1150, Products!A$2:F$61, 6, FALSE)</f>
        <v>1</v>
      </c>
      <c r="N1150" t="str">
        <f>VLOOKUP(D1150, Products!A$2:C$61, 3, FALSE)</f>
        <v>Grocery</v>
      </c>
      <c r="O1150" t="str">
        <f>VLOOKUP(C1150, Customers!A$2:E$301, 5, FALSE)</f>
        <v>Corporate</v>
      </c>
      <c r="P1150">
        <f>VLOOKUP(C1150, Customers!A$2:C$301, 3, FALSE)</f>
        <v>25</v>
      </c>
      <c r="Q1150" t="str">
        <f>VLOOKUP(E1150, Sales_Reps!A$2:C$31, 3, FALSE)</f>
        <v>East</v>
      </c>
      <c r="R1150">
        <f>VLOOKUP(D1150, Products!A$2:D$61, 4, FALSE)</f>
        <v>2911</v>
      </c>
    </row>
    <row r="1151" spans="1:18" x14ac:dyDescent="0.3">
      <c r="A1151" s="13" t="s">
        <v>1637</v>
      </c>
      <c r="B1151" s="14">
        <v>45370</v>
      </c>
      <c r="C1151" s="13" t="s">
        <v>342</v>
      </c>
      <c r="D1151" s="13" t="s">
        <v>187</v>
      </c>
      <c r="E1151" s="13" t="s">
        <v>346</v>
      </c>
      <c r="F1151" s="15">
        <v>8</v>
      </c>
      <c r="G1151" s="15">
        <v>3570</v>
      </c>
      <c r="H1151" s="15">
        <v>10.8</v>
      </c>
      <c r="I1151" s="15">
        <v>25475.52</v>
      </c>
      <c r="J1151" s="13" t="s">
        <v>87</v>
      </c>
      <c r="K1151" s="13" t="s">
        <v>94</v>
      </c>
      <c r="L1151">
        <f>IF(COUNTIF(A$2:A1151, A1151)=1, IF(COUNTIF(A$2:A$2001, A1151)&gt;1, 1, 0), 0)</f>
        <v>0</v>
      </c>
      <c r="M1151" t="b">
        <f>VLOOKUP(D1151, Products!A$2:F$61, 6, FALSE)</f>
        <v>1</v>
      </c>
      <c r="N1151" t="str">
        <f>VLOOKUP(D1151, Products!A$2:C$61, 3, FALSE)</f>
        <v>Electronics</v>
      </c>
      <c r="O1151" t="str">
        <f>VLOOKUP(C1151, Customers!A$2:E$301, 5, FALSE)</f>
        <v>Retail</v>
      </c>
      <c r="P1151">
        <f>VLOOKUP(C1151, Customers!A$2:C$301, 3, FALSE)</f>
        <v>26</v>
      </c>
      <c r="Q1151" t="str">
        <f>VLOOKUP(E1151, Sales_Reps!A$2:C$31, 3, FALSE)</f>
        <v>South</v>
      </c>
      <c r="R1151">
        <f>VLOOKUP(D1151, Products!A$2:D$61, 4, FALSE)</f>
        <v>1665</v>
      </c>
    </row>
    <row r="1152" spans="1:18" x14ac:dyDescent="0.3">
      <c r="A1152" s="13" t="s">
        <v>1638</v>
      </c>
      <c r="B1152" s="14">
        <v>45324</v>
      </c>
      <c r="C1152" s="13" t="s">
        <v>429</v>
      </c>
      <c r="D1152" s="13" t="s">
        <v>161</v>
      </c>
      <c r="E1152" s="13" t="s">
        <v>139</v>
      </c>
      <c r="F1152" s="15">
        <v>10</v>
      </c>
      <c r="G1152" s="15">
        <v>3450</v>
      </c>
      <c r="H1152" s="15">
        <v>13.5</v>
      </c>
      <c r="I1152" s="15">
        <v>29842.5</v>
      </c>
      <c r="J1152" s="13" t="s">
        <v>93</v>
      </c>
      <c r="K1152" s="13" t="s">
        <v>117</v>
      </c>
      <c r="L1152">
        <f>IF(COUNTIF(A$2:A1152, A1152)=1, IF(COUNTIF(A$2:A$2001, A1152)&gt;1, 1, 0), 0)</f>
        <v>0</v>
      </c>
      <c r="M1152" t="b">
        <f>VLOOKUP(D1152, Products!A$2:F$61, 6, FALSE)</f>
        <v>1</v>
      </c>
      <c r="N1152" t="str">
        <f>VLOOKUP(D1152, Products!A$2:C$61, 3, FALSE)</f>
        <v>Sports</v>
      </c>
      <c r="O1152" t="str">
        <f>VLOOKUP(C1152, Customers!A$2:E$301, 5, FALSE)</f>
        <v>Retail</v>
      </c>
      <c r="P1152">
        <f>VLOOKUP(C1152, Customers!A$2:C$301, 3, FALSE)</f>
        <v>55</v>
      </c>
      <c r="Q1152" t="str">
        <f>VLOOKUP(E1152, Sales_Reps!A$2:C$31, 3, FALSE)</f>
        <v>North</v>
      </c>
      <c r="R1152">
        <f>VLOOKUP(D1152, Products!A$2:D$61, 4, FALSE)</f>
        <v>2467</v>
      </c>
    </row>
    <row r="1153" spans="1:18" x14ac:dyDescent="0.3">
      <c r="A1153" s="13" t="s">
        <v>1639</v>
      </c>
      <c r="B1153" s="14">
        <v>45469</v>
      </c>
      <c r="C1153" s="13" t="s">
        <v>420</v>
      </c>
      <c r="D1153" s="13" t="s">
        <v>135</v>
      </c>
      <c r="E1153" s="13" t="s">
        <v>86</v>
      </c>
      <c r="F1153" s="15">
        <v>10</v>
      </c>
      <c r="G1153" s="15">
        <v>2640</v>
      </c>
      <c r="H1153" s="15">
        <v>29.8</v>
      </c>
      <c r="I1153" s="15">
        <v>18532.8</v>
      </c>
      <c r="J1153" s="13" t="s">
        <v>87</v>
      </c>
      <c r="K1153" s="13" t="s">
        <v>99</v>
      </c>
      <c r="L1153">
        <f>IF(COUNTIF(A$2:A1153, A1153)=1, IF(COUNTIF(A$2:A$2001, A1153)&gt;1, 1, 0), 0)</f>
        <v>0</v>
      </c>
      <c r="M1153" t="b">
        <f>VLOOKUP(D1153, Products!A$2:F$61, 6, FALSE)</f>
        <v>1</v>
      </c>
      <c r="N1153" t="str">
        <f>VLOOKUP(D1153, Products!A$2:C$61, 3, FALSE)</f>
        <v>Electronics</v>
      </c>
      <c r="O1153" t="str">
        <f>VLOOKUP(C1153, Customers!A$2:E$301, 5, FALSE)</f>
        <v>Retail</v>
      </c>
      <c r="P1153">
        <f>VLOOKUP(C1153, Customers!A$2:C$301, 3, FALSE)</f>
        <v>44</v>
      </c>
      <c r="Q1153" t="str">
        <f>VLOOKUP(E1153, Sales_Reps!A$2:C$31, 3, FALSE)</f>
        <v>North</v>
      </c>
      <c r="R1153">
        <f>VLOOKUP(D1153, Products!A$2:D$61, 4, FALSE)</f>
        <v>1149</v>
      </c>
    </row>
    <row r="1154" spans="1:18" x14ac:dyDescent="0.3">
      <c r="A1154" s="13" t="s">
        <v>1640</v>
      </c>
      <c r="B1154" s="14">
        <v>45619</v>
      </c>
      <c r="C1154" s="13" t="s">
        <v>254</v>
      </c>
      <c r="D1154" s="13" t="s">
        <v>110</v>
      </c>
      <c r="E1154" s="13" t="s">
        <v>204</v>
      </c>
      <c r="F1154" s="15">
        <v>3</v>
      </c>
      <c r="G1154" s="15">
        <v>370</v>
      </c>
      <c r="H1154" s="15">
        <v>25.5</v>
      </c>
      <c r="I1154" s="15">
        <v>826.95</v>
      </c>
      <c r="J1154" s="13" t="s">
        <v>87</v>
      </c>
      <c r="K1154" s="13" t="s">
        <v>94</v>
      </c>
      <c r="L1154">
        <f>IF(COUNTIF(A$2:A1154, A1154)=1, IF(COUNTIF(A$2:A$2001, A1154)&gt;1, 1, 0), 0)</f>
        <v>0</v>
      </c>
      <c r="M1154" t="b">
        <f>VLOOKUP(D1154, Products!A$2:F$61, 6, FALSE)</f>
        <v>1</v>
      </c>
      <c r="N1154" t="str">
        <f>VLOOKUP(D1154, Products!A$2:C$61, 3, FALSE)</f>
        <v>Home</v>
      </c>
      <c r="O1154" t="str">
        <f>VLOOKUP(C1154, Customers!A$2:E$301, 5, FALSE)</f>
        <v>Retail</v>
      </c>
      <c r="P1154">
        <f>VLOOKUP(C1154, Customers!A$2:C$301, 3, FALSE)</f>
        <v>24</v>
      </c>
      <c r="Q1154" t="str">
        <f>VLOOKUP(E1154, Sales_Reps!A$2:C$31, 3, FALSE)</f>
        <v>South</v>
      </c>
      <c r="R1154">
        <f>VLOOKUP(D1154, Products!A$2:D$61, 4, FALSE)</f>
        <v>288</v>
      </c>
    </row>
    <row r="1155" spans="1:18" x14ac:dyDescent="0.3">
      <c r="A1155" s="13" t="s">
        <v>1641</v>
      </c>
      <c r="B1155" s="14">
        <v>45627</v>
      </c>
      <c r="C1155" s="13" t="s">
        <v>504</v>
      </c>
      <c r="D1155" s="13" t="s">
        <v>267</v>
      </c>
      <c r="E1155" s="13" t="s">
        <v>170</v>
      </c>
      <c r="F1155" s="15">
        <v>3</v>
      </c>
      <c r="G1155" s="15">
        <v>1220</v>
      </c>
      <c r="H1155" s="15">
        <v>7.7</v>
      </c>
      <c r="I1155" s="15">
        <v>3378.18</v>
      </c>
      <c r="J1155" s="13" t="s">
        <v>93</v>
      </c>
      <c r="K1155" s="13" t="s">
        <v>117</v>
      </c>
      <c r="L1155">
        <f>IF(COUNTIF(A$2:A1155, A1155)=1, IF(COUNTIF(A$2:A$2001, A1155)&gt;1, 1, 0), 0)</f>
        <v>0</v>
      </c>
      <c r="M1155" t="b">
        <f>VLOOKUP(D1155, Products!A$2:F$61, 6, FALSE)</f>
        <v>1</v>
      </c>
      <c r="N1155" t="str">
        <f>VLOOKUP(D1155, Products!A$2:C$61, 3, FALSE)</f>
        <v>Electronics</v>
      </c>
      <c r="O1155" t="str">
        <f>VLOOKUP(C1155, Customers!A$2:E$301, 5, FALSE)</f>
        <v>Corporate</v>
      </c>
      <c r="P1155">
        <f>VLOOKUP(C1155, Customers!A$2:C$301, 3, FALSE)</f>
        <v>36</v>
      </c>
      <c r="Q1155" t="str">
        <f>VLOOKUP(E1155, Sales_Reps!A$2:C$31, 3, FALSE)</f>
        <v>West</v>
      </c>
      <c r="R1155">
        <f>VLOOKUP(D1155, Products!A$2:D$61, 4, FALSE)</f>
        <v>517</v>
      </c>
    </row>
    <row r="1156" spans="1:18" x14ac:dyDescent="0.3">
      <c r="A1156" s="13" t="s">
        <v>1642</v>
      </c>
      <c r="B1156" s="14">
        <v>45499</v>
      </c>
      <c r="C1156" s="13" t="s">
        <v>457</v>
      </c>
      <c r="D1156" s="13" t="s">
        <v>135</v>
      </c>
      <c r="E1156" s="13" t="s">
        <v>285</v>
      </c>
      <c r="F1156" s="15">
        <v>1</v>
      </c>
      <c r="G1156" s="15">
        <v>2640</v>
      </c>
      <c r="H1156" s="15">
        <v>23.6</v>
      </c>
      <c r="I1156" s="15">
        <v>2016.96</v>
      </c>
      <c r="J1156" s="13" t="s">
        <v>87</v>
      </c>
      <c r="K1156" s="13" t="s">
        <v>88</v>
      </c>
      <c r="L1156">
        <f>IF(COUNTIF(A$2:A1156, A1156)=1, IF(COUNTIF(A$2:A$2001, A1156)&gt;1, 1, 0), 0)</f>
        <v>0</v>
      </c>
      <c r="M1156" t="b">
        <f>VLOOKUP(D1156, Products!A$2:F$61, 6, FALSE)</f>
        <v>1</v>
      </c>
      <c r="N1156" t="str">
        <f>VLOOKUP(D1156, Products!A$2:C$61, 3, FALSE)</f>
        <v>Electronics</v>
      </c>
      <c r="O1156" t="str">
        <f>VLOOKUP(C1156, Customers!A$2:E$301, 5, FALSE)</f>
        <v>Retail</v>
      </c>
      <c r="P1156">
        <f>VLOOKUP(C1156, Customers!A$2:C$301, 3, FALSE)</f>
        <v>29</v>
      </c>
      <c r="Q1156" t="str">
        <f>VLOOKUP(E1156, Sales_Reps!A$2:C$31, 3, FALSE)</f>
        <v>East</v>
      </c>
      <c r="R1156">
        <f>VLOOKUP(D1156, Products!A$2:D$61, 4, FALSE)</f>
        <v>1149</v>
      </c>
    </row>
    <row r="1157" spans="1:18" x14ac:dyDescent="0.3">
      <c r="A1157" s="13" t="s">
        <v>1643</v>
      </c>
      <c r="B1157" s="14">
        <v>45563</v>
      </c>
      <c r="C1157" s="13" t="s">
        <v>109</v>
      </c>
      <c r="D1157" s="13" t="s">
        <v>191</v>
      </c>
      <c r="E1157" s="13" t="s">
        <v>273</v>
      </c>
      <c r="F1157" s="15">
        <v>9</v>
      </c>
      <c r="G1157" s="15">
        <v>5100</v>
      </c>
      <c r="H1157" s="15">
        <v>9.5</v>
      </c>
      <c r="I1157" s="15">
        <v>41539.5</v>
      </c>
      <c r="J1157" s="13" t="s">
        <v>87</v>
      </c>
      <c r="K1157" s="13" t="s">
        <v>112</v>
      </c>
      <c r="L1157">
        <f>IF(COUNTIF(A$2:A1157, A1157)=1, IF(COUNTIF(A$2:A$2001, A1157)&gt;1, 1, 0), 0)</f>
        <v>0</v>
      </c>
      <c r="M1157" t="b">
        <f>VLOOKUP(D1157, Products!A$2:F$61, 6, FALSE)</f>
        <v>1</v>
      </c>
      <c r="N1157" t="str">
        <f>VLOOKUP(D1157, Products!A$2:C$61, 3, FALSE)</f>
        <v>Beauty</v>
      </c>
      <c r="O1157" t="str">
        <f>VLOOKUP(C1157, Customers!A$2:E$301, 5, FALSE)</f>
        <v>Retail</v>
      </c>
      <c r="P1157">
        <f>VLOOKUP(C1157, Customers!A$2:C$301, 3, FALSE)</f>
        <v>36</v>
      </c>
      <c r="Q1157" t="str">
        <f>VLOOKUP(E1157, Sales_Reps!A$2:C$31, 3, FALSE)</f>
        <v>South</v>
      </c>
      <c r="R1157">
        <f>VLOOKUP(D1157, Products!A$2:D$61, 4, FALSE)</f>
        <v>2237</v>
      </c>
    </row>
    <row r="1158" spans="1:18" x14ac:dyDescent="0.3">
      <c r="A1158" s="13" t="s">
        <v>1644</v>
      </c>
      <c r="B1158" s="14">
        <v>45435</v>
      </c>
      <c r="C1158" s="13" t="s">
        <v>764</v>
      </c>
      <c r="D1158" s="13" t="s">
        <v>241</v>
      </c>
      <c r="E1158" s="13" t="s">
        <v>107</v>
      </c>
      <c r="F1158" s="15">
        <v>7</v>
      </c>
      <c r="G1158" s="15">
        <v>6080</v>
      </c>
      <c r="H1158" s="15">
        <v>17.5</v>
      </c>
      <c r="I1158" s="15">
        <v>35112</v>
      </c>
      <c r="J1158" s="13" t="s">
        <v>87</v>
      </c>
      <c r="K1158" s="13" t="s">
        <v>94</v>
      </c>
      <c r="L1158">
        <f>IF(COUNTIF(A$2:A1158, A1158)=1, IF(COUNTIF(A$2:A$2001, A1158)&gt;1, 1, 0), 0)</f>
        <v>0</v>
      </c>
      <c r="M1158" t="b">
        <f>VLOOKUP(D1158, Products!A$2:F$61, 6, FALSE)</f>
        <v>1</v>
      </c>
      <c r="N1158" t="str">
        <f>VLOOKUP(D1158, Products!A$2:C$61, 3, FALSE)</f>
        <v>Beauty</v>
      </c>
      <c r="O1158" t="str">
        <f>VLOOKUP(C1158, Customers!A$2:E$301, 5, FALSE)</f>
        <v>SMB</v>
      </c>
      <c r="P1158">
        <f>VLOOKUP(C1158, Customers!A$2:C$301, 3, FALSE)</f>
        <v>26</v>
      </c>
      <c r="Q1158" t="str">
        <f>VLOOKUP(E1158, Sales_Reps!A$2:C$31, 3, FALSE)</f>
        <v>North</v>
      </c>
      <c r="R1158">
        <f>VLOOKUP(D1158, Products!A$2:D$61, 4, FALSE)</f>
        <v>2617</v>
      </c>
    </row>
    <row r="1159" spans="1:18" x14ac:dyDescent="0.3">
      <c r="A1159" s="13" t="s">
        <v>1645</v>
      </c>
      <c r="B1159" s="14">
        <v>45602</v>
      </c>
      <c r="C1159" s="13" t="s">
        <v>487</v>
      </c>
      <c r="D1159" s="13" t="s">
        <v>282</v>
      </c>
      <c r="E1159" s="13" t="s">
        <v>201</v>
      </c>
      <c r="F1159" s="15">
        <v>1</v>
      </c>
      <c r="G1159" s="15">
        <v>300</v>
      </c>
      <c r="H1159" s="15">
        <v>26.9</v>
      </c>
      <c r="I1159" s="15">
        <v>219.3</v>
      </c>
      <c r="J1159" s="13" t="s">
        <v>87</v>
      </c>
      <c r="K1159" s="13" t="s">
        <v>88</v>
      </c>
      <c r="L1159">
        <f>IF(COUNTIF(A$2:A1159, A1159)=1, IF(COUNTIF(A$2:A$2001, A1159)&gt;1, 1, 0), 0)</f>
        <v>0</v>
      </c>
      <c r="M1159" t="b">
        <f>VLOOKUP(D1159, Products!A$2:F$61, 6, FALSE)</f>
        <v>1</v>
      </c>
      <c r="N1159" t="str">
        <f>VLOOKUP(D1159, Products!A$2:C$61, 3, FALSE)</f>
        <v>Electronics</v>
      </c>
      <c r="O1159" t="str">
        <f>VLOOKUP(C1159, Customers!A$2:E$301, 5, FALSE)</f>
        <v>Corporate</v>
      </c>
      <c r="P1159">
        <f>VLOOKUP(C1159, Customers!A$2:C$301, 3, FALSE)</f>
        <v>29</v>
      </c>
      <c r="Q1159" t="str">
        <f>VLOOKUP(E1159, Sales_Reps!A$2:C$31, 3, FALSE)</f>
        <v>West</v>
      </c>
      <c r="R1159">
        <f>VLOOKUP(D1159, Products!A$2:D$61, 4, FALSE)</f>
        <v>128</v>
      </c>
    </row>
    <row r="1160" spans="1:18" x14ac:dyDescent="0.3">
      <c r="A1160" s="13" t="s">
        <v>1646</v>
      </c>
      <c r="B1160" s="14">
        <v>45650</v>
      </c>
      <c r="C1160" s="13" t="s">
        <v>388</v>
      </c>
      <c r="D1160" s="13" t="s">
        <v>276</v>
      </c>
      <c r="E1160" s="13" t="s">
        <v>192</v>
      </c>
      <c r="F1160" s="15">
        <v>6</v>
      </c>
      <c r="G1160" s="15">
        <v>3020</v>
      </c>
      <c r="H1160" s="15">
        <v>28.5</v>
      </c>
      <c r="I1160" s="15">
        <v>12955.8</v>
      </c>
      <c r="J1160" s="13" t="s">
        <v>87</v>
      </c>
      <c r="K1160" s="13" t="s">
        <v>133</v>
      </c>
      <c r="L1160">
        <f>IF(COUNTIF(A$2:A1160, A1160)=1, IF(COUNTIF(A$2:A$2001, A1160)&gt;1, 1, 0), 0)</f>
        <v>0</v>
      </c>
      <c r="M1160" t="b">
        <f>VLOOKUP(D1160, Products!A$2:F$61, 6, FALSE)</f>
        <v>1</v>
      </c>
      <c r="N1160" t="str">
        <f>VLOOKUP(D1160, Products!A$2:C$61, 3, FALSE)</f>
        <v>Beauty</v>
      </c>
      <c r="O1160" t="str">
        <f>VLOOKUP(C1160, Customers!A$2:E$301, 5, FALSE)</f>
        <v>Retail</v>
      </c>
      <c r="P1160">
        <f>VLOOKUP(C1160, Customers!A$2:C$301, 3, FALSE)</f>
        <v>44</v>
      </c>
      <c r="Q1160" t="str">
        <f>VLOOKUP(E1160, Sales_Reps!A$2:C$31, 3, FALSE)</f>
        <v>East</v>
      </c>
      <c r="R1160">
        <f>VLOOKUP(D1160, Products!A$2:D$61, 4, FALSE)</f>
        <v>1626</v>
      </c>
    </row>
    <row r="1161" spans="1:18" x14ac:dyDescent="0.3">
      <c r="A1161" s="13" t="s">
        <v>1647</v>
      </c>
      <c r="B1161" s="14">
        <v>45294</v>
      </c>
      <c r="C1161" s="13" t="s">
        <v>219</v>
      </c>
      <c r="D1161" s="13" t="s">
        <v>282</v>
      </c>
      <c r="E1161" s="13" t="s">
        <v>303</v>
      </c>
      <c r="F1161" s="15">
        <v>8</v>
      </c>
      <c r="G1161" s="15">
        <v>300</v>
      </c>
      <c r="H1161" s="15">
        <v>1.2</v>
      </c>
      <c r="I1161" s="15">
        <v>2371.1999999999998</v>
      </c>
      <c r="J1161" s="13" t="s">
        <v>87</v>
      </c>
      <c r="K1161" s="13" t="s">
        <v>99</v>
      </c>
      <c r="L1161">
        <f>IF(COUNTIF(A$2:A1161, A1161)=1, IF(COUNTIF(A$2:A$2001, A1161)&gt;1, 1, 0), 0)</f>
        <v>0</v>
      </c>
      <c r="M1161" t="b">
        <f>VLOOKUP(D1161, Products!A$2:F$61, 6, FALSE)</f>
        <v>1</v>
      </c>
      <c r="N1161" t="str">
        <f>VLOOKUP(D1161, Products!A$2:C$61, 3, FALSE)</f>
        <v>Electronics</v>
      </c>
      <c r="O1161" t="str">
        <f>VLOOKUP(C1161, Customers!A$2:E$301, 5, FALSE)</f>
        <v>SMB</v>
      </c>
      <c r="P1161">
        <f>VLOOKUP(C1161, Customers!A$2:C$301, 3, FALSE)</f>
        <v>50</v>
      </c>
      <c r="Q1161" t="str">
        <f>VLOOKUP(E1161, Sales_Reps!A$2:C$31, 3, FALSE)</f>
        <v>East</v>
      </c>
      <c r="R1161">
        <f>VLOOKUP(D1161, Products!A$2:D$61, 4, FALSE)</f>
        <v>128</v>
      </c>
    </row>
    <row r="1162" spans="1:18" x14ac:dyDescent="0.3">
      <c r="A1162" s="13" t="s">
        <v>1648</v>
      </c>
      <c r="B1162" s="14">
        <v>45523</v>
      </c>
      <c r="C1162" s="13" t="s">
        <v>837</v>
      </c>
      <c r="D1162" s="13" t="s">
        <v>179</v>
      </c>
      <c r="E1162" s="13" t="s">
        <v>273</v>
      </c>
      <c r="F1162" s="15">
        <v>9</v>
      </c>
      <c r="G1162" s="15">
        <v>3350</v>
      </c>
      <c r="H1162" s="15">
        <v>0.6</v>
      </c>
      <c r="I1162" s="15">
        <v>29969.1</v>
      </c>
      <c r="J1162" s="13" t="s">
        <v>144</v>
      </c>
      <c r="K1162" s="13" t="s">
        <v>117</v>
      </c>
      <c r="L1162">
        <f>IF(COUNTIF(A$2:A1162, A1162)=1, IF(COUNTIF(A$2:A$2001, A1162)&gt;1, 1, 0), 0)</f>
        <v>0</v>
      </c>
      <c r="M1162" t="b">
        <f>VLOOKUP(D1162, Products!A$2:F$61, 6, FALSE)</f>
        <v>1</v>
      </c>
      <c r="N1162" t="str">
        <f>VLOOKUP(D1162, Products!A$2:C$61, 3, FALSE)</f>
        <v>Beauty</v>
      </c>
      <c r="O1162" t="str">
        <f>VLOOKUP(C1162, Customers!A$2:E$301, 5, FALSE)</f>
        <v>Retail</v>
      </c>
      <c r="P1162">
        <f>VLOOKUP(C1162, Customers!A$2:C$301, 3, FALSE)</f>
        <v>37</v>
      </c>
      <c r="Q1162" t="str">
        <f>VLOOKUP(E1162, Sales_Reps!A$2:C$31, 3, FALSE)</f>
        <v>South</v>
      </c>
      <c r="R1162">
        <f>VLOOKUP(D1162, Products!A$2:D$61, 4, FALSE)</f>
        <v>1728</v>
      </c>
    </row>
    <row r="1163" spans="1:18" x14ac:dyDescent="0.3">
      <c r="A1163" s="13" t="s">
        <v>1649</v>
      </c>
      <c r="B1163" s="14">
        <v>45479</v>
      </c>
      <c r="C1163" s="13" t="s">
        <v>1003</v>
      </c>
      <c r="D1163" s="13" t="s">
        <v>264</v>
      </c>
      <c r="E1163" s="13" t="s">
        <v>116</v>
      </c>
      <c r="F1163" s="15">
        <v>4</v>
      </c>
      <c r="G1163" s="15">
        <v>4070</v>
      </c>
      <c r="H1163" s="15">
        <v>10.1</v>
      </c>
      <c r="I1163" s="15">
        <v>14635.72</v>
      </c>
      <c r="J1163" s="13" t="s">
        <v>87</v>
      </c>
      <c r="K1163" s="13" t="s">
        <v>99</v>
      </c>
      <c r="L1163">
        <f>IF(COUNTIF(A$2:A1163, A1163)=1, IF(COUNTIF(A$2:A$2001, A1163)&gt;1, 1, 0), 0)</f>
        <v>0</v>
      </c>
      <c r="M1163" t="b">
        <f>VLOOKUP(D1163, Products!A$2:F$61, 6, FALSE)</f>
        <v>1</v>
      </c>
      <c r="N1163" t="str">
        <f>VLOOKUP(D1163, Products!A$2:C$61, 3, FALSE)</f>
        <v>Grocery</v>
      </c>
      <c r="O1163" t="str">
        <f>VLOOKUP(C1163, Customers!A$2:E$301, 5, FALSE)</f>
        <v>SMB</v>
      </c>
      <c r="P1163">
        <f>VLOOKUP(C1163, Customers!A$2:C$301, 3, FALSE)</f>
        <v>45</v>
      </c>
      <c r="Q1163" t="str">
        <f>VLOOKUP(E1163, Sales_Reps!A$2:C$31, 3, FALSE)</f>
        <v>West</v>
      </c>
      <c r="R1163">
        <f>VLOOKUP(D1163, Products!A$2:D$61, 4, FALSE)</f>
        <v>2027</v>
      </c>
    </row>
    <row r="1164" spans="1:18" x14ac:dyDescent="0.3">
      <c r="A1164" s="13" t="s">
        <v>1650</v>
      </c>
      <c r="B1164" s="14">
        <v>45614</v>
      </c>
      <c r="C1164" s="13" t="s">
        <v>1308</v>
      </c>
      <c r="D1164" s="13" t="s">
        <v>461</v>
      </c>
      <c r="E1164" s="13" t="s">
        <v>116</v>
      </c>
      <c r="F1164" s="15">
        <v>9</v>
      </c>
      <c r="G1164" s="15">
        <v>3780</v>
      </c>
      <c r="H1164" s="15">
        <v>27.8</v>
      </c>
      <c r="I1164" s="15">
        <v>24562.44</v>
      </c>
      <c r="J1164" s="13" t="s">
        <v>140</v>
      </c>
      <c r="K1164" s="13" t="s">
        <v>94</v>
      </c>
      <c r="L1164">
        <f>IF(COUNTIF(A$2:A1164, A1164)=1, IF(COUNTIF(A$2:A$2001, A1164)&gt;1, 1, 0), 0)</f>
        <v>0</v>
      </c>
      <c r="M1164" t="b">
        <f>VLOOKUP(D1164, Products!A$2:F$61, 6, FALSE)</f>
        <v>1</v>
      </c>
      <c r="N1164" t="str">
        <f>VLOOKUP(D1164, Products!A$2:C$61, 3, FALSE)</f>
        <v>Sports</v>
      </c>
      <c r="O1164" t="str">
        <f>VLOOKUP(C1164, Customers!A$2:E$301, 5, FALSE)</f>
        <v>SMB</v>
      </c>
      <c r="P1164">
        <f>VLOOKUP(C1164, Customers!A$2:C$301, 3, FALSE)</f>
        <v>51</v>
      </c>
      <c r="Q1164" t="str">
        <f>VLOOKUP(E1164, Sales_Reps!A$2:C$31, 3, FALSE)</f>
        <v>West</v>
      </c>
      <c r="R1164">
        <f>VLOOKUP(D1164, Products!A$2:D$61, 4, FALSE)</f>
        <v>1860</v>
      </c>
    </row>
    <row r="1165" spans="1:18" x14ac:dyDescent="0.3">
      <c r="A1165" s="13" t="s">
        <v>1651</v>
      </c>
      <c r="B1165" s="14">
        <v>45407</v>
      </c>
      <c r="C1165" s="13" t="s">
        <v>194</v>
      </c>
      <c r="D1165" s="13" t="s">
        <v>164</v>
      </c>
      <c r="E1165" s="13" t="s">
        <v>170</v>
      </c>
      <c r="F1165" s="15">
        <v>6</v>
      </c>
      <c r="G1165" s="15">
        <v>1080</v>
      </c>
      <c r="H1165" s="15">
        <v>17.5</v>
      </c>
      <c r="I1165" s="15">
        <v>5346</v>
      </c>
      <c r="J1165" s="13" t="s">
        <v>87</v>
      </c>
      <c r="K1165" s="13" t="s">
        <v>88</v>
      </c>
      <c r="L1165">
        <f>IF(COUNTIF(A$2:A1165, A1165)=1, IF(COUNTIF(A$2:A$2001, A1165)&gt;1, 1, 0), 0)</f>
        <v>0</v>
      </c>
      <c r="M1165" t="b">
        <f>VLOOKUP(D1165, Products!A$2:F$61, 6, FALSE)</f>
        <v>1</v>
      </c>
      <c r="N1165" t="str">
        <f>VLOOKUP(D1165, Products!A$2:C$61, 3, FALSE)</f>
        <v>Home</v>
      </c>
      <c r="O1165" t="str">
        <f>VLOOKUP(C1165, Customers!A$2:E$301, 5, FALSE)</f>
        <v>SMB</v>
      </c>
      <c r="P1165">
        <f>VLOOKUP(C1165, Customers!A$2:C$301, 3, FALSE)</f>
        <v>44</v>
      </c>
      <c r="Q1165" t="str">
        <f>VLOOKUP(E1165, Sales_Reps!A$2:C$31, 3, FALSE)</f>
        <v>West</v>
      </c>
      <c r="R1165">
        <f>VLOOKUP(D1165, Products!A$2:D$61, 4, FALSE)</f>
        <v>519</v>
      </c>
    </row>
    <row r="1166" spans="1:18" x14ac:dyDescent="0.3">
      <c r="A1166" s="13" t="s">
        <v>1652</v>
      </c>
      <c r="B1166" s="14">
        <v>45603</v>
      </c>
      <c r="C1166" s="13" t="s">
        <v>429</v>
      </c>
      <c r="D1166" s="13" t="s">
        <v>138</v>
      </c>
      <c r="E1166" s="13" t="s">
        <v>154</v>
      </c>
      <c r="F1166" s="15">
        <v>3</v>
      </c>
      <c r="G1166" s="15">
        <v>2600</v>
      </c>
      <c r="H1166" s="15">
        <v>1.9</v>
      </c>
      <c r="I1166" s="15">
        <v>7651.8</v>
      </c>
      <c r="J1166" s="13" t="s">
        <v>87</v>
      </c>
      <c r="K1166" s="13" t="s">
        <v>117</v>
      </c>
      <c r="L1166">
        <f>IF(COUNTIF(A$2:A1166, A1166)=1, IF(COUNTIF(A$2:A$2001, A1166)&gt;1, 1, 0), 0)</f>
        <v>0</v>
      </c>
      <c r="M1166" t="b">
        <f>VLOOKUP(D1166, Products!A$2:F$61, 6, FALSE)</f>
        <v>1</v>
      </c>
      <c r="N1166" t="str">
        <f>VLOOKUP(D1166, Products!A$2:C$61, 3, FALSE)</f>
        <v>Electronics</v>
      </c>
      <c r="O1166" t="str">
        <f>VLOOKUP(C1166, Customers!A$2:E$301, 5, FALSE)</f>
        <v>Retail</v>
      </c>
      <c r="P1166">
        <f>VLOOKUP(C1166, Customers!A$2:C$301, 3, FALSE)</f>
        <v>55</v>
      </c>
      <c r="Q1166" t="str">
        <f>VLOOKUP(E1166, Sales_Reps!A$2:C$31, 3, FALSE)</f>
        <v>East</v>
      </c>
      <c r="R1166">
        <f>VLOOKUP(D1166, Products!A$2:D$61, 4, FALSE)</f>
        <v>1052</v>
      </c>
    </row>
    <row r="1167" spans="1:18" x14ac:dyDescent="0.3">
      <c r="A1167" s="13" t="s">
        <v>1653</v>
      </c>
      <c r="B1167" s="14">
        <v>45375</v>
      </c>
      <c r="C1167" s="13" t="s">
        <v>797</v>
      </c>
      <c r="D1167" s="13" t="s">
        <v>173</v>
      </c>
      <c r="E1167" s="13" t="s">
        <v>107</v>
      </c>
      <c r="F1167" s="15">
        <v>5</v>
      </c>
      <c r="G1167" s="15">
        <v>2720</v>
      </c>
      <c r="H1167" s="15">
        <v>1.8</v>
      </c>
      <c r="I1167" s="15">
        <v>13355.2</v>
      </c>
      <c r="J1167" s="13" t="s">
        <v>140</v>
      </c>
      <c r="K1167" s="13" t="s">
        <v>99</v>
      </c>
      <c r="L1167">
        <f>IF(COUNTIF(A$2:A1167, A1167)=1, IF(COUNTIF(A$2:A$2001, A1167)&gt;1, 1, 0), 0)</f>
        <v>0</v>
      </c>
      <c r="M1167" t="b">
        <f>VLOOKUP(D1167, Products!A$2:F$61, 6, FALSE)</f>
        <v>1</v>
      </c>
      <c r="N1167" t="str">
        <f>VLOOKUP(D1167, Products!A$2:C$61, 3, FALSE)</f>
        <v>Apparel</v>
      </c>
      <c r="O1167" t="str">
        <f>VLOOKUP(C1167, Customers!A$2:E$301, 5, FALSE)</f>
        <v>Retail</v>
      </c>
      <c r="P1167">
        <f>VLOOKUP(C1167, Customers!A$2:C$301, 3, FALSE)</f>
        <v>63</v>
      </c>
      <c r="Q1167" t="str">
        <f>VLOOKUP(E1167, Sales_Reps!A$2:C$31, 3, FALSE)</f>
        <v>North</v>
      </c>
      <c r="R1167">
        <f>VLOOKUP(D1167, Products!A$2:D$61, 4, FALSE)</f>
        <v>1962</v>
      </c>
    </row>
    <row r="1168" spans="1:18" x14ac:dyDescent="0.3">
      <c r="A1168" s="13" t="s">
        <v>1654</v>
      </c>
      <c r="B1168" s="14">
        <v>45485</v>
      </c>
      <c r="C1168" s="13" t="s">
        <v>378</v>
      </c>
      <c r="D1168" s="13" t="s">
        <v>102</v>
      </c>
      <c r="E1168" s="13" t="s">
        <v>325</v>
      </c>
      <c r="F1168" s="15">
        <v>8</v>
      </c>
      <c r="G1168" s="15">
        <v>3660</v>
      </c>
      <c r="H1168" s="15">
        <v>29.5</v>
      </c>
      <c r="I1168" s="15">
        <v>20642.400000000001</v>
      </c>
      <c r="J1168" s="13" t="s">
        <v>87</v>
      </c>
      <c r="K1168" s="13" t="s">
        <v>94</v>
      </c>
      <c r="L1168">
        <f>IF(COUNTIF(A$2:A1168, A1168)=1, IF(COUNTIF(A$2:A$2001, A1168)&gt;1, 1, 0), 0)</f>
        <v>0</v>
      </c>
      <c r="M1168" t="b">
        <f>VLOOKUP(D1168, Products!A$2:F$61, 6, FALSE)</f>
        <v>0</v>
      </c>
      <c r="N1168" t="str">
        <f>VLOOKUP(D1168, Products!A$2:C$61, 3, FALSE)</f>
        <v>Grocery</v>
      </c>
      <c r="O1168" t="str">
        <f>VLOOKUP(C1168, Customers!A$2:E$301, 5, FALSE)</f>
        <v>SMB</v>
      </c>
      <c r="P1168">
        <f>VLOOKUP(C1168, Customers!A$2:C$301, 3, FALSE)</f>
        <v>53</v>
      </c>
      <c r="Q1168" t="str">
        <f>VLOOKUP(E1168, Sales_Reps!A$2:C$31, 3, FALSE)</f>
        <v>South</v>
      </c>
      <c r="R1168">
        <f>VLOOKUP(D1168, Products!A$2:D$61, 4, FALSE)</f>
        <v>2214</v>
      </c>
    </row>
    <row r="1169" spans="1:18" x14ac:dyDescent="0.3">
      <c r="A1169" s="13" t="s">
        <v>1655</v>
      </c>
      <c r="B1169" s="14">
        <v>45567</v>
      </c>
      <c r="C1169" s="13" t="s">
        <v>385</v>
      </c>
      <c r="D1169" s="13" t="s">
        <v>176</v>
      </c>
      <c r="E1169" s="13" t="s">
        <v>92</v>
      </c>
      <c r="F1169" s="15">
        <v>9</v>
      </c>
      <c r="G1169" s="15">
        <v>1650</v>
      </c>
      <c r="H1169" s="15">
        <v>19.8</v>
      </c>
      <c r="I1169" s="15">
        <v>11909.7</v>
      </c>
      <c r="J1169" s="13" t="s">
        <v>144</v>
      </c>
      <c r="K1169" s="13" t="s">
        <v>117</v>
      </c>
      <c r="L1169">
        <f>IF(COUNTIF(A$2:A1169, A1169)=1, IF(COUNTIF(A$2:A$2001, A1169)&gt;1, 1, 0), 0)</f>
        <v>0</v>
      </c>
      <c r="M1169" t="b">
        <f>VLOOKUP(D1169, Products!A$2:F$61, 6, FALSE)</f>
        <v>1</v>
      </c>
      <c r="N1169" t="str">
        <f>VLOOKUP(D1169, Products!A$2:C$61, 3, FALSE)</f>
        <v>Beauty</v>
      </c>
      <c r="O1169" t="str">
        <f>VLOOKUP(C1169, Customers!A$2:E$301, 5, FALSE)</f>
        <v>Retail</v>
      </c>
      <c r="P1169">
        <f>VLOOKUP(C1169, Customers!A$2:C$301, 3, FALSE)</f>
        <v>23</v>
      </c>
      <c r="Q1169" t="str">
        <f>VLOOKUP(E1169, Sales_Reps!A$2:C$31, 3, FALSE)</f>
        <v>North</v>
      </c>
      <c r="R1169">
        <f>VLOOKUP(D1169, Products!A$2:D$61, 4, FALSE)</f>
        <v>1222</v>
      </c>
    </row>
    <row r="1170" spans="1:18" x14ac:dyDescent="0.3">
      <c r="A1170" s="13" t="s">
        <v>1656</v>
      </c>
      <c r="B1170" s="14">
        <v>45502</v>
      </c>
      <c r="C1170" s="13" t="s">
        <v>333</v>
      </c>
      <c r="D1170" s="13" t="s">
        <v>195</v>
      </c>
      <c r="E1170" s="13" t="s">
        <v>121</v>
      </c>
      <c r="F1170" s="15">
        <v>3</v>
      </c>
      <c r="G1170" s="15">
        <v>2860</v>
      </c>
      <c r="H1170" s="15">
        <v>22.7</v>
      </c>
      <c r="I1170" s="15">
        <v>6632.34</v>
      </c>
      <c r="J1170" s="13" t="s">
        <v>87</v>
      </c>
      <c r="K1170" s="13" t="s">
        <v>133</v>
      </c>
      <c r="L1170">
        <f>IF(COUNTIF(A$2:A1170, A1170)=1, IF(COUNTIF(A$2:A$2001, A1170)&gt;1, 1, 0), 0)</f>
        <v>0</v>
      </c>
      <c r="M1170" t="b">
        <f>VLOOKUP(D1170, Products!A$2:F$61, 6, FALSE)</f>
        <v>1</v>
      </c>
      <c r="N1170" t="str">
        <f>VLOOKUP(D1170, Products!A$2:C$61, 3, FALSE)</f>
        <v>Sports</v>
      </c>
      <c r="O1170" t="str">
        <f>VLOOKUP(C1170, Customers!A$2:E$301, 5, FALSE)</f>
        <v>SMB</v>
      </c>
      <c r="P1170">
        <f>VLOOKUP(C1170, Customers!A$2:C$301, 3, FALSE)</f>
        <v>65</v>
      </c>
      <c r="Q1170" t="str">
        <f>VLOOKUP(E1170, Sales_Reps!A$2:C$31, 3, FALSE)</f>
        <v>East</v>
      </c>
      <c r="R1170">
        <f>VLOOKUP(D1170, Products!A$2:D$61, 4, FALSE)</f>
        <v>2028</v>
      </c>
    </row>
    <row r="1171" spans="1:18" x14ac:dyDescent="0.3">
      <c r="A1171" s="13" t="s">
        <v>1657</v>
      </c>
      <c r="B1171" s="14">
        <v>45429</v>
      </c>
      <c r="C1171" s="13" t="s">
        <v>1047</v>
      </c>
      <c r="D1171" s="13" t="s">
        <v>161</v>
      </c>
      <c r="E1171" s="13" t="s">
        <v>111</v>
      </c>
      <c r="F1171" s="15">
        <v>4</v>
      </c>
      <c r="G1171" s="15">
        <v>3450</v>
      </c>
      <c r="H1171" s="15">
        <v>9.1999999999999993</v>
      </c>
      <c r="I1171" s="15">
        <v>12530.4</v>
      </c>
      <c r="J1171" s="13" t="s">
        <v>87</v>
      </c>
      <c r="K1171" s="13" t="s">
        <v>133</v>
      </c>
      <c r="L1171">
        <f>IF(COUNTIF(A$2:A1171, A1171)=1, IF(COUNTIF(A$2:A$2001, A1171)&gt;1, 1, 0), 0)</f>
        <v>0</v>
      </c>
      <c r="M1171" t="b">
        <f>VLOOKUP(D1171, Products!A$2:F$61, 6, FALSE)</f>
        <v>1</v>
      </c>
      <c r="N1171" t="str">
        <f>VLOOKUP(D1171, Products!A$2:C$61, 3, FALSE)</f>
        <v>Sports</v>
      </c>
      <c r="O1171" t="str">
        <f>VLOOKUP(C1171, Customers!A$2:E$301, 5, FALSE)</f>
        <v>Retail</v>
      </c>
      <c r="P1171">
        <f>VLOOKUP(C1171, Customers!A$2:C$301, 3, FALSE)</f>
        <v>41</v>
      </c>
      <c r="Q1171" t="str">
        <f>VLOOKUP(E1171, Sales_Reps!A$2:C$31, 3, FALSE)</f>
        <v>West</v>
      </c>
      <c r="R1171">
        <f>VLOOKUP(D1171, Products!A$2:D$61, 4, FALSE)</f>
        <v>2467</v>
      </c>
    </row>
    <row r="1172" spans="1:18" x14ac:dyDescent="0.3">
      <c r="A1172" s="13" t="s">
        <v>1658</v>
      </c>
      <c r="B1172" s="14">
        <v>45405</v>
      </c>
      <c r="C1172" s="13" t="s">
        <v>275</v>
      </c>
      <c r="D1172" s="13" t="s">
        <v>295</v>
      </c>
      <c r="E1172" s="13" t="s">
        <v>148</v>
      </c>
      <c r="F1172" s="15">
        <v>4</v>
      </c>
      <c r="G1172" s="15">
        <v>2030</v>
      </c>
      <c r="H1172" s="15">
        <v>17.100000000000001</v>
      </c>
      <c r="I1172" s="15">
        <v>6731.48</v>
      </c>
      <c r="J1172" s="13" t="s">
        <v>87</v>
      </c>
      <c r="K1172" s="13" t="s">
        <v>88</v>
      </c>
      <c r="L1172">
        <f>IF(COUNTIF(A$2:A1172, A1172)=1, IF(COUNTIF(A$2:A$2001, A1172)&gt;1, 1, 0), 0)</f>
        <v>0</v>
      </c>
      <c r="M1172" t="b">
        <f>VLOOKUP(D1172, Products!A$2:F$61, 6, FALSE)</f>
        <v>1</v>
      </c>
      <c r="N1172" t="str">
        <f>VLOOKUP(D1172, Products!A$2:C$61, 3, FALSE)</f>
        <v>Home</v>
      </c>
      <c r="O1172" t="str">
        <f>VLOOKUP(C1172, Customers!A$2:E$301, 5, FALSE)</f>
        <v>Retail</v>
      </c>
      <c r="P1172">
        <f>VLOOKUP(C1172, Customers!A$2:C$301, 3, FALSE)</f>
        <v>44</v>
      </c>
      <c r="Q1172" t="str">
        <f>VLOOKUP(E1172, Sales_Reps!A$2:C$31, 3, FALSE)</f>
        <v>North</v>
      </c>
      <c r="R1172">
        <f>VLOOKUP(D1172, Products!A$2:D$61, 4, FALSE)</f>
        <v>1143</v>
      </c>
    </row>
    <row r="1173" spans="1:18" x14ac:dyDescent="0.3">
      <c r="A1173" s="13" t="s">
        <v>1659</v>
      </c>
      <c r="B1173" s="14">
        <v>45401</v>
      </c>
      <c r="C1173" s="13" t="s">
        <v>413</v>
      </c>
      <c r="D1173" s="13" t="s">
        <v>245</v>
      </c>
      <c r="E1173" s="13" t="s">
        <v>346</v>
      </c>
      <c r="F1173" s="15">
        <v>4</v>
      </c>
      <c r="G1173" s="15">
        <v>2270</v>
      </c>
      <c r="H1173" s="15">
        <v>27.3</v>
      </c>
      <c r="I1173" s="15">
        <v>6601.16</v>
      </c>
      <c r="J1173" s="13" t="s">
        <v>87</v>
      </c>
      <c r="K1173" s="13" t="s">
        <v>88</v>
      </c>
      <c r="L1173">
        <f>IF(COUNTIF(A$2:A1173, A1173)=1, IF(COUNTIF(A$2:A$2001, A1173)&gt;1, 1, 0), 0)</f>
        <v>0</v>
      </c>
      <c r="M1173" t="b">
        <f>VLOOKUP(D1173, Products!A$2:F$61, 6, FALSE)</f>
        <v>1</v>
      </c>
      <c r="N1173" t="str">
        <f>VLOOKUP(D1173, Products!A$2:C$61, 3, FALSE)</f>
        <v>Grocery</v>
      </c>
      <c r="O1173" t="str">
        <f>VLOOKUP(C1173, Customers!A$2:E$301, 5, FALSE)</f>
        <v>Retail</v>
      </c>
      <c r="P1173">
        <f>VLOOKUP(C1173, Customers!A$2:C$301, 3, FALSE)</f>
        <v>22</v>
      </c>
      <c r="Q1173" t="str">
        <f>VLOOKUP(E1173, Sales_Reps!A$2:C$31, 3, FALSE)</f>
        <v>South</v>
      </c>
      <c r="R1173">
        <f>VLOOKUP(D1173, Products!A$2:D$61, 4, FALSE)</f>
        <v>1412</v>
      </c>
    </row>
    <row r="1174" spans="1:18" x14ac:dyDescent="0.3">
      <c r="A1174" s="13" t="s">
        <v>1660</v>
      </c>
      <c r="B1174" s="14">
        <v>45373</v>
      </c>
      <c r="C1174" s="13" t="s">
        <v>465</v>
      </c>
      <c r="D1174" s="13" t="s">
        <v>443</v>
      </c>
      <c r="E1174" s="13" t="s">
        <v>252</v>
      </c>
      <c r="F1174" s="15">
        <v>9</v>
      </c>
      <c r="G1174" s="15">
        <v>5080</v>
      </c>
      <c r="H1174" s="15">
        <v>10.9</v>
      </c>
      <c r="I1174" s="15">
        <v>40736.519999999997</v>
      </c>
      <c r="J1174" s="13" t="s">
        <v>87</v>
      </c>
      <c r="K1174" s="13" t="s">
        <v>112</v>
      </c>
      <c r="L1174">
        <f>IF(COUNTIF(A$2:A1174, A1174)=1, IF(COUNTIF(A$2:A$2001, A1174)&gt;1, 1, 0), 0)</f>
        <v>0</v>
      </c>
      <c r="M1174" t="b">
        <f>VLOOKUP(D1174, Products!A$2:F$61, 6, FALSE)</f>
        <v>1</v>
      </c>
      <c r="N1174" t="str">
        <f>VLOOKUP(D1174, Products!A$2:C$61, 3, FALSE)</f>
        <v>Home</v>
      </c>
      <c r="O1174" t="str">
        <f>VLOOKUP(C1174, Customers!A$2:E$301, 5, FALSE)</f>
        <v>Retail</v>
      </c>
      <c r="P1174">
        <f>VLOOKUP(C1174, Customers!A$2:C$301, 3, FALSE)</f>
        <v>61</v>
      </c>
      <c r="Q1174" t="str">
        <f>VLOOKUP(E1174, Sales_Reps!A$2:C$31, 3, FALSE)</f>
        <v>South</v>
      </c>
      <c r="R1174">
        <f>VLOOKUP(D1174, Products!A$2:D$61, 4, FALSE)</f>
        <v>2459</v>
      </c>
    </row>
    <row r="1175" spans="1:18" x14ac:dyDescent="0.3">
      <c r="A1175" s="13" t="s">
        <v>1661</v>
      </c>
      <c r="B1175" s="14">
        <v>45602</v>
      </c>
      <c r="C1175" s="13" t="s">
        <v>785</v>
      </c>
      <c r="D1175" s="13" t="s">
        <v>264</v>
      </c>
      <c r="E1175" s="13" t="s">
        <v>229</v>
      </c>
      <c r="F1175" s="15">
        <v>8</v>
      </c>
      <c r="G1175" s="15">
        <v>4070</v>
      </c>
      <c r="H1175" s="15">
        <v>17.7</v>
      </c>
      <c r="I1175" s="15">
        <v>26796.880000000001</v>
      </c>
      <c r="J1175" s="13" t="s">
        <v>87</v>
      </c>
      <c r="K1175" s="13" t="s">
        <v>88</v>
      </c>
      <c r="L1175">
        <f>IF(COUNTIF(A$2:A1175, A1175)=1, IF(COUNTIF(A$2:A$2001, A1175)&gt;1, 1, 0), 0)</f>
        <v>0</v>
      </c>
      <c r="M1175" t="b">
        <f>VLOOKUP(D1175, Products!A$2:F$61, 6, FALSE)</f>
        <v>1</v>
      </c>
      <c r="N1175" t="str">
        <f>VLOOKUP(D1175, Products!A$2:C$61, 3, FALSE)</f>
        <v>Grocery</v>
      </c>
      <c r="O1175" t="str">
        <f>VLOOKUP(C1175, Customers!A$2:E$301, 5, FALSE)</f>
        <v>Retail</v>
      </c>
      <c r="P1175">
        <f>VLOOKUP(C1175, Customers!A$2:C$301, 3, FALSE)</f>
        <v>31</v>
      </c>
      <c r="Q1175" t="str">
        <f>VLOOKUP(E1175, Sales_Reps!A$2:C$31, 3, FALSE)</f>
        <v>West</v>
      </c>
      <c r="R1175">
        <f>VLOOKUP(D1175, Products!A$2:D$61, 4, FALSE)</f>
        <v>2027</v>
      </c>
    </row>
    <row r="1176" spans="1:18" x14ac:dyDescent="0.3">
      <c r="A1176" s="13" t="s">
        <v>1662</v>
      </c>
      <c r="B1176" s="14">
        <v>45372</v>
      </c>
      <c r="C1176" s="13" t="s">
        <v>422</v>
      </c>
      <c r="D1176" s="13" t="s">
        <v>259</v>
      </c>
      <c r="E1176" s="13" t="s">
        <v>92</v>
      </c>
      <c r="F1176" s="15">
        <v>1</v>
      </c>
      <c r="G1176" s="15">
        <v>1540</v>
      </c>
      <c r="H1176" s="15">
        <v>0.9</v>
      </c>
      <c r="I1176" s="15">
        <v>1526.14</v>
      </c>
      <c r="J1176" s="13" t="s">
        <v>87</v>
      </c>
      <c r="K1176" s="13" t="s">
        <v>94</v>
      </c>
      <c r="L1176">
        <f>IF(COUNTIF(A$2:A1176, A1176)=1, IF(COUNTIF(A$2:A$2001, A1176)&gt;1, 1, 0), 0)</f>
        <v>0</v>
      </c>
      <c r="M1176" t="b">
        <f>VLOOKUP(D1176, Products!A$2:F$61, 6, FALSE)</f>
        <v>0</v>
      </c>
      <c r="N1176" t="str">
        <f>VLOOKUP(D1176, Products!A$2:C$61, 3, FALSE)</f>
        <v>Beauty</v>
      </c>
      <c r="O1176" t="str">
        <f>VLOOKUP(C1176, Customers!A$2:E$301, 5, FALSE)</f>
        <v>SMB</v>
      </c>
      <c r="P1176">
        <f>VLOOKUP(C1176, Customers!A$2:C$301, 3, FALSE)</f>
        <v>64</v>
      </c>
      <c r="Q1176" t="str">
        <f>VLOOKUP(E1176, Sales_Reps!A$2:C$31, 3, FALSE)</f>
        <v>North</v>
      </c>
      <c r="R1176">
        <f>VLOOKUP(D1176, Products!A$2:D$61, 4, FALSE)</f>
        <v>647</v>
      </c>
    </row>
    <row r="1177" spans="1:18" x14ac:dyDescent="0.3">
      <c r="A1177" s="13" t="s">
        <v>1663</v>
      </c>
      <c r="B1177" s="14">
        <v>45416</v>
      </c>
      <c r="C1177" s="13" t="s">
        <v>1664</v>
      </c>
      <c r="D1177" s="13" t="s">
        <v>191</v>
      </c>
      <c r="E1177" s="13" t="s">
        <v>116</v>
      </c>
      <c r="F1177" s="15">
        <v>10</v>
      </c>
      <c r="G1177" s="15">
        <v>5100</v>
      </c>
      <c r="H1177" s="15">
        <v>3</v>
      </c>
      <c r="I1177" s="15">
        <v>49470</v>
      </c>
      <c r="J1177" s="13" t="s">
        <v>87</v>
      </c>
      <c r="K1177" s="13" t="s">
        <v>117</v>
      </c>
      <c r="L1177">
        <f>IF(COUNTIF(A$2:A1177, A1177)=1, IF(COUNTIF(A$2:A$2001, A1177)&gt;1, 1, 0), 0)</f>
        <v>0</v>
      </c>
      <c r="M1177" t="b">
        <f>VLOOKUP(D1177, Products!A$2:F$61, 6, FALSE)</f>
        <v>1</v>
      </c>
      <c r="N1177" t="str">
        <f>VLOOKUP(D1177, Products!A$2:C$61, 3, FALSE)</f>
        <v>Beauty</v>
      </c>
      <c r="O1177" t="str">
        <f>VLOOKUP(C1177, Customers!A$2:E$301, 5, FALSE)</f>
        <v>Retail</v>
      </c>
      <c r="P1177">
        <f>VLOOKUP(C1177, Customers!A$2:C$301, 3, FALSE)</f>
        <v>48</v>
      </c>
      <c r="Q1177" t="str">
        <f>VLOOKUP(E1177, Sales_Reps!A$2:C$31, 3, FALSE)</f>
        <v>West</v>
      </c>
      <c r="R1177">
        <f>VLOOKUP(D1177, Products!A$2:D$61, 4, FALSE)</f>
        <v>2237</v>
      </c>
    </row>
    <row r="1178" spans="1:18" x14ac:dyDescent="0.3">
      <c r="A1178" s="13" t="s">
        <v>1665</v>
      </c>
      <c r="B1178" s="14">
        <v>45656</v>
      </c>
      <c r="C1178" s="13" t="s">
        <v>580</v>
      </c>
      <c r="D1178" s="13" t="s">
        <v>85</v>
      </c>
      <c r="E1178" s="13" t="s">
        <v>103</v>
      </c>
      <c r="F1178" s="15">
        <v>6</v>
      </c>
      <c r="G1178" s="15">
        <v>3620</v>
      </c>
      <c r="H1178" s="15">
        <v>20.2</v>
      </c>
      <c r="I1178" s="15">
        <v>17332.560000000001</v>
      </c>
      <c r="J1178" s="13" t="s">
        <v>87</v>
      </c>
      <c r="K1178" s="13" t="s">
        <v>88</v>
      </c>
      <c r="L1178">
        <f>IF(COUNTIF(A$2:A1178, A1178)=1, IF(COUNTIF(A$2:A$2001, A1178)&gt;1, 1, 0), 0)</f>
        <v>0</v>
      </c>
      <c r="M1178" t="b">
        <f>VLOOKUP(D1178, Products!A$2:F$61, 6, FALSE)</f>
        <v>1</v>
      </c>
      <c r="N1178" t="str">
        <f>VLOOKUP(D1178, Products!A$2:C$61, 3, FALSE)</f>
        <v>Apparel</v>
      </c>
      <c r="O1178" t="str">
        <f>VLOOKUP(C1178, Customers!A$2:E$301, 5, FALSE)</f>
        <v>Corporate</v>
      </c>
      <c r="P1178">
        <f>VLOOKUP(C1178, Customers!A$2:C$301, 3, FALSE)</f>
        <v>40</v>
      </c>
      <c r="Q1178" t="str">
        <f>VLOOKUP(E1178, Sales_Reps!A$2:C$31, 3, FALSE)</f>
        <v>North</v>
      </c>
      <c r="R1178">
        <f>VLOOKUP(D1178, Products!A$2:D$61, 4, FALSE)</f>
        <v>2509</v>
      </c>
    </row>
    <row r="1179" spans="1:18" x14ac:dyDescent="0.3">
      <c r="A1179" s="13" t="s">
        <v>1666</v>
      </c>
      <c r="B1179" s="14">
        <v>45324</v>
      </c>
      <c r="C1179" s="13" t="s">
        <v>126</v>
      </c>
      <c r="D1179" s="13" t="s">
        <v>184</v>
      </c>
      <c r="E1179" s="13" t="s">
        <v>148</v>
      </c>
      <c r="F1179" s="15">
        <v>7</v>
      </c>
      <c r="G1179" s="15">
        <v>4880</v>
      </c>
      <c r="H1179" s="15">
        <v>5</v>
      </c>
      <c r="I1179" s="15">
        <v>32452</v>
      </c>
      <c r="J1179" s="13" t="s">
        <v>87</v>
      </c>
      <c r="K1179" s="13" t="s">
        <v>88</v>
      </c>
      <c r="L1179">
        <f>IF(COUNTIF(A$2:A1179, A1179)=1, IF(COUNTIF(A$2:A$2001, A1179)&gt;1, 1, 0), 0)</f>
        <v>0</v>
      </c>
      <c r="M1179" t="b">
        <f>VLOOKUP(D1179, Products!A$2:F$61, 6, FALSE)</f>
        <v>1</v>
      </c>
      <c r="N1179" t="str">
        <f>VLOOKUP(D1179, Products!A$2:C$61, 3, FALSE)</f>
        <v>Beauty</v>
      </c>
      <c r="O1179" t="str">
        <f>VLOOKUP(C1179, Customers!A$2:E$301, 5, FALSE)</f>
        <v>Retail</v>
      </c>
      <c r="P1179">
        <f>VLOOKUP(C1179, Customers!A$2:C$301, 3, FALSE)</f>
        <v>56</v>
      </c>
      <c r="Q1179" t="str">
        <f>VLOOKUP(E1179, Sales_Reps!A$2:C$31, 3, FALSE)</f>
        <v>North</v>
      </c>
      <c r="R1179">
        <f>VLOOKUP(D1179, Products!A$2:D$61, 4, FALSE)</f>
        <v>2768</v>
      </c>
    </row>
    <row r="1180" spans="1:18" x14ac:dyDescent="0.3">
      <c r="A1180" s="13" t="s">
        <v>1667</v>
      </c>
      <c r="B1180" s="14">
        <v>45472</v>
      </c>
      <c r="C1180" s="13" t="s">
        <v>194</v>
      </c>
      <c r="D1180" s="13" t="s">
        <v>135</v>
      </c>
      <c r="E1180" s="13" t="s">
        <v>116</v>
      </c>
      <c r="F1180" s="15">
        <v>1</v>
      </c>
      <c r="G1180" s="15">
        <v>2640</v>
      </c>
      <c r="H1180" s="15">
        <v>4.0999999999999996</v>
      </c>
      <c r="I1180" s="15">
        <v>2531.7600000000002</v>
      </c>
      <c r="J1180" s="13" t="s">
        <v>87</v>
      </c>
      <c r="K1180" s="13" t="s">
        <v>88</v>
      </c>
      <c r="L1180">
        <f>IF(COUNTIF(A$2:A1180, A1180)=1, IF(COUNTIF(A$2:A$2001, A1180)&gt;1, 1, 0), 0)</f>
        <v>0</v>
      </c>
      <c r="M1180" t="b">
        <f>VLOOKUP(D1180, Products!A$2:F$61, 6, FALSE)</f>
        <v>1</v>
      </c>
      <c r="N1180" t="str">
        <f>VLOOKUP(D1180, Products!A$2:C$61, 3, FALSE)</f>
        <v>Electronics</v>
      </c>
      <c r="O1180" t="str">
        <f>VLOOKUP(C1180, Customers!A$2:E$301, 5, FALSE)</f>
        <v>SMB</v>
      </c>
      <c r="P1180">
        <f>VLOOKUP(C1180, Customers!A$2:C$301, 3, FALSE)</f>
        <v>44</v>
      </c>
      <c r="Q1180" t="str">
        <f>VLOOKUP(E1180, Sales_Reps!A$2:C$31, 3, FALSE)</f>
        <v>West</v>
      </c>
      <c r="R1180">
        <f>VLOOKUP(D1180, Products!A$2:D$61, 4, FALSE)</f>
        <v>1149</v>
      </c>
    </row>
    <row r="1181" spans="1:18" x14ac:dyDescent="0.3">
      <c r="A1181" s="13" t="s">
        <v>1668</v>
      </c>
      <c r="B1181" s="14">
        <v>45508</v>
      </c>
      <c r="C1181" s="13" t="s">
        <v>263</v>
      </c>
      <c r="D1181" s="13" t="s">
        <v>264</v>
      </c>
      <c r="E1181" s="13" t="s">
        <v>192</v>
      </c>
      <c r="F1181" s="15">
        <v>9</v>
      </c>
      <c r="G1181" s="15">
        <v>4070</v>
      </c>
      <c r="H1181" s="15">
        <v>4.4000000000000004</v>
      </c>
      <c r="I1181" s="15">
        <v>35018.28</v>
      </c>
      <c r="J1181" s="13" t="s">
        <v>87</v>
      </c>
      <c r="K1181" s="13" t="s">
        <v>133</v>
      </c>
      <c r="L1181">
        <f>IF(COUNTIF(A$2:A1181, A1181)=1, IF(COUNTIF(A$2:A$2001, A1181)&gt;1, 1, 0), 0)</f>
        <v>0</v>
      </c>
      <c r="M1181" t="b">
        <f>VLOOKUP(D1181, Products!A$2:F$61, 6, FALSE)</f>
        <v>1</v>
      </c>
      <c r="N1181" t="str">
        <f>VLOOKUP(D1181, Products!A$2:C$61, 3, FALSE)</f>
        <v>Grocery</v>
      </c>
      <c r="O1181" t="str">
        <f>VLOOKUP(C1181, Customers!A$2:E$301, 5, FALSE)</f>
        <v>Retail</v>
      </c>
      <c r="P1181">
        <f>VLOOKUP(C1181, Customers!A$2:C$301, 3, FALSE)</f>
        <v>53</v>
      </c>
      <c r="Q1181" t="str">
        <f>VLOOKUP(E1181, Sales_Reps!A$2:C$31, 3, FALSE)</f>
        <v>East</v>
      </c>
      <c r="R1181">
        <f>VLOOKUP(D1181, Products!A$2:D$61, 4, FALSE)</f>
        <v>2027</v>
      </c>
    </row>
    <row r="1182" spans="1:18" x14ac:dyDescent="0.3">
      <c r="A1182" s="13" t="s">
        <v>1669</v>
      </c>
      <c r="B1182" s="14">
        <v>45617</v>
      </c>
      <c r="C1182" s="13" t="s">
        <v>328</v>
      </c>
      <c r="D1182" s="13" t="s">
        <v>187</v>
      </c>
      <c r="E1182" s="13" t="s">
        <v>111</v>
      </c>
      <c r="F1182" s="15">
        <v>9</v>
      </c>
      <c r="G1182" s="15">
        <v>3570</v>
      </c>
      <c r="H1182" s="15">
        <v>24.8</v>
      </c>
      <c r="I1182" s="15">
        <v>24161.759999999998</v>
      </c>
      <c r="J1182" s="13" t="s">
        <v>87</v>
      </c>
      <c r="K1182" s="13" t="s">
        <v>94</v>
      </c>
      <c r="L1182">
        <f>IF(COUNTIF(A$2:A1182, A1182)=1, IF(COUNTIF(A$2:A$2001, A1182)&gt;1, 1, 0), 0)</f>
        <v>0</v>
      </c>
      <c r="M1182" t="b">
        <f>VLOOKUP(D1182, Products!A$2:F$61, 6, FALSE)</f>
        <v>1</v>
      </c>
      <c r="N1182" t="str">
        <f>VLOOKUP(D1182, Products!A$2:C$61, 3, FALSE)</f>
        <v>Electronics</v>
      </c>
      <c r="O1182" t="str">
        <f>VLOOKUP(C1182, Customers!A$2:E$301, 5, FALSE)</f>
        <v>Retail</v>
      </c>
      <c r="P1182">
        <f>VLOOKUP(C1182, Customers!A$2:C$301, 3, FALSE)</f>
        <v>28</v>
      </c>
      <c r="Q1182" t="str">
        <f>VLOOKUP(E1182, Sales_Reps!A$2:C$31, 3, FALSE)</f>
        <v>West</v>
      </c>
      <c r="R1182">
        <f>VLOOKUP(D1182, Products!A$2:D$61, 4, FALSE)</f>
        <v>1665</v>
      </c>
    </row>
    <row r="1183" spans="1:18" x14ac:dyDescent="0.3">
      <c r="A1183" s="13" t="s">
        <v>1670</v>
      </c>
      <c r="B1183" s="14">
        <v>45470</v>
      </c>
      <c r="C1183" s="13" t="s">
        <v>272</v>
      </c>
      <c r="D1183" s="13" t="s">
        <v>179</v>
      </c>
      <c r="E1183" s="13" t="s">
        <v>92</v>
      </c>
      <c r="F1183" s="15">
        <v>10</v>
      </c>
      <c r="G1183" s="15">
        <v>3350</v>
      </c>
      <c r="H1183" s="15">
        <v>25.1</v>
      </c>
      <c r="I1183" s="15">
        <v>25091.5</v>
      </c>
      <c r="J1183" s="13" t="s">
        <v>140</v>
      </c>
      <c r="K1183" s="13" t="s">
        <v>94</v>
      </c>
      <c r="L1183">
        <f>IF(COUNTIF(A$2:A1183, A1183)=1, IF(COUNTIF(A$2:A$2001, A1183)&gt;1, 1, 0), 0)</f>
        <v>0</v>
      </c>
      <c r="M1183" t="b">
        <f>VLOOKUP(D1183, Products!A$2:F$61, 6, FALSE)</f>
        <v>1</v>
      </c>
      <c r="N1183" t="str">
        <f>VLOOKUP(D1183, Products!A$2:C$61, 3, FALSE)</f>
        <v>Beauty</v>
      </c>
      <c r="O1183" t="str">
        <f>VLOOKUP(C1183, Customers!A$2:E$301, 5, FALSE)</f>
        <v>SMB</v>
      </c>
      <c r="P1183">
        <f>VLOOKUP(C1183, Customers!A$2:C$301, 3, FALSE)</f>
        <v>55</v>
      </c>
      <c r="Q1183" t="str">
        <f>VLOOKUP(E1183, Sales_Reps!A$2:C$31, 3, FALSE)</f>
        <v>North</v>
      </c>
      <c r="R1183">
        <f>VLOOKUP(D1183, Products!A$2:D$61, 4, FALSE)</f>
        <v>1728</v>
      </c>
    </row>
    <row r="1184" spans="1:18" x14ac:dyDescent="0.3">
      <c r="A1184" s="13" t="s">
        <v>1671</v>
      </c>
      <c r="B1184" s="14">
        <v>45307</v>
      </c>
      <c r="C1184" s="13" t="s">
        <v>717</v>
      </c>
      <c r="D1184" s="13" t="s">
        <v>461</v>
      </c>
      <c r="E1184" s="13" t="s">
        <v>111</v>
      </c>
      <c r="F1184" s="15">
        <v>3</v>
      </c>
      <c r="G1184" s="15">
        <v>3780</v>
      </c>
      <c r="H1184" s="15">
        <v>3.8</v>
      </c>
      <c r="I1184" s="15">
        <v>10909.08</v>
      </c>
      <c r="J1184" s="13" t="s">
        <v>87</v>
      </c>
      <c r="K1184" s="13" t="s">
        <v>94</v>
      </c>
      <c r="L1184">
        <f>IF(COUNTIF(A$2:A1184, A1184)=1, IF(COUNTIF(A$2:A$2001, A1184)&gt;1, 1, 0), 0)</f>
        <v>0</v>
      </c>
      <c r="M1184" t="b">
        <f>VLOOKUP(D1184, Products!A$2:F$61, 6, FALSE)</f>
        <v>1</v>
      </c>
      <c r="N1184" t="str">
        <f>VLOOKUP(D1184, Products!A$2:C$61, 3, FALSE)</f>
        <v>Sports</v>
      </c>
      <c r="O1184" t="str">
        <f>VLOOKUP(C1184, Customers!A$2:E$301, 5, FALSE)</f>
        <v>Retail</v>
      </c>
      <c r="P1184">
        <f>VLOOKUP(C1184, Customers!A$2:C$301, 3, FALSE)</f>
        <v>24</v>
      </c>
      <c r="Q1184" t="str">
        <f>VLOOKUP(E1184, Sales_Reps!A$2:C$31, 3, FALSE)</f>
        <v>West</v>
      </c>
      <c r="R1184">
        <f>VLOOKUP(D1184, Products!A$2:D$61, 4, FALSE)</f>
        <v>1860</v>
      </c>
    </row>
    <row r="1185" spans="1:18" x14ac:dyDescent="0.3">
      <c r="A1185" s="13" t="s">
        <v>1672</v>
      </c>
      <c r="B1185" s="14">
        <v>45651</v>
      </c>
      <c r="C1185" s="13" t="s">
        <v>703</v>
      </c>
      <c r="D1185" s="13" t="s">
        <v>187</v>
      </c>
      <c r="E1185" s="13" t="s">
        <v>107</v>
      </c>
      <c r="F1185" s="15">
        <v>4</v>
      </c>
      <c r="G1185" s="15">
        <v>3570</v>
      </c>
      <c r="H1185" s="15">
        <v>0.9</v>
      </c>
      <c r="I1185" s="15">
        <v>14151.48</v>
      </c>
      <c r="J1185" s="13" t="s">
        <v>93</v>
      </c>
      <c r="K1185" s="13" t="s">
        <v>88</v>
      </c>
      <c r="L1185">
        <f>IF(COUNTIF(A$2:A1185, A1185)=1, IF(COUNTIF(A$2:A$2001, A1185)&gt;1, 1, 0), 0)</f>
        <v>0</v>
      </c>
      <c r="M1185" t="b">
        <f>VLOOKUP(D1185, Products!A$2:F$61, 6, FALSE)</f>
        <v>1</v>
      </c>
      <c r="N1185" t="str">
        <f>VLOOKUP(D1185, Products!A$2:C$61, 3, FALSE)</f>
        <v>Electronics</v>
      </c>
      <c r="O1185" t="str">
        <f>VLOOKUP(C1185, Customers!A$2:E$301, 5, FALSE)</f>
        <v>Corporate</v>
      </c>
      <c r="P1185">
        <f>VLOOKUP(C1185, Customers!A$2:C$301, 3, FALSE)</f>
        <v>52</v>
      </c>
      <c r="Q1185" t="str">
        <f>VLOOKUP(E1185, Sales_Reps!A$2:C$31, 3, FALSE)</f>
        <v>North</v>
      </c>
      <c r="R1185">
        <f>VLOOKUP(D1185, Products!A$2:D$61, 4, FALSE)</f>
        <v>1665</v>
      </c>
    </row>
    <row r="1186" spans="1:18" x14ac:dyDescent="0.3">
      <c r="A1186" s="13" t="s">
        <v>1163</v>
      </c>
      <c r="B1186" s="14">
        <v>45436</v>
      </c>
      <c r="C1186" s="13" t="s">
        <v>420</v>
      </c>
      <c r="D1186" s="13" t="s">
        <v>195</v>
      </c>
      <c r="E1186" s="13" t="s">
        <v>116</v>
      </c>
      <c r="F1186" s="15">
        <v>5</v>
      </c>
      <c r="G1186" s="15">
        <v>2860</v>
      </c>
      <c r="H1186" s="15">
        <v>20.100000000000001</v>
      </c>
      <c r="I1186" s="15">
        <v>11425.7</v>
      </c>
      <c r="J1186" s="13" t="s">
        <v>87</v>
      </c>
      <c r="K1186" s="13" t="s">
        <v>99</v>
      </c>
      <c r="L1186">
        <f>IF(COUNTIF(A$2:A1186, A1186)=1, IF(COUNTIF(A$2:A$2001, A1186)&gt;1, 1, 0), 0)</f>
        <v>0</v>
      </c>
      <c r="M1186" t="b">
        <f>VLOOKUP(D1186, Products!A$2:F$61, 6, FALSE)</f>
        <v>1</v>
      </c>
      <c r="N1186" t="str">
        <f>VLOOKUP(D1186, Products!A$2:C$61, 3, FALSE)</f>
        <v>Sports</v>
      </c>
      <c r="O1186" t="str">
        <f>VLOOKUP(C1186, Customers!A$2:E$301, 5, FALSE)</f>
        <v>Retail</v>
      </c>
      <c r="P1186">
        <f>VLOOKUP(C1186, Customers!A$2:C$301, 3, FALSE)</f>
        <v>44</v>
      </c>
      <c r="Q1186" t="str">
        <f>VLOOKUP(E1186, Sales_Reps!A$2:C$31, 3, FALSE)</f>
        <v>West</v>
      </c>
      <c r="R1186">
        <f>VLOOKUP(D1186, Products!A$2:D$61, 4, FALSE)</f>
        <v>2028</v>
      </c>
    </row>
    <row r="1187" spans="1:18" x14ac:dyDescent="0.3">
      <c r="A1187" s="13" t="s">
        <v>1673</v>
      </c>
      <c r="B1187" s="14">
        <v>45518</v>
      </c>
      <c r="C1187" s="13" t="s">
        <v>684</v>
      </c>
      <c r="D1187" s="13" t="s">
        <v>292</v>
      </c>
      <c r="E1187" s="13" t="s">
        <v>148</v>
      </c>
      <c r="F1187" s="15">
        <v>1</v>
      </c>
      <c r="G1187" s="15">
        <v>620</v>
      </c>
      <c r="H1187" s="15">
        <v>1.1000000000000001</v>
      </c>
      <c r="I1187" s="15">
        <v>613.17999999999995</v>
      </c>
      <c r="J1187" s="13" t="s">
        <v>140</v>
      </c>
      <c r="K1187" s="13" t="s">
        <v>99</v>
      </c>
      <c r="L1187">
        <f>IF(COUNTIF(A$2:A1187, A1187)=1, IF(COUNTIF(A$2:A$2001, A1187)&gt;1, 1, 0), 0)</f>
        <v>0</v>
      </c>
      <c r="M1187" t="b">
        <f>VLOOKUP(D1187, Products!A$2:F$61, 6, FALSE)</f>
        <v>1</v>
      </c>
      <c r="N1187" t="str">
        <f>VLOOKUP(D1187, Products!A$2:C$61, 3, FALSE)</f>
        <v>Apparel</v>
      </c>
      <c r="O1187" t="str">
        <f>VLOOKUP(C1187, Customers!A$2:E$301, 5, FALSE)</f>
        <v>Retail</v>
      </c>
      <c r="P1187">
        <f>VLOOKUP(C1187, Customers!A$2:C$301, 3, FALSE)</f>
        <v>41</v>
      </c>
      <c r="Q1187" t="str">
        <f>VLOOKUP(E1187, Sales_Reps!A$2:C$31, 3, FALSE)</f>
        <v>North</v>
      </c>
      <c r="R1187">
        <f>VLOOKUP(D1187, Products!A$2:D$61, 4, FALSE)</f>
        <v>396</v>
      </c>
    </row>
    <row r="1188" spans="1:18" x14ac:dyDescent="0.3">
      <c r="A1188" s="13" t="s">
        <v>1674</v>
      </c>
      <c r="B1188" s="14">
        <v>45432</v>
      </c>
      <c r="C1188" s="13" t="s">
        <v>194</v>
      </c>
      <c r="D1188" s="13" t="s">
        <v>187</v>
      </c>
      <c r="E1188" s="13" t="s">
        <v>325</v>
      </c>
      <c r="F1188" s="15">
        <v>1</v>
      </c>
      <c r="G1188" s="15">
        <v>3570</v>
      </c>
      <c r="H1188" s="15">
        <v>11.1</v>
      </c>
      <c r="I1188" s="15">
        <v>3173.73</v>
      </c>
      <c r="J1188" s="13" t="s">
        <v>140</v>
      </c>
      <c r="K1188" s="13" t="s">
        <v>88</v>
      </c>
      <c r="L1188">
        <f>IF(COUNTIF(A$2:A1188, A1188)=1, IF(COUNTIF(A$2:A$2001, A1188)&gt;1, 1, 0), 0)</f>
        <v>0</v>
      </c>
      <c r="M1188" t="b">
        <f>VLOOKUP(D1188, Products!A$2:F$61, 6, FALSE)</f>
        <v>1</v>
      </c>
      <c r="N1188" t="str">
        <f>VLOOKUP(D1188, Products!A$2:C$61, 3, FALSE)</f>
        <v>Electronics</v>
      </c>
      <c r="O1188" t="str">
        <f>VLOOKUP(C1188, Customers!A$2:E$301, 5, FALSE)</f>
        <v>SMB</v>
      </c>
      <c r="P1188">
        <f>VLOOKUP(C1188, Customers!A$2:C$301, 3, FALSE)</f>
        <v>44</v>
      </c>
      <c r="Q1188" t="str">
        <f>VLOOKUP(E1188, Sales_Reps!A$2:C$31, 3, FALSE)</f>
        <v>South</v>
      </c>
      <c r="R1188">
        <f>VLOOKUP(D1188, Products!A$2:D$61, 4, FALSE)</f>
        <v>1665</v>
      </c>
    </row>
    <row r="1189" spans="1:18" x14ac:dyDescent="0.3">
      <c r="A1189" s="13" t="s">
        <v>1675</v>
      </c>
      <c r="B1189" s="14">
        <v>45551</v>
      </c>
      <c r="C1189" s="13" t="s">
        <v>662</v>
      </c>
      <c r="D1189" s="13" t="s">
        <v>364</v>
      </c>
      <c r="E1189" s="13" t="s">
        <v>325</v>
      </c>
      <c r="F1189" s="15">
        <v>1</v>
      </c>
      <c r="G1189" s="15">
        <v>5330</v>
      </c>
      <c r="H1189" s="15">
        <v>3.5</v>
      </c>
      <c r="I1189" s="15">
        <v>5143.45</v>
      </c>
      <c r="J1189" s="13" t="s">
        <v>87</v>
      </c>
      <c r="K1189" s="13" t="s">
        <v>94</v>
      </c>
      <c r="L1189">
        <f>IF(COUNTIF(A$2:A1189, A1189)=1, IF(COUNTIF(A$2:A$2001, A1189)&gt;1, 1, 0), 0)</f>
        <v>0</v>
      </c>
      <c r="M1189" t="b">
        <f>VLOOKUP(D1189, Products!A$2:F$61, 6, FALSE)</f>
        <v>1</v>
      </c>
      <c r="N1189" t="str">
        <f>VLOOKUP(D1189, Products!A$2:C$61, 3, FALSE)</f>
        <v>Electronics</v>
      </c>
      <c r="O1189" t="str">
        <f>VLOOKUP(C1189, Customers!A$2:E$301, 5, FALSE)</f>
        <v>Corporate</v>
      </c>
      <c r="P1189">
        <f>VLOOKUP(C1189, Customers!A$2:C$301, 3, FALSE)</f>
        <v>41</v>
      </c>
      <c r="Q1189" t="str">
        <f>VLOOKUP(E1189, Sales_Reps!A$2:C$31, 3, FALSE)</f>
        <v>South</v>
      </c>
      <c r="R1189">
        <f>VLOOKUP(D1189, Products!A$2:D$61, 4, FALSE)</f>
        <v>2405</v>
      </c>
    </row>
    <row r="1190" spans="1:18" x14ac:dyDescent="0.3">
      <c r="A1190" s="13" t="s">
        <v>1676</v>
      </c>
      <c r="B1190" s="14">
        <v>45348</v>
      </c>
      <c r="C1190" s="13" t="s">
        <v>350</v>
      </c>
      <c r="D1190" s="13" t="s">
        <v>360</v>
      </c>
      <c r="E1190" s="13" t="s">
        <v>303</v>
      </c>
      <c r="F1190" s="15">
        <v>7</v>
      </c>
      <c r="G1190" s="15">
        <v>5410</v>
      </c>
      <c r="H1190" s="15">
        <v>26.2</v>
      </c>
      <c r="I1190" s="15">
        <v>27948.06</v>
      </c>
      <c r="J1190" s="13" t="s">
        <v>87</v>
      </c>
      <c r="K1190" s="13" t="s">
        <v>112</v>
      </c>
      <c r="L1190">
        <f>IF(COUNTIF(A$2:A1190, A1190)=1, IF(COUNTIF(A$2:A$2001, A1190)&gt;1, 1, 0), 0)</f>
        <v>0</v>
      </c>
      <c r="M1190" t="b">
        <f>VLOOKUP(D1190, Products!A$2:F$61, 6, FALSE)</f>
        <v>1</v>
      </c>
      <c r="N1190" t="str">
        <f>VLOOKUP(D1190, Products!A$2:C$61, 3, FALSE)</f>
        <v>Sports</v>
      </c>
      <c r="O1190" t="str">
        <f>VLOOKUP(C1190, Customers!A$2:E$301, 5, FALSE)</f>
        <v>SMB</v>
      </c>
      <c r="P1190">
        <f>VLOOKUP(C1190, Customers!A$2:C$301, 3, FALSE)</f>
        <v>22</v>
      </c>
      <c r="Q1190" t="str">
        <f>VLOOKUP(E1190, Sales_Reps!A$2:C$31, 3, FALSE)</f>
        <v>East</v>
      </c>
      <c r="R1190">
        <f>VLOOKUP(D1190, Products!A$2:D$61, 4, FALSE)</f>
        <v>2265</v>
      </c>
    </row>
    <row r="1191" spans="1:18" x14ac:dyDescent="0.3">
      <c r="A1191" s="13" t="s">
        <v>1677</v>
      </c>
      <c r="B1191" s="14">
        <v>45374</v>
      </c>
      <c r="C1191" s="13" t="s">
        <v>1231</v>
      </c>
      <c r="D1191" s="13" t="s">
        <v>443</v>
      </c>
      <c r="E1191" s="13" t="s">
        <v>346</v>
      </c>
      <c r="F1191" s="15">
        <v>10</v>
      </c>
      <c r="G1191" s="15">
        <v>5080</v>
      </c>
      <c r="H1191" s="15">
        <v>3.7</v>
      </c>
      <c r="I1191" s="15">
        <v>48920.4</v>
      </c>
      <c r="J1191" s="13" t="s">
        <v>93</v>
      </c>
      <c r="K1191" s="13" t="s">
        <v>88</v>
      </c>
      <c r="L1191">
        <f>IF(COUNTIF(A$2:A1191, A1191)=1, IF(COUNTIF(A$2:A$2001, A1191)&gt;1, 1, 0), 0)</f>
        <v>0</v>
      </c>
      <c r="M1191" t="b">
        <f>VLOOKUP(D1191, Products!A$2:F$61, 6, FALSE)</f>
        <v>1</v>
      </c>
      <c r="N1191" t="str">
        <f>VLOOKUP(D1191, Products!A$2:C$61, 3, FALSE)</f>
        <v>Home</v>
      </c>
      <c r="O1191" t="str">
        <f>VLOOKUP(C1191, Customers!A$2:E$301, 5, FALSE)</f>
        <v>Retail</v>
      </c>
      <c r="P1191">
        <f>VLOOKUP(C1191, Customers!A$2:C$301, 3, FALSE)</f>
        <v>42</v>
      </c>
      <c r="Q1191" t="str">
        <f>VLOOKUP(E1191, Sales_Reps!A$2:C$31, 3, FALSE)</f>
        <v>South</v>
      </c>
      <c r="R1191">
        <f>VLOOKUP(D1191, Products!A$2:D$61, 4, FALSE)</f>
        <v>2459</v>
      </c>
    </row>
    <row r="1192" spans="1:18" x14ac:dyDescent="0.3">
      <c r="A1192" s="13" t="s">
        <v>1678</v>
      </c>
      <c r="B1192" s="14">
        <v>45370</v>
      </c>
      <c r="C1192" s="13" t="s">
        <v>714</v>
      </c>
      <c r="D1192" s="13" t="s">
        <v>187</v>
      </c>
      <c r="E1192" s="13" t="s">
        <v>92</v>
      </c>
      <c r="F1192" s="15">
        <v>9</v>
      </c>
      <c r="G1192" s="15">
        <v>3570</v>
      </c>
      <c r="H1192" s="15">
        <v>5.6</v>
      </c>
      <c r="I1192" s="15">
        <v>30330.720000000001</v>
      </c>
      <c r="J1192" s="13" t="s">
        <v>87</v>
      </c>
      <c r="K1192" s="13" t="s">
        <v>99</v>
      </c>
      <c r="L1192">
        <f>IF(COUNTIF(A$2:A1192, A1192)=1, IF(COUNTIF(A$2:A$2001, A1192)&gt;1, 1, 0), 0)</f>
        <v>0</v>
      </c>
      <c r="M1192" t="b">
        <f>VLOOKUP(D1192, Products!A$2:F$61, 6, FALSE)</f>
        <v>1</v>
      </c>
      <c r="N1192" t="str">
        <f>VLOOKUP(D1192, Products!A$2:C$61, 3, FALSE)</f>
        <v>Electronics</v>
      </c>
      <c r="O1192" t="str">
        <f>VLOOKUP(C1192, Customers!A$2:E$301, 5, FALSE)</f>
        <v>Retail</v>
      </c>
      <c r="P1192">
        <f>VLOOKUP(C1192, Customers!A$2:C$301, 3, FALSE)</f>
        <v>24</v>
      </c>
      <c r="Q1192" t="str">
        <f>VLOOKUP(E1192, Sales_Reps!A$2:C$31, 3, FALSE)</f>
        <v>North</v>
      </c>
      <c r="R1192">
        <f>VLOOKUP(D1192, Products!A$2:D$61, 4, FALSE)</f>
        <v>1665</v>
      </c>
    </row>
    <row r="1193" spans="1:18" x14ac:dyDescent="0.3">
      <c r="A1193" s="13" t="s">
        <v>1679</v>
      </c>
      <c r="B1193" s="14">
        <v>45656</v>
      </c>
      <c r="C1193" s="13" t="s">
        <v>604</v>
      </c>
      <c r="D1193" s="13" t="s">
        <v>127</v>
      </c>
      <c r="E1193" s="13" t="s">
        <v>285</v>
      </c>
      <c r="F1193" s="15">
        <v>9</v>
      </c>
      <c r="G1193" s="15">
        <v>970</v>
      </c>
      <c r="H1193" s="15">
        <v>19.5</v>
      </c>
      <c r="I1193" s="15">
        <v>7027.65</v>
      </c>
      <c r="J1193" s="13" t="s">
        <v>87</v>
      </c>
      <c r="K1193" s="13" t="s">
        <v>117</v>
      </c>
      <c r="L1193">
        <f>IF(COUNTIF(A$2:A1193, A1193)=1, IF(COUNTIF(A$2:A$2001, A1193)&gt;1, 1, 0), 0)</f>
        <v>0</v>
      </c>
      <c r="M1193" t="b">
        <f>VLOOKUP(D1193, Products!A$2:F$61, 6, FALSE)</f>
        <v>1</v>
      </c>
      <c r="N1193" t="str">
        <f>VLOOKUP(D1193, Products!A$2:C$61, 3, FALSE)</f>
        <v>Grocery</v>
      </c>
      <c r="O1193" t="str">
        <f>VLOOKUP(C1193, Customers!A$2:E$301, 5, FALSE)</f>
        <v>Retail</v>
      </c>
      <c r="P1193">
        <f>VLOOKUP(C1193, Customers!A$2:C$301, 3, FALSE)</f>
        <v>34</v>
      </c>
      <c r="Q1193" t="str">
        <f>VLOOKUP(E1193, Sales_Reps!A$2:C$31, 3, FALSE)</f>
        <v>East</v>
      </c>
      <c r="R1193">
        <f>VLOOKUP(D1193, Products!A$2:D$61, 4, FALSE)</f>
        <v>434</v>
      </c>
    </row>
    <row r="1194" spans="1:18" x14ac:dyDescent="0.3">
      <c r="A1194" s="13" t="s">
        <v>1680</v>
      </c>
      <c r="B1194" s="14">
        <v>45357</v>
      </c>
      <c r="C1194" s="13" t="s">
        <v>420</v>
      </c>
      <c r="D1194" s="13" t="s">
        <v>282</v>
      </c>
      <c r="E1194" s="13" t="s">
        <v>204</v>
      </c>
      <c r="F1194" s="15">
        <v>10</v>
      </c>
      <c r="G1194" s="15">
        <v>300</v>
      </c>
      <c r="H1194" s="15">
        <v>23</v>
      </c>
      <c r="I1194" s="15">
        <v>2310</v>
      </c>
      <c r="J1194" s="13" t="s">
        <v>140</v>
      </c>
      <c r="K1194" s="13" t="s">
        <v>99</v>
      </c>
      <c r="L1194">
        <f>IF(COUNTIF(A$2:A1194, A1194)=1, IF(COUNTIF(A$2:A$2001, A1194)&gt;1, 1, 0), 0)</f>
        <v>0</v>
      </c>
      <c r="M1194" t="b">
        <f>VLOOKUP(D1194, Products!A$2:F$61, 6, FALSE)</f>
        <v>1</v>
      </c>
      <c r="N1194" t="str">
        <f>VLOOKUP(D1194, Products!A$2:C$61, 3, FALSE)</f>
        <v>Electronics</v>
      </c>
      <c r="O1194" t="str">
        <f>VLOOKUP(C1194, Customers!A$2:E$301, 5, FALSE)</f>
        <v>Retail</v>
      </c>
      <c r="P1194">
        <f>VLOOKUP(C1194, Customers!A$2:C$301, 3, FALSE)</f>
        <v>44</v>
      </c>
      <c r="Q1194" t="str">
        <f>VLOOKUP(E1194, Sales_Reps!A$2:C$31, 3, FALSE)</f>
        <v>South</v>
      </c>
      <c r="R1194">
        <f>VLOOKUP(D1194, Products!A$2:D$61, 4, FALSE)</f>
        <v>128</v>
      </c>
    </row>
    <row r="1195" spans="1:18" x14ac:dyDescent="0.3">
      <c r="A1195" s="13" t="s">
        <v>1681</v>
      </c>
      <c r="B1195" s="14">
        <v>45479</v>
      </c>
      <c r="C1195" s="13" t="s">
        <v>425</v>
      </c>
      <c r="D1195" s="13" t="s">
        <v>241</v>
      </c>
      <c r="E1195" s="13" t="s">
        <v>148</v>
      </c>
      <c r="F1195" s="15">
        <v>10</v>
      </c>
      <c r="G1195" s="15">
        <v>6080</v>
      </c>
      <c r="H1195" s="15">
        <v>3.9</v>
      </c>
      <c r="I1195" s="15">
        <v>58428.800000000003</v>
      </c>
      <c r="J1195" s="13" t="s">
        <v>87</v>
      </c>
      <c r="K1195" s="13" t="s">
        <v>94</v>
      </c>
      <c r="L1195">
        <f>IF(COUNTIF(A$2:A1195, A1195)=1, IF(COUNTIF(A$2:A$2001, A1195)&gt;1, 1, 0), 0)</f>
        <v>0</v>
      </c>
      <c r="M1195" t="b">
        <f>VLOOKUP(D1195, Products!A$2:F$61, 6, FALSE)</f>
        <v>1</v>
      </c>
      <c r="N1195" t="str">
        <f>VLOOKUP(D1195, Products!A$2:C$61, 3, FALSE)</f>
        <v>Beauty</v>
      </c>
      <c r="O1195" t="str">
        <f>VLOOKUP(C1195, Customers!A$2:E$301, 5, FALSE)</f>
        <v>SMB</v>
      </c>
      <c r="P1195">
        <f>VLOOKUP(C1195, Customers!A$2:C$301, 3, FALSE)</f>
        <v>64</v>
      </c>
      <c r="Q1195" t="str">
        <f>VLOOKUP(E1195, Sales_Reps!A$2:C$31, 3, FALSE)</f>
        <v>North</v>
      </c>
      <c r="R1195">
        <f>VLOOKUP(D1195, Products!A$2:D$61, 4, FALSE)</f>
        <v>2617</v>
      </c>
    </row>
    <row r="1196" spans="1:18" x14ac:dyDescent="0.3">
      <c r="A1196" s="13" t="s">
        <v>909</v>
      </c>
      <c r="B1196" s="14">
        <v>45539</v>
      </c>
      <c r="C1196" s="13" t="s">
        <v>142</v>
      </c>
      <c r="D1196" s="13" t="s">
        <v>191</v>
      </c>
      <c r="E1196" s="13" t="s">
        <v>273</v>
      </c>
      <c r="F1196" s="15">
        <v>2</v>
      </c>
      <c r="G1196" s="15">
        <v>5100</v>
      </c>
      <c r="H1196" s="15">
        <v>11</v>
      </c>
      <c r="I1196" s="15">
        <v>9078</v>
      </c>
      <c r="J1196" s="13" t="s">
        <v>87</v>
      </c>
      <c r="K1196" s="13" t="s">
        <v>88</v>
      </c>
      <c r="L1196">
        <f>IF(COUNTIF(A$2:A1196, A1196)=1, IF(COUNTIF(A$2:A$2001, A1196)&gt;1, 1, 0), 0)</f>
        <v>0</v>
      </c>
      <c r="M1196" t="b">
        <f>VLOOKUP(D1196, Products!A$2:F$61, 6, FALSE)</f>
        <v>1</v>
      </c>
      <c r="N1196" t="str">
        <f>VLOOKUP(D1196, Products!A$2:C$61, 3, FALSE)</f>
        <v>Beauty</v>
      </c>
      <c r="O1196" t="str">
        <f>VLOOKUP(C1196, Customers!A$2:E$301, 5, FALSE)</f>
        <v>SMB</v>
      </c>
      <c r="P1196">
        <f>VLOOKUP(C1196, Customers!A$2:C$301, 3, FALSE)</f>
        <v>39</v>
      </c>
      <c r="Q1196" t="str">
        <f>VLOOKUP(E1196, Sales_Reps!A$2:C$31, 3, FALSE)</f>
        <v>South</v>
      </c>
      <c r="R1196">
        <f>VLOOKUP(D1196, Products!A$2:D$61, 4, FALSE)</f>
        <v>2237</v>
      </c>
    </row>
    <row r="1197" spans="1:18" x14ac:dyDescent="0.3">
      <c r="A1197" s="13" t="s">
        <v>1682</v>
      </c>
      <c r="B1197" s="14">
        <v>45394</v>
      </c>
      <c r="C1197" s="13" t="s">
        <v>371</v>
      </c>
      <c r="D1197" s="13" t="s">
        <v>452</v>
      </c>
      <c r="E1197" s="13" t="s">
        <v>121</v>
      </c>
      <c r="F1197" s="15">
        <v>9</v>
      </c>
      <c r="G1197" s="15">
        <v>3450</v>
      </c>
      <c r="H1197" s="15">
        <v>23.7</v>
      </c>
      <c r="I1197" s="15">
        <v>23691.15</v>
      </c>
      <c r="J1197" s="13" t="s">
        <v>87</v>
      </c>
      <c r="K1197" s="13" t="s">
        <v>112</v>
      </c>
      <c r="L1197">
        <f>IF(COUNTIF(A$2:A1197, A1197)=1, IF(COUNTIF(A$2:A$2001, A1197)&gt;1, 1, 0), 0)</f>
        <v>0</v>
      </c>
      <c r="M1197" t="b">
        <f>VLOOKUP(D1197, Products!A$2:F$61, 6, FALSE)</f>
        <v>1</v>
      </c>
      <c r="N1197" t="str">
        <f>VLOOKUP(D1197, Products!A$2:C$61, 3, FALSE)</f>
        <v>Apparel</v>
      </c>
      <c r="O1197" t="str">
        <f>VLOOKUP(C1197, Customers!A$2:E$301, 5, FALSE)</f>
        <v>Retail</v>
      </c>
      <c r="P1197">
        <f>VLOOKUP(C1197, Customers!A$2:C$301, 3, FALSE)</f>
        <v>42</v>
      </c>
      <c r="Q1197" t="str">
        <f>VLOOKUP(E1197, Sales_Reps!A$2:C$31, 3, FALSE)</f>
        <v>East</v>
      </c>
      <c r="R1197">
        <f>VLOOKUP(D1197, Products!A$2:D$61, 4, FALSE)</f>
        <v>1748</v>
      </c>
    </row>
    <row r="1198" spans="1:18" x14ac:dyDescent="0.3">
      <c r="A1198" s="13" t="s">
        <v>1683</v>
      </c>
      <c r="B1198" s="14">
        <v>45335</v>
      </c>
      <c r="C1198" s="13" t="s">
        <v>759</v>
      </c>
      <c r="D1198" s="13" t="s">
        <v>167</v>
      </c>
      <c r="E1198" s="13" t="s">
        <v>273</v>
      </c>
      <c r="F1198" s="15">
        <v>5</v>
      </c>
      <c r="G1198" s="15">
        <v>2480</v>
      </c>
      <c r="H1198" s="15">
        <v>20.399999999999999</v>
      </c>
      <c r="I1198" s="15">
        <v>9870.4</v>
      </c>
      <c r="J1198" s="13" t="s">
        <v>87</v>
      </c>
      <c r="K1198" s="13" t="s">
        <v>117</v>
      </c>
      <c r="L1198">
        <f>IF(COUNTIF(A$2:A1198, A1198)=1, IF(COUNTIF(A$2:A$2001, A1198)&gt;1, 1, 0), 0)</f>
        <v>0</v>
      </c>
      <c r="M1198" t="b">
        <f>VLOOKUP(D1198, Products!A$2:F$61, 6, FALSE)</f>
        <v>1</v>
      </c>
      <c r="N1198" t="str">
        <f>VLOOKUP(D1198, Products!A$2:C$61, 3, FALSE)</f>
        <v>Apparel</v>
      </c>
      <c r="O1198" t="str">
        <f>VLOOKUP(C1198, Customers!A$2:E$301, 5, FALSE)</f>
        <v>Retail</v>
      </c>
      <c r="P1198">
        <f>VLOOKUP(C1198, Customers!A$2:C$301, 3, FALSE)</f>
        <v>29</v>
      </c>
      <c r="Q1198" t="str">
        <f>VLOOKUP(E1198, Sales_Reps!A$2:C$31, 3, FALSE)</f>
        <v>South</v>
      </c>
      <c r="R1198">
        <f>VLOOKUP(D1198, Products!A$2:D$61, 4, FALSE)</f>
        <v>1173</v>
      </c>
    </row>
    <row r="1199" spans="1:18" x14ac:dyDescent="0.3">
      <c r="A1199" s="13" t="s">
        <v>1684</v>
      </c>
      <c r="B1199" s="14">
        <v>45334</v>
      </c>
      <c r="C1199" s="13" t="s">
        <v>266</v>
      </c>
      <c r="D1199" s="13" t="s">
        <v>147</v>
      </c>
      <c r="E1199" s="13" t="s">
        <v>132</v>
      </c>
      <c r="F1199" s="15">
        <v>4</v>
      </c>
      <c r="G1199" s="15">
        <v>190</v>
      </c>
      <c r="H1199" s="15">
        <v>2.6</v>
      </c>
      <c r="I1199" s="15">
        <v>740.24</v>
      </c>
      <c r="J1199" s="13" t="s">
        <v>87</v>
      </c>
      <c r="K1199" s="13" t="s">
        <v>99</v>
      </c>
      <c r="L1199">
        <f>IF(COUNTIF(A$2:A1199, A1199)=1, IF(COUNTIF(A$2:A$2001, A1199)&gt;1, 1, 0), 0)</f>
        <v>0</v>
      </c>
      <c r="M1199" t="b">
        <f>VLOOKUP(D1199, Products!A$2:F$61, 6, FALSE)</f>
        <v>1</v>
      </c>
      <c r="N1199" t="str">
        <f>VLOOKUP(D1199, Products!A$2:C$61, 3, FALSE)</f>
        <v>Sports</v>
      </c>
      <c r="O1199" t="str">
        <f>VLOOKUP(C1199, Customers!A$2:E$301, 5, FALSE)</f>
        <v>Corporate</v>
      </c>
      <c r="P1199">
        <f>VLOOKUP(C1199, Customers!A$2:C$301, 3, FALSE)</f>
        <v>55</v>
      </c>
      <c r="Q1199" t="str">
        <f>VLOOKUP(E1199, Sales_Reps!A$2:C$31, 3, FALSE)</f>
        <v>South</v>
      </c>
      <c r="R1199">
        <f>VLOOKUP(D1199, Products!A$2:D$61, 4, FALSE)</f>
        <v>147</v>
      </c>
    </row>
    <row r="1200" spans="1:18" x14ac:dyDescent="0.3">
      <c r="A1200" s="13" t="s">
        <v>1685</v>
      </c>
      <c r="B1200" s="14">
        <v>45300</v>
      </c>
      <c r="C1200" s="13" t="s">
        <v>1006</v>
      </c>
      <c r="D1200" s="13" t="s">
        <v>245</v>
      </c>
      <c r="E1200" s="13" t="s">
        <v>192</v>
      </c>
      <c r="F1200" s="15">
        <v>4</v>
      </c>
      <c r="G1200" s="15">
        <v>2270</v>
      </c>
      <c r="H1200" s="15">
        <v>8.1</v>
      </c>
      <c r="I1200" s="15">
        <v>8344.52</v>
      </c>
      <c r="J1200" s="13" t="s">
        <v>93</v>
      </c>
      <c r="K1200" s="13" t="s">
        <v>117</v>
      </c>
      <c r="L1200">
        <f>IF(COUNTIF(A$2:A1200, A1200)=1, IF(COUNTIF(A$2:A$2001, A1200)&gt;1, 1, 0), 0)</f>
        <v>0</v>
      </c>
      <c r="M1200" t="b">
        <f>VLOOKUP(D1200, Products!A$2:F$61, 6, FALSE)</f>
        <v>1</v>
      </c>
      <c r="N1200" t="str">
        <f>VLOOKUP(D1200, Products!A$2:C$61, 3, FALSE)</f>
        <v>Grocery</v>
      </c>
      <c r="O1200" t="str">
        <f>VLOOKUP(C1200, Customers!A$2:E$301, 5, FALSE)</f>
        <v>SMB</v>
      </c>
      <c r="P1200">
        <f>VLOOKUP(C1200, Customers!A$2:C$301, 3, FALSE)</f>
        <v>44</v>
      </c>
      <c r="Q1200" t="str">
        <f>VLOOKUP(E1200, Sales_Reps!A$2:C$31, 3, FALSE)</f>
        <v>East</v>
      </c>
      <c r="R1200">
        <f>VLOOKUP(D1200, Products!A$2:D$61, 4, FALSE)</f>
        <v>1412</v>
      </c>
    </row>
    <row r="1201" spans="1:18" x14ac:dyDescent="0.3">
      <c r="A1201" s="13" t="s">
        <v>1686</v>
      </c>
      <c r="B1201" s="14">
        <v>45400</v>
      </c>
      <c r="C1201" s="13" t="s">
        <v>510</v>
      </c>
      <c r="D1201" s="13" t="s">
        <v>355</v>
      </c>
      <c r="E1201" s="13" t="s">
        <v>128</v>
      </c>
      <c r="F1201" s="15">
        <v>7</v>
      </c>
      <c r="G1201" s="15">
        <v>2510</v>
      </c>
      <c r="H1201" s="15">
        <v>25.5</v>
      </c>
      <c r="I1201" s="15">
        <v>13089.65</v>
      </c>
      <c r="J1201" s="13" t="s">
        <v>87</v>
      </c>
      <c r="K1201" s="13" t="s">
        <v>117</v>
      </c>
      <c r="L1201">
        <f>IF(COUNTIF(A$2:A1201, A1201)=1, IF(COUNTIF(A$2:A$2001, A1201)&gt;1, 1, 0), 0)</f>
        <v>0</v>
      </c>
      <c r="M1201" t="b">
        <f>VLOOKUP(D1201, Products!A$2:F$61, 6, FALSE)</f>
        <v>0</v>
      </c>
      <c r="N1201" t="str">
        <f>VLOOKUP(D1201, Products!A$2:C$61, 3, FALSE)</f>
        <v>Apparel</v>
      </c>
      <c r="O1201" t="str">
        <f>VLOOKUP(C1201, Customers!A$2:E$301, 5, FALSE)</f>
        <v>SMB</v>
      </c>
      <c r="P1201">
        <f>VLOOKUP(C1201, Customers!A$2:C$301, 3, FALSE)</f>
        <v>26</v>
      </c>
      <c r="Q1201" t="str">
        <f>VLOOKUP(E1201, Sales_Reps!A$2:C$31, 3, FALSE)</f>
        <v>West</v>
      </c>
      <c r="R1201">
        <f>VLOOKUP(D1201, Products!A$2:D$61, 4, FALSE)</f>
        <v>1075</v>
      </c>
    </row>
    <row r="1202" spans="1:18" x14ac:dyDescent="0.3">
      <c r="A1202" s="13" t="s">
        <v>1687</v>
      </c>
      <c r="B1202" s="14">
        <v>45423</v>
      </c>
      <c r="C1202" s="13" t="s">
        <v>126</v>
      </c>
      <c r="D1202" s="13" t="s">
        <v>461</v>
      </c>
      <c r="E1202" s="13" t="s">
        <v>139</v>
      </c>
      <c r="F1202" s="15">
        <v>3</v>
      </c>
      <c r="G1202" s="15">
        <v>3780</v>
      </c>
      <c r="H1202" s="15">
        <v>16.8</v>
      </c>
      <c r="I1202" s="15">
        <v>9434.8799999999992</v>
      </c>
      <c r="J1202" s="13" t="s">
        <v>87</v>
      </c>
      <c r="K1202" s="13" t="s">
        <v>88</v>
      </c>
      <c r="L1202">
        <f>IF(COUNTIF(A$2:A1202, A1202)=1, IF(COUNTIF(A$2:A$2001, A1202)&gt;1, 1, 0), 0)</f>
        <v>0</v>
      </c>
      <c r="M1202" t="b">
        <f>VLOOKUP(D1202, Products!A$2:F$61, 6, FALSE)</f>
        <v>1</v>
      </c>
      <c r="N1202" t="str">
        <f>VLOOKUP(D1202, Products!A$2:C$61, 3, FALSE)</f>
        <v>Sports</v>
      </c>
      <c r="O1202" t="str">
        <f>VLOOKUP(C1202, Customers!A$2:E$301, 5, FALSE)</f>
        <v>Retail</v>
      </c>
      <c r="P1202">
        <f>VLOOKUP(C1202, Customers!A$2:C$301, 3, FALSE)</f>
        <v>56</v>
      </c>
      <c r="Q1202" t="str">
        <f>VLOOKUP(E1202, Sales_Reps!A$2:C$31, 3, FALSE)</f>
        <v>North</v>
      </c>
      <c r="R1202">
        <f>VLOOKUP(D1202, Products!A$2:D$61, 4, FALSE)</f>
        <v>1860</v>
      </c>
    </row>
    <row r="1203" spans="1:18" x14ac:dyDescent="0.3">
      <c r="A1203" s="13" t="s">
        <v>1688</v>
      </c>
      <c r="B1203" s="14">
        <v>45518</v>
      </c>
      <c r="C1203" s="13" t="s">
        <v>561</v>
      </c>
      <c r="D1203" s="13" t="s">
        <v>187</v>
      </c>
      <c r="E1203" s="13" t="s">
        <v>132</v>
      </c>
      <c r="F1203" s="15">
        <v>7</v>
      </c>
      <c r="G1203" s="15">
        <v>3570</v>
      </c>
      <c r="H1203" s="15">
        <v>23.7</v>
      </c>
      <c r="I1203" s="15">
        <v>19067.37</v>
      </c>
      <c r="J1203" s="13" t="s">
        <v>87</v>
      </c>
      <c r="K1203" s="13" t="s">
        <v>133</v>
      </c>
      <c r="L1203">
        <f>IF(COUNTIF(A$2:A1203, A1203)=1, IF(COUNTIF(A$2:A$2001, A1203)&gt;1, 1, 0), 0)</f>
        <v>0</v>
      </c>
      <c r="M1203" t="b">
        <f>VLOOKUP(D1203, Products!A$2:F$61, 6, FALSE)</f>
        <v>1</v>
      </c>
      <c r="N1203" t="str">
        <f>VLOOKUP(D1203, Products!A$2:C$61, 3, FALSE)</f>
        <v>Electronics</v>
      </c>
      <c r="O1203" t="str">
        <f>VLOOKUP(C1203, Customers!A$2:E$301, 5, FALSE)</f>
        <v>SMB</v>
      </c>
      <c r="P1203">
        <f>VLOOKUP(C1203, Customers!A$2:C$301, 3, FALSE)</f>
        <v>43</v>
      </c>
      <c r="Q1203" t="str">
        <f>VLOOKUP(E1203, Sales_Reps!A$2:C$31, 3, FALSE)</f>
        <v>South</v>
      </c>
      <c r="R1203">
        <f>VLOOKUP(D1203, Products!A$2:D$61, 4, FALSE)</f>
        <v>1665</v>
      </c>
    </row>
    <row r="1204" spans="1:18" x14ac:dyDescent="0.3">
      <c r="A1204" s="13" t="s">
        <v>1689</v>
      </c>
      <c r="B1204" s="14">
        <v>45559</v>
      </c>
      <c r="C1204" s="13" t="s">
        <v>427</v>
      </c>
      <c r="D1204" s="13" t="s">
        <v>203</v>
      </c>
      <c r="E1204" s="13" t="s">
        <v>273</v>
      </c>
      <c r="F1204" s="15">
        <v>4</v>
      </c>
      <c r="G1204" s="15">
        <v>660</v>
      </c>
      <c r="H1204" s="15">
        <v>3.6</v>
      </c>
      <c r="I1204" s="15">
        <v>2544.96</v>
      </c>
      <c r="J1204" s="13" t="s">
        <v>87</v>
      </c>
      <c r="K1204" s="13" t="s">
        <v>88</v>
      </c>
      <c r="L1204">
        <f>IF(COUNTIF(A$2:A1204, A1204)=1, IF(COUNTIF(A$2:A$2001, A1204)&gt;1, 1, 0), 0)</f>
        <v>0</v>
      </c>
      <c r="M1204" t="b">
        <f>VLOOKUP(D1204, Products!A$2:F$61, 6, FALSE)</f>
        <v>1</v>
      </c>
      <c r="N1204" t="str">
        <f>VLOOKUP(D1204, Products!A$2:C$61, 3, FALSE)</f>
        <v>Home</v>
      </c>
      <c r="O1204" t="str">
        <f>VLOOKUP(C1204, Customers!A$2:E$301, 5, FALSE)</f>
        <v>Corporate</v>
      </c>
      <c r="P1204">
        <f>VLOOKUP(C1204, Customers!A$2:C$301, 3, FALSE)</f>
        <v>48</v>
      </c>
      <c r="Q1204" t="str">
        <f>VLOOKUP(E1204, Sales_Reps!A$2:C$31, 3, FALSE)</f>
        <v>South</v>
      </c>
      <c r="R1204">
        <f>VLOOKUP(D1204, Products!A$2:D$61, 4, FALSE)</f>
        <v>329</v>
      </c>
    </row>
    <row r="1205" spans="1:18" x14ac:dyDescent="0.3">
      <c r="A1205" s="13" t="s">
        <v>1690</v>
      </c>
      <c r="B1205" s="14">
        <v>45501</v>
      </c>
      <c r="C1205" s="13" t="s">
        <v>1051</v>
      </c>
      <c r="D1205" s="13" t="s">
        <v>127</v>
      </c>
      <c r="E1205" s="13" t="s">
        <v>132</v>
      </c>
      <c r="F1205" s="15">
        <v>7</v>
      </c>
      <c r="G1205" s="15">
        <v>970</v>
      </c>
      <c r="H1205" s="15">
        <v>23.7</v>
      </c>
      <c r="I1205" s="15">
        <v>5180.7700000000004</v>
      </c>
      <c r="J1205" s="13" t="s">
        <v>87</v>
      </c>
      <c r="K1205" s="13" t="s">
        <v>112</v>
      </c>
      <c r="L1205">
        <f>IF(COUNTIF(A$2:A1205, A1205)=1, IF(COUNTIF(A$2:A$2001, A1205)&gt;1, 1, 0), 0)</f>
        <v>0</v>
      </c>
      <c r="M1205" t="b">
        <f>VLOOKUP(D1205, Products!A$2:F$61, 6, FALSE)</f>
        <v>1</v>
      </c>
      <c r="N1205" t="str">
        <f>VLOOKUP(D1205, Products!A$2:C$61, 3, FALSE)</f>
        <v>Grocery</v>
      </c>
      <c r="O1205" t="str">
        <f>VLOOKUP(C1205, Customers!A$2:E$301, 5, FALSE)</f>
        <v>Retail</v>
      </c>
      <c r="P1205">
        <f>VLOOKUP(C1205, Customers!A$2:C$301, 3, FALSE)</f>
        <v>54</v>
      </c>
      <c r="Q1205" t="str">
        <f>VLOOKUP(E1205, Sales_Reps!A$2:C$31, 3, FALSE)</f>
        <v>South</v>
      </c>
      <c r="R1205">
        <f>VLOOKUP(D1205, Products!A$2:D$61, 4, FALSE)</f>
        <v>434</v>
      </c>
    </row>
    <row r="1206" spans="1:18" x14ac:dyDescent="0.3">
      <c r="A1206" s="13" t="s">
        <v>1691</v>
      </c>
      <c r="B1206" s="14">
        <v>45338</v>
      </c>
      <c r="C1206" s="13" t="s">
        <v>868</v>
      </c>
      <c r="D1206" s="13" t="s">
        <v>131</v>
      </c>
      <c r="E1206" s="13" t="s">
        <v>103</v>
      </c>
      <c r="F1206" s="15">
        <v>8</v>
      </c>
      <c r="G1206" s="15">
        <v>2270</v>
      </c>
      <c r="H1206" s="15">
        <v>6.8</v>
      </c>
      <c r="I1206" s="15">
        <v>16925.12</v>
      </c>
      <c r="J1206" s="13" t="s">
        <v>87</v>
      </c>
      <c r="K1206" s="13" t="s">
        <v>99</v>
      </c>
      <c r="L1206">
        <f>IF(COUNTIF(A$2:A1206, A1206)=1, IF(COUNTIF(A$2:A$2001, A1206)&gt;1, 1, 0), 0)</f>
        <v>0</v>
      </c>
      <c r="M1206" t="b">
        <f>VLOOKUP(D1206, Products!A$2:F$61, 6, FALSE)</f>
        <v>1</v>
      </c>
      <c r="N1206" t="str">
        <f>VLOOKUP(D1206, Products!A$2:C$61, 3, FALSE)</f>
        <v>Grocery</v>
      </c>
      <c r="O1206" t="str">
        <f>VLOOKUP(C1206, Customers!A$2:E$301, 5, FALSE)</f>
        <v>SMB</v>
      </c>
      <c r="P1206">
        <f>VLOOKUP(C1206, Customers!A$2:C$301, 3, FALSE)</f>
        <v>38</v>
      </c>
      <c r="Q1206" t="str">
        <f>VLOOKUP(E1206, Sales_Reps!A$2:C$31, 3, FALSE)</f>
        <v>North</v>
      </c>
      <c r="R1206">
        <f>VLOOKUP(D1206, Products!A$2:D$61, 4, FALSE)</f>
        <v>1203</v>
      </c>
    </row>
    <row r="1207" spans="1:18" x14ac:dyDescent="0.3">
      <c r="A1207" s="13" t="s">
        <v>1692</v>
      </c>
      <c r="B1207" s="14">
        <v>45585</v>
      </c>
      <c r="C1207" s="13" t="s">
        <v>617</v>
      </c>
      <c r="D1207" s="13" t="s">
        <v>151</v>
      </c>
      <c r="E1207" s="13" t="s">
        <v>325</v>
      </c>
      <c r="F1207" s="15">
        <v>1</v>
      </c>
      <c r="G1207" s="15">
        <v>2400</v>
      </c>
      <c r="H1207" s="15">
        <v>26.5</v>
      </c>
      <c r="I1207" s="15">
        <v>1764</v>
      </c>
      <c r="J1207" s="13" t="s">
        <v>87</v>
      </c>
      <c r="K1207" s="13" t="s">
        <v>112</v>
      </c>
      <c r="L1207">
        <f>IF(COUNTIF(A$2:A1207, A1207)=1, IF(COUNTIF(A$2:A$2001, A1207)&gt;1, 1, 0), 0)</f>
        <v>0</v>
      </c>
      <c r="M1207" t="b">
        <f>VLOOKUP(D1207, Products!A$2:F$61, 6, FALSE)</f>
        <v>1</v>
      </c>
      <c r="N1207" t="str">
        <f>VLOOKUP(D1207, Products!A$2:C$61, 3, FALSE)</f>
        <v>Sports</v>
      </c>
      <c r="O1207" t="str">
        <f>VLOOKUP(C1207, Customers!A$2:E$301, 5, FALSE)</f>
        <v>SMB</v>
      </c>
      <c r="P1207">
        <f>VLOOKUP(C1207, Customers!A$2:C$301, 3, FALSE)</f>
        <v>65</v>
      </c>
      <c r="Q1207" t="str">
        <f>VLOOKUP(E1207, Sales_Reps!A$2:C$31, 3, FALSE)</f>
        <v>South</v>
      </c>
      <c r="R1207">
        <f>VLOOKUP(D1207, Products!A$2:D$61, 4, FALSE)</f>
        <v>974</v>
      </c>
    </row>
    <row r="1208" spans="1:18" x14ac:dyDescent="0.3">
      <c r="A1208" s="13" t="s">
        <v>1693</v>
      </c>
      <c r="B1208" s="14">
        <v>45525</v>
      </c>
      <c r="C1208" s="13" t="s">
        <v>643</v>
      </c>
      <c r="D1208" s="13" t="s">
        <v>443</v>
      </c>
      <c r="E1208" s="13" t="s">
        <v>132</v>
      </c>
      <c r="F1208" s="15">
        <v>5</v>
      </c>
      <c r="G1208" s="15">
        <v>5080</v>
      </c>
      <c r="H1208" s="15">
        <v>29.6</v>
      </c>
      <c r="I1208" s="15">
        <v>17881.599999999999</v>
      </c>
      <c r="J1208" s="13" t="s">
        <v>87</v>
      </c>
      <c r="K1208" s="13" t="s">
        <v>112</v>
      </c>
      <c r="L1208">
        <f>IF(COUNTIF(A$2:A1208, A1208)=1, IF(COUNTIF(A$2:A$2001, A1208)&gt;1, 1, 0), 0)</f>
        <v>0</v>
      </c>
      <c r="M1208" t="b">
        <f>VLOOKUP(D1208, Products!A$2:F$61, 6, FALSE)</f>
        <v>1</v>
      </c>
      <c r="N1208" t="str">
        <f>VLOOKUP(D1208, Products!A$2:C$61, 3, FALSE)</f>
        <v>Home</v>
      </c>
      <c r="O1208" t="str">
        <f>VLOOKUP(C1208, Customers!A$2:E$301, 5, FALSE)</f>
        <v>SMB</v>
      </c>
      <c r="P1208">
        <f>VLOOKUP(C1208, Customers!A$2:C$301, 3, FALSE)</f>
        <v>27</v>
      </c>
      <c r="Q1208" t="str">
        <f>VLOOKUP(E1208, Sales_Reps!A$2:C$31, 3, FALSE)</f>
        <v>South</v>
      </c>
      <c r="R1208">
        <f>VLOOKUP(D1208, Products!A$2:D$61, 4, FALSE)</f>
        <v>2459</v>
      </c>
    </row>
    <row r="1209" spans="1:18" x14ac:dyDescent="0.3">
      <c r="A1209" s="13" t="s">
        <v>1694</v>
      </c>
      <c r="B1209" s="14">
        <v>45351</v>
      </c>
      <c r="C1209" s="13" t="s">
        <v>310</v>
      </c>
      <c r="D1209" s="13" t="s">
        <v>179</v>
      </c>
      <c r="E1209" s="13" t="s">
        <v>98</v>
      </c>
      <c r="F1209" s="15">
        <v>9</v>
      </c>
      <c r="G1209" s="15">
        <v>3350</v>
      </c>
      <c r="H1209" s="15">
        <v>6.2</v>
      </c>
      <c r="I1209" s="15">
        <v>28280.7</v>
      </c>
      <c r="J1209" s="13" t="s">
        <v>87</v>
      </c>
      <c r="K1209" s="13" t="s">
        <v>117</v>
      </c>
      <c r="L1209">
        <f>IF(COUNTIF(A$2:A1209, A1209)=1, IF(COUNTIF(A$2:A$2001, A1209)&gt;1, 1, 0), 0)</f>
        <v>0</v>
      </c>
      <c r="M1209" t="b">
        <f>VLOOKUP(D1209, Products!A$2:F$61, 6, FALSE)</f>
        <v>1</v>
      </c>
      <c r="N1209" t="str">
        <f>VLOOKUP(D1209, Products!A$2:C$61, 3, FALSE)</f>
        <v>Beauty</v>
      </c>
      <c r="O1209" t="str">
        <f>VLOOKUP(C1209, Customers!A$2:E$301, 5, FALSE)</f>
        <v>Retail</v>
      </c>
      <c r="P1209">
        <f>VLOOKUP(C1209, Customers!A$2:C$301, 3, FALSE)</f>
        <v>42</v>
      </c>
      <c r="Q1209" t="str">
        <f>VLOOKUP(E1209, Sales_Reps!A$2:C$31, 3, FALSE)</f>
        <v>South</v>
      </c>
      <c r="R1209">
        <f>VLOOKUP(D1209, Products!A$2:D$61, 4, FALSE)</f>
        <v>1728</v>
      </c>
    </row>
    <row r="1210" spans="1:18" x14ac:dyDescent="0.3">
      <c r="A1210" s="13" t="s">
        <v>1695</v>
      </c>
      <c r="B1210" s="14">
        <v>45560</v>
      </c>
      <c r="C1210" s="13" t="s">
        <v>795</v>
      </c>
      <c r="D1210" s="13" t="s">
        <v>259</v>
      </c>
      <c r="E1210" s="13" t="s">
        <v>215</v>
      </c>
      <c r="F1210" s="15">
        <v>4</v>
      </c>
      <c r="G1210" s="15">
        <v>1540</v>
      </c>
      <c r="H1210" s="15">
        <v>22.2</v>
      </c>
      <c r="I1210" s="15">
        <v>4792.4799999999996</v>
      </c>
      <c r="J1210" s="13" t="s">
        <v>87</v>
      </c>
      <c r="K1210" s="13" t="s">
        <v>94</v>
      </c>
      <c r="L1210">
        <f>IF(COUNTIF(A$2:A1210, A1210)=1, IF(COUNTIF(A$2:A$2001, A1210)&gt;1, 1, 0), 0)</f>
        <v>0</v>
      </c>
      <c r="M1210" t="b">
        <f>VLOOKUP(D1210, Products!A$2:F$61, 6, FALSE)</f>
        <v>0</v>
      </c>
      <c r="N1210" t="str">
        <f>VLOOKUP(D1210, Products!A$2:C$61, 3, FALSE)</f>
        <v>Beauty</v>
      </c>
      <c r="O1210" t="str">
        <f>VLOOKUP(C1210, Customers!A$2:E$301, 5, FALSE)</f>
        <v>Retail</v>
      </c>
      <c r="P1210">
        <f>VLOOKUP(C1210, Customers!A$2:C$301, 3, FALSE)</f>
        <v>22</v>
      </c>
      <c r="Q1210" t="str">
        <f>VLOOKUP(E1210, Sales_Reps!A$2:C$31, 3, FALSE)</f>
        <v>North</v>
      </c>
      <c r="R1210">
        <f>VLOOKUP(D1210, Products!A$2:D$61, 4, FALSE)</f>
        <v>647</v>
      </c>
    </row>
    <row r="1211" spans="1:18" x14ac:dyDescent="0.3">
      <c r="A1211" s="13" t="s">
        <v>1696</v>
      </c>
      <c r="B1211" s="14">
        <v>45431</v>
      </c>
      <c r="C1211" s="13" t="s">
        <v>557</v>
      </c>
      <c r="D1211" s="13" t="s">
        <v>443</v>
      </c>
      <c r="E1211" s="13" t="s">
        <v>297</v>
      </c>
      <c r="F1211" s="15">
        <v>10</v>
      </c>
      <c r="G1211" s="15">
        <v>5080</v>
      </c>
      <c r="H1211" s="15">
        <v>11.8</v>
      </c>
      <c r="I1211" s="15">
        <v>44805.599999999999</v>
      </c>
      <c r="J1211" s="13" t="s">
        <v>87</v>
      </c>
      <c r="K1211" s="13" t="s">
        <v>112</v>
      </c>
      <c r="L1211">
        <f>IF(COUNTIF(A$2:A1211, A1211)=1, IF(COUNTIF(A$2:A$2001, A1211)&gt;1, 1, 0), 0)</f>
        <v>0</v>
      </c>
      <c r="M1211" t="b">
        <f>VLOOKUP(D1211, Products!A$2:F$61, 6, FALSE)</f>
        <v>1</v>
      </c>
      <c r="N1211" t="str">
        <f>VLOOKUP(D1211, Products!A$2:C$61, 3, FALSE)</f>
        <v>Home</v>
      </c>
      <c r="O1211" t="str">
        <f>VLOOKUP(C1211, Customers!A$2:E$301, 5, FALSE)</f>
        <v>Retail</v>
      </c>
      <c r="P1211">
        <f>VLOOKUP(C1211, Customers!A$2:C$301, 3, FALSE)</f>
        <v>65</v>
      </c>
      <c r="Q1211" t="str">
        <f>VLOOKUP(E1211, Sales_Reps!A$2:C$31, 3, FALSE)</f>
        <v>North</v>
      </c>
      <c r="R1211">
        <f>VLOOKUP(D1211, Products!A$2:D$61, 4, FALSE)</f>
        <v>2459</v>
      </c>
    </row>
    <row r="1212" spans="1:18" x14ac:dyDescent="0.3">
      <c r="A1212" s="13" t="s">
        <v>1697</v>
      </c>
      <c r="B1212" s="14">
        <v>45296</v>
      </c>
      <c r="C1212" s="13" t="s">
        <v>956</v>
      </c>
      <c r="D1212" s="13" t="s">
        <v>659</v>
      </c>
      <c r="E1212" s="13" t="s">
        <v>325</v>
      </c>
      <c r="F1212" s="15">
        <v>9</v>
      </c>
      <c r="G1212" s="15">
        <v>3560</v>
      </c>
      <c r="H1212" s="15">
        <v>15.9</v>
      </c>
      <c r="I1212" s="15">
        <v>26945.64</v>
      </c>
      <c r="J1212" s="13" t="s">
        <v>87</v>
      </c>
      <c r="K1212" s="13" t="s">
        <v>112</v>
      </c>
      <c r="L1212">
        <f>IF(COUNTIF(A$2:A1212, A1212)=1, IF(COUNTIF(A$2:A$2001, A1212)&gt;1, 1, 0), 0)</f>
        <v>0</v>
      </c>
      <c r="M1212" t="b">
        <f>VLOOKUP(D1212, Products!A$2:F$61, 6, FALSE)</f>
        <v>1</v>
      </c>
      <c r="N1212" t="str">
        <f>VLOOKUP(D1212, Products!A$2:C$61, 3, FALSE)</f>
        <v>Apparel</v>
      </c>
      <c r="O1212" t="str">
        <f>VLOOKUP(C1212, Customers!A$2:E$301, 5, FALSE)</f>
        <v>Retail</v>
      </c>
      <c r="P1212">
        <f>VLOOKUP(C1212, Customers!A$2:C$301, 3, FALSE)</f>
        <v>49</v>
      </c>
      <c r="Q1212" t="str">
        <f>VLOOKUP(E1212, Sales_Reps!A$2:C$31, 3, FALSE)</f>
        <v>South</v>
      </c>
      <c r="R1212">
        <f>VLOOKUP(D1212, Products!A$2:D$61, 4, FALSE)</f>
        <v>2629</v>
      </c>
    </row>
    <row r="1213" spans="1:18" x14ac:dyDescent="0.3">
      <c r="A1213" s="13" t="s">
        <v>1698</v>
      </c>
      <c r="B1213" s="14">
        <v>45629</v>
      </c>
      <c r="C1213" s="13" t="s">
        <v>1000</v>
      </c>
      <c r="D1213" s="13" t="s">
        <v>164</v>
      </c>
      <c r="E1213" s="13" t="s">
        <v>204</v>
      </c>
      <c r="F1213" s="15">
        <v>2</v>
      </c>
      <c r="G1213" s="15">
        <v>1080</v>
      </c>
      <c r="H1213" s="15">
        <v>21.1</v>
      </c>
      <c r="I1213" s="15">
        <v>1704.24</v>
      </c>
      <c r="J1213" s="13" t="s">
        <v>87</v>
      </c>
      <c r="K1213" s="13" t="s">
        <v>117</v>
      </c>
      <c r="L1213">
        <f>IF(COUNTIF(A$2:A1213, A1213)=1, IF(COUNTIF(A$2:A$2001, A1213)&gt;1, 1, 0), 0)</f>
        <v>0</v>
      </c>
      <c r="M1213" t="b">
        <f>VLOOKUP(D1213, Products!A$2:F$61, 6, FALSE)</f>
        <v>1</v>
      </c>
      <c r="N1213" t="str">
        <f>VLOOKUP(D1213, Products!A$2:C$61, 3, FALSE)</f>
        <v>Home</v>
      </c>
      <c r="O1213" t="str">
        <f>VLOOKUP(C1213, Customers!A$2:E$301, 5, FALSE)</f>
        <v>Retail</v>
      </c>
      <c r="P1213">
        <f>VLOOKUP(C1213, Customers!A$2:C$301, 3, FALSE)</f>
        <v>27</v>
      </c>
      <c r="Q1213" t="str">
        <f>VLOOKUP(E1213, Sales_Reps!A$2:C$31, 3, FALSE)</f>
        <v>South</v>
      </c>
      <c r="R1213">
        <f>VLOOKUP(D1213, Products!A$2:D$61, 4, FALSE)</f>
        <v>519</v>
      </c>
    </row>
    <row r="1214" spans="1:18" x14ac:dyDescent="0.3">
      <c r="A1214" s="13" t="s">
        <v>1699</v>
      </c>
      <c r="B1214" s="14">
        <v>45310</v>
      </c>
      <c r="C1214" s="13" t="s">
        <v>392</v>
      </c>
      <c r="D1214" s="13" t="s">
        <v>367</v>
      </c>
      <c r="E1214" s="13" t="s">
        <v>303</v>
      </c>
      <c r="F1214" s="15">
        <v>5</v>
      </c>
      <c r="G1214" s="15">
        <v>2380</v>
      </c>
      <c r="H1214" s="15">
        <v>20.5</v>
      </c>
      <c r="I1214" s="15">
        <v>9460.5</v>
      </c>
      <c r="J1214" s="13" t="s">
        <v>87</v>
      </c>
      <c r="K1214" s="13" t="s">
        <v>112</v>
      </c>
      <c r="L1214">
        <f>IF(COUNTIF(A$2:A1214, A1214)=1, IF(COUNTIF(A$2:A$2001, A1214)&gt;1, 1, 0), 0)</f>
        <v>0</v>
      </c>
      <c r="M1214" t="b">
        <f>VLOOKUP(D1214, Products!A$2:F$61, 6, FALSE)</f>
        <v>1</v>
      </c>
      <c r="N1214" t="str">
        <f>VLOOKUP(D1214, Products!A$2:C$61, 3, FALSE)</f>
        <v>Grocery</v>
      </c>
      <c r="O1214" t="str">
        <f>VLOOKUP(C1214, Customers!A$2:E$301, 5, FALSE)</f>
        <v>Retail</v>
      </c>
      <c r="P1214">
        <f>VLOOKUP(C1214, Customers!A$2:C$301, 3, FALSE)</f>
        <v>50</v>
      </c>
      <c r="Q1214" t="str">
        <f>VLOOKUP(E1214, Sales_Reps!A$2:C$31, 3, FALSE)</f>
        <v>East</v>
      </c>
      <c r="R1214">
        <f>VLOOKUP(D1214, Products!A$2:D$61, 4, FALSE)</f>
        <v>1182</v>
      </c>
    </row>
    <row r="1215" spans="1:18" x14ac:dyDescent="0.3">
      <c r="A1215" s="13" t="s">
        <v>1700</v>
      </c>
      <c r="B1215" s="14">
        <v>45498</v>
      </c>
      <c r="C1215" s="13" t="s">
        <v>318</v>
      </c>
      <c r="D1215" s="13" t="s">
        <v>167</v>
      </c>
      <c r="E1215" s="13" t="s">
        <v>111</v>
      </c>
      <c r="F1215" s="15">
        <v>9</v>
      </c>
      <c r="G1215" s="15">
        <v>2480</v>
      </c>
      <c r="H1215" s="15">
        <v>1.2</v>
      </c>
      <c r="I1215" s="15">
        <v>22052.16</v>
      </c>
      <c r="J1215" s="13" t="s">
        <v>87</v>
      </c>
      <c r="K1215" s="13" t="s">
        <v>94</v>
      </c>
      <c r="L1215">
        <f>IF(COUNTIF(A$2:A1215, A1215)=1, IF(COUNTIF(A$2:A$2001, A1215)&gt;1, 1, 0), 0)</f>
        <v>0</v>
      </c>
      <c r="M1215" t="b">
        <f>VLOOKUP(D1215, Products!A$2:F$61, 6, FALSE)</f>
        <v>1</v>
      </c>
      <c r="N1215" t="str">
        <f>VLOOKUP(D1215, Products!A$2:C$61, 3, FALSE)</f>
        <v>Apparel</v>
      </c>
      <c r="O1215" t="str">
        <f>VLOOKUP(C1215, Customers!A$2:E$301, 5, FALSE)</f>
        <v>SMB</v>
      </c>
      <c r="P1215">
        <f>VLOOKUP(C1215, Customers!A$2:C$301, 3, FALSE)</f>
        <v>57</v>
      </c>
      <c r="Q1215" t="str">
        <f>VLOOKUP(E1215, Sales_Reps!A$2:C$31, 3, FALSE)</f>
        <v>West</v>
      </c>
      <c r="R1215">
        <f>VLOOKUP(D1215, Products!A$2:D$61, 4, FALSE)</f>
        <v>1173</v>
      </c>
    </row>
    <row r="1216" spans="1:18" x14ac:dyDescent="0.3">
      <c r="A1216" s="13" t="s">
        <v>1701</v>
      </c>
      <c r="B1216" s="14">
        <v>45348</v>
      </c>
      <c r="C1216" s="13" t="s">
        <v>741</v>
      </c>
      <c r="D1216" s="13" t="s">
        <v>386</v>
      </c>
      <c r="E1216" s="13" t="s">
        <v>325</v>
      </c>
      <c r="F1216" s="15">
        <v>9</v>
      </c>
      <c r="G1216" s="15">
        <v>2290</v>
      </c>
      <c r="H1216" s="15">
        <v>0.9</v>
      </c>
      <c r="I1216" s="15">
        <v>20424.509999999998</v>
      </c>
      <c r="J1216" s="13" t="s">
        <v>87</v>
      </c>
      <c r="K1216" s="13" t="s">
        <v>133</v>
      </c>
      <c r="L1216">
        <f>IF(COUNTIF(A$2:A1216, A1216)=1, IF(COUNTIF(A$2:A$2001, A1216)&gt;1, 1, 0), 0)</f>
        <v>0</v>
      </c>
      <c r="M1216" t="b">
        <f>VLOOKUP(D1216, Products!A$2:F$61, 6, FALSE)</f>
        <v>1</v>
      </c>
      <c r="N1216" t="str">
        <f>VLOOKUP(D1216, Products!A$2:C$61, 3, FALSE)</f>
        <v>Beauty</v>
      </c>
      <c r="O1216" t="str">
        <f>VLOOKUP(C1216, Customers!A$2:E$301, 5, FALSE)</f>
        <v>SMB</v>
      </c>
      <c r="P1216">
        <f>VLOOKUP(C1216, Customers!A$2:C$301, 3, FALSE)</f>
        <v>29</v>
      </c>
      <c r="Q1216" t="str">
        <f>VLOOKUP(E1216, Sales_Reps!A$2:C$31, 3, FALSE)</f>
        <v>South</v>
      </c>
      <c r="R1216">
        <f>VLOOKUP(D1216, Products!A$2:D$61, 4, FALSE)</f>
        <v>1219</v>
      </c>
    </row>
    <row r="1217" spans="1:18" x14ac:dyDescent="0.3">
      <c r="A1217" s="13" t="s">
        <v>1702</v>
      </c>
      <c r="B1217" s="14">
        <v>45382</v>
      </c>
      <c r="C1217" s="13" t="s">
        <v>528</v>
      </c>
      <c r="D1217" s="13" t="s">
        <v>452</v>
      </c>
      <c r="E1217" s="13" t="s">
        <v>273</v>
      </c>
      <c r="F1217" s="15">
        <v>3</v>
      </c>
      <c r="G1217" s="15">
        <v>3450</v>
      </c>
      <c r="H1217" s="15">
        <v>29.5</v>
      </c>
      <c r="I1217" s="15">
        <v>7296.75</v>
      </c>
      <c r="J1217" s="13" t="s">
        <v>87</v>
      </c>
      <c r="K1217" s="13" t="s">
        <v>112</v>
      </c>
      <c r="L1217">
        <f>IF(COUNTIF(A$2:A1217, A1217)=1, IF(COUNTIF(A$2:A$2001, A1217)&gt;1, 1, 0), 0)</f>
        <v>0</v>
      </c>
      <c r="M1217" t="b">
        <f>VLOOKUP(D1217, Products!A$2:F$61, 6, FALSE)</f>
        <v>1</v>
      </c>
      <c r="N1217" t="str">
        <f>VLOOKUP(D1217, Products!A$2:C$61, 3, FALSE)</f>
        <v>Apparel</v>
      </c>
      <c r="O1217" t="str">
        <f>VLOOKUP(C1217, Customers!A$2:E$301, 5, FALSE)</f>
        <v>Retail</v>
      </c>
      <c r="P1217">
        <f>VLOOKUP(C1217, Customers!A$2:C$301, 3, FALSE)</f>
        <v>44</v>
      </c>
      <c r="Q1217" t="str">
        <f>VLOOKUP(E1217, Sales_Reps!A$2:C$31, 3, FALSE)</f>
        <v>South</v>
      </c>
      <c r="R1217">
        <f>VLOOKUP(D1217, Products!A$2:D$61, 4, FALSE)</f>
        <v>1748</v>
      </c>
    </row>
    <row r="1218" spans="1:18" x14ac:dyDescent="0.3">
      <c r="A1218" s="13" t="s">
        <v>1703</v>
      </c>
      <c r="B1218" s="14">
        <v>45569</v>
      </c>
      <c r="C1218" s="13" t="s">
        <v>137</v>
      </c>
      <c r="D1218" s="13" t="s">
        <v>157</v>
      </c>
      <c r="E1218" s="13" t="s">
        <v>116</v>
      </c>
      <c r="F1218" s="15">
        <v>9</v>
      </c>
      <c r="G1218" s="15">
        <v>3450</v>
      </c>
      <c r="H1218" s="15">
        <v>19.399999999999999</v>
      </c>
      <c r="I1218" s="15">
        <v>25026.3</v>
      </c>
      <c r="J1218" s="13" t="s">
        <v>87</v>
      </c>
      <c r="K1218" s="13" t="s">
        <v>99</v>
      </c>
      <c r="L1218">
        <f>IF(COUNTIF(A$2:A1218, A1218)=1, IF(COUNTIF(A$2:A$2001, A1218)&gt;1, 1, 0), 0)</f>
        <v>0</v>
      </c>
      <c r="M1218" t="b">
        <f>VLOOKUP(D1218, Products!A$2:F$61, 6, FALSE)</f>
        <v>1</v>
      </c>
      <c r="N1218" t="str">
        <f>VLOOKUP(D1218, Products!A$2:C$61, 3, FALSE)</f>
        <v>Beauty</v>
      </c>
      <c r="O1218" t="str">
        <f>VLOOKUP(C1218, Customers!A$2:E$301, 5, FALSE)</f>
        <v>SMB</v>
      </c>
      <c r="P1218">
        <f>VLOOKUP(C1218, Customers!A$2:C$301, 3, FALSE)</f>
        <v>27</v>
      </c>
      <c r="Q1218" t="str">
        <f>VLOOKUP(E1218, Sales_Reps!A$2:C$31, 3, FALSE)</f>
        <v>West</v>
      </c>
      <c r="R1218">
        <f>VLOOKUP(D1218, Products!A$2:D$61, 4, FALSE)</f>
        <v>2420</v>
      </c>
    </row>
    <row r="1219" spans="1:18" x14ac:dyDescent="0.3">
      <c r="A1219" s="13" t="s">
        <v>1704</v>
      </c>
      <c r="B1219" s="14">
        <v>45516</v>
      </c>
      <c r="C1219" s="13" t="s">
        <v>331</v>
      </c>
      <c r="D1219" s="13" t="s">
        <v>138</v>
      </c>
      <c r="E1219" s="13" t="s">
        <v>170</v>
      </c>
      <c r="F1219" s="15">
        <v>2</v>
      </c>
      <c r="G1219" s="15">
        <v>2600</v>
      </c>
      <c r="H1219" s="15">
        <v>20.2</v>
      </c>
      <c r="I1219" s="15">
        <v>4149.6000000000004</v>
      </c>
      <c r="J1219" s="13" t="s">
        <v>140</v>
      </c>
      <c r="K1219" s="13" t="s">
        <v>117</v>
      </c>
      <c r="L1219">
        <f>IF(COUNTIF(A$2:A1219, A1219)=1, IF(COUNTIF(A$2:A$2001, A1219)&gt;1, 1, 0), 0)</f>
        <v>0</v>
      </c>
      <c r="M1219" t="b">
        <f>VLOOKUP(D1219, Products!A$2:F$61, 6, FALSE)</f>
        <v>1</v>
      </c>
      <c r="N1219" t="str">
        <f>VLOOKUP(D1219, Products!A$2:C$61, 3, FALSE)</f>
        <v>Electronics</v>
      </c>
      <c r="O1219" t="str">
        <f>VLOOKUP(C1219, Customers!A$2:E$301, 5, FALSE)</f>
        <v>Corporate</v>
      </c>
      <c r="P1219">
        <f>VLOOKUP(C1219, Customers!A$2:C$301, 3, FALSE)</f>
        <v>59</v>
      </c>
      <c r="Q1219" t="str">
        <f>VLOOKUP(E1219, Sales_Reps!A$2:C$31, 3, FALSE)</f>
        <v>West</v>
      </c>
      <c r="R1219">
        <f>VLOOKUP(D1219, Products!A$2:D$61, 4, FALSE)</f>
        <v>1052</v>
      </c>
    </row>
    <row r="1220" spans="1:18" x14ac:dyDescent="0.3">
      <c r="A1220" s="13" t="s">
        <v>1705</v>
      </c>
      <c r="B1220" s="14">
        <v>45519</v>
      </c>
      <c r="C1220" s="13" t="s">
        <v>1016</v>
      </c>
      <c r="D1220" s="13" t="s">
        <v>200</v>
      </c>
      <c r="E1220" s="13" t="s">
        <v>111</v>
      </c>
      <c r="F1220" s="15">
        <v>1</v>
      </c>
      <c r="G1220" s="15">
        <v>2760</v>
      </c>
      <c r="H1220" s="15">
        <v>9.5</v>
      </c>
      <c r="I1220" s="15">
        <v>2497.8000000000002</v>
      </c>
      <c r="J1220" s="13" t="s">
        <v>87</v>
      </c>
      <c r="K1220" s="13" t="s">
        <v>117</v>
      </c>
      <c r="L1220">
        <f>IF(COUNTIF(A$2:A1220, A1220)=1, IF(COUNTIF(A$2:A$2001, A1220)&gt;1, 1, 0), 0)</f>
        <v>0</v>
      </c>
      <c r="M1220" t="b">
        <f>VLOOKUP(D1220, Products!A$2:F$61, 6, FALSE)</f>
        <v>1</v>
      </c>
      <c r="N1220" t="str">
        <f>VLOOKUP(D1220, Products!A$2:C$61, 3, FALSE)</f>
        <v>Grocery</v>
      </c>
      <c r="O1220" t="str">
        <f>VLOOKUP(C1220, Customers!A$2:E$301, 5, FALSE)</f>
        <v>SMB</v>
      </c>
      <c r="P1220">
        <f>VLOOKUP(C1220, Customers!A$2:C$301, 3, FALSE)</f>
        <v>49</v>
      </c>
      <c r="Q1220" t="str">
        <f>VLOOKUP(E1220, Sales_Reps!A$2:C$31, 3, FALSE)</f>
        <v>West</v>
      </c>
      <c r="R1220">
        <f>VLOOKUP(D1220, Products!A$2:D$61, 4, FALSE)</f>
        <v>1435</v>
      </c>
    </row>
    <row r="1221" spans="1:18" x14ac:dyDescent="0.3">
      <c r="A1221" s="13" t="s">
        <v>1706</v>
      </c>
      <c r="B1221" s="14">
        <v>45593</v>
      </c>
      <c r="C1221" s="13" t="s">
        <v>599</v>
      </c>
      <c r="D1221" s="13" t="s">
        <v>270</v>
      </c>
      <c r="E1221" s="13" t="s">
        <v>148</v>
      </c>
      <c r="F1221" s="15">
        <v>4</v>
      </c>
      <c r="G1221" s="15">
        <v>4610</v>
      </c>
      <c r="H1221" s="15">
        <v>14.8</v>
      </c>
      <c r="I1221" s="15">
        <v>15710.88</v>
      </c>
      <c r="J1221" s="13" t="s">
        <v>87</v>
      </c>
      <c r="K1221" s="13" t="s">
        <v>117</v>
      </c>
      <c r="L1221">
        <f>IF(COUNTIF(A$2:A1221, A1221)=1, IF(COUNTIF(A$2:A$2001, A1221)&gt;1, 1, 0), 0)</f>
        <v>0</v>
      </c>
      <c r="M1221" t="b">
        <f>VLOOKUP(D1221, Products!A$2:F$61, 6, FALSE)</f>
        <v>1</v>
      </c>
      <c r="N1221" t="str">
        <f>VLOOKUP(D1221, Products!A$2:C$61, 3, FALSE)</f>
        <v>Home</v>
      </c>
      <c r="O1221" t="str">
        <f>VLOOKUP(C1221, Customers!A$2:E$301, 5, FALSE)</f>
        <v>Corporate</v>
      </c>
      <c r="P1221">
        <f>VLOOKUP(C1221, Customers!A$2:C$301, 3, FALSE)</f>
        <v>26</v>
      </c>
      <c r="Q1221" t="str">
        <f>VLOOKUP(E1221, Sales_Reps!A$2:C$31, 3, FALSE)</f>
        <v>North</v>
      </c>
      <c r="R1221">
        <f>VLOOKUP(D1221, Products!A$2:D$61, 4, FALSE)</f>
        <v>1850</v>
      </c>
    </row>
    <row r="1222" spans="1:18" x14ac:dyDescent="0.3">
      <c r="A1222" s="13" t="s">
        <v>1707</v>
      </c>
      <c r="B1222" s="14">
        <v>45532</v>
      </c>
      <c r="C1222" s="13" t="s">
        <v>130</v>
      </c>
      <c r="D1222" s="13" t="s">
        <v>167</v>
      </c>
      <c r="E1222" s="13" t="s">
        <v>116</v>
      </c>
      <c r="F1222" s="15">
        <v>3</v>
      </c>
      <c r="G1222" s="15">
        <v>2480</v>
      </c>
      <c r="H1222" s="15">
        <v>3.7</v>
      </c>
      <c r="I1222" s="15">
        <v>7164.72</v>
      </c>
      <c r="J1222" s="13" t="s">
        <v>87</v>
      </c>
      <c r="K1222" s="13" t="s">
        <v>133</v>
      </c>
      <c r="L1222">
        <f>IF(COUNTIF(A$2:A1222, A1222)=1, IF(COUNTIF(A$2:A$2001, A1222)&gt;1, 1, 0), 0)</f>
        <v>0</v>
      </c>
      <c r="M1222" t="b">
        <f>VLOOKUP(D1222, Products!A$2:F$61, 6, FALSE)</f>
        <v>1</v>
      </c>
      <c r="N1222" t="str">
        <f>VLOOKUP(D1222, Products!A$2:C$61, 3, FALSE)</f>
        <v>Apparel</v>
      </c>
      <c r="O1222" t="str">
        <f>VLOOKUP(C1222, Customers!A$2:E$301, 5, FALSE)</f>
        <v>Retail</v>
      </c>
      <c r="P1222">
        <f>VLOOKUP(C1222, Customers!A$2:C$301, 3, FALSE)</f>
        <v>60</v>
      </c>
      <c r="Q1222" t="str">
        <f>VLOOKUP(E1222, Sales_Reps!A$2:C$31, 3, FALSE)</f>
        <v>West</v>
      </c>
      <c r="R1222">
        <f>VLOOKUP(D1222, Products!A$2:D$61, 4, FALSE)</f>
        <v>1173</v>
      </c>
    </row>
    <row r="1223" spans="1:18" x14ac:dyDescent="0.3">
      <c r="A1223" s="13" t="s">
        <v>1708</v>
      </c>
      <c r="B1223" s="14">
        <v>45610</v>
      </c>
      <c r="C1223" s="13" t="s">
        <v>741</v>
      </c>
      <c r="D1223" s="13" t="s">
        <v>515</v>
      </c>
      <c r="E1223" s="13" t="s">
        <v>273</v>
      </c>
      <c r="F1223" s="15">
        <v>5</v>
      </c>
      <c r="G1223" s="15">
        <v>6940</v>
      </c>
      <c r="H1223" s="15">
        <v>0.3</v>
      </c>
      <c r="I1223" s="15">
        <v>34595.9</v>
      </c>
      <c r="J1223" s="13" t="s">
        <v>87</v>
      </c>
      <c r="K1223" s="13" t="s">
        <v>133</v>
      </c>
      <c r="L1223">
        <f>IF(COUNTIF(A$2:A1223, A1223)=1, IF(COUNTIF(A$2:A$2001, A1223)&gt;1, 1, 0), 0)</f>
        <v>0</v>
      </c>
      <c r="M1223" t="b">
        <f>VLOOKUP(D1223, Products!A$2:F$61, 6, FALSE)</f>
        <v>1</v>
      </c>
      <c r="N1223" t="str">
        <f>VLOOKUP(D1223, Products!A$2:C$61, 3, FALSE)</f>
        <v>Sports</v>
      </c>
      <c r="O1223" t="str">
        <f>VLOOKUP(C1223, Customers!A$2:E$301, 5, FALSE)</f>
        <v>SMB</v>
      </c>
      <c r="P1223">
        <f>VLOOKUP(C1223, Customers!A$2:C$301, 3, FALSE)</f>
        <v>29</v>
      </c>
      <c r="Q1223" t="str">
        <f>VLOOKUP(E1223, Sales_Reps!A$2:C$31, 3, FALSE)</f>
        <v>South</v>
      </c>
      <c r="R1223">
        <f>VLOOKUP(D1223, Products!A$2:D$61, 4, FALSE)</f>
        <v>2827</v>
      </c>
    </row>
    <row r="1224" spans="1:18" x14ac:dyDescent="0.3">
      <c r="A1224" s="13" t="s">
        <v>1709</v>
      </c>
      <c r="B1224" s="14">
        <v>45560</v>
      </c>
      <c r="C1224" s="13" t="s">
        <v>533</v>
      </c>
      <c r="D1224" s="13" t="s">
        <v>245</v>
      </c>
      <c r="E1224" s="13" t="s">
        <v>154</v>
      </c>
      <c r="F1224" s="15">
        <v>8</v>
      </c>
      <c r="G1224" s="15">
        <v>2270</v>
      </c>
      <c r="H1224" s="15">
        <v>15.6</v>
      </c>
      <c r="I1224" s="15">
        <v>15327.04</v>
      </c>
      <c r="J1224" s="13" t="s">
        <v>93</v>
      </c>
      <c r="K1224" s="13" t="s">
        <v>99</v>
      </c>
      <c r="L1224">
        <f>IF(COUNTIF(A$2:A1224, A1224)=1, IF(COUNTIF(A$2:A$2001, A1224)&gt;1, 1, 0), 0)</f>
        <v>0</v>
      </c>
      <c r="M1224" t="b">
        <f>VLOOKUP(D1224, Products!A$2:F$61, 6, FALSE)</f>
        <v>1</v>
      </c>
      <c r="N1224" t="str">
        <f>VLOOKUP(D1224, Products!A$2:C$61, 3, FALSE)</f>
        <v>Grocery</v>
      </c>
      <c r="O1224" t="str">
        <f>VLOOKUP(C1224, Customers!A$2:E$301, 5, FALSE)</f>
        <v>SMB</v>
      </c>
      <c r="P1224">
        <f>VLOOKUP(C1224, Customers!A$2:C$301, 3, FALSE)</f>
        <v>48</v>
      </c>
      <c r="Q1224" t="str">
        <f>VLOOKUP(E1224, Sales_Reps!A$2:C$31, 3, FALSE)</f>
        <v>East</v>
      </c>
      <c r="R1224">
        <f>VLOOKUP(D1224, Products!A$2:D$61, 4, FALSE)</f>
        <v>1412</v>
      </c>
    </row>
    <row r="1225" spans="1:18" x14ac:dyDescent="0.3">
      <c r="A1225" s="13" t="s">
        <v>1710</v>
      </c>
      <c r="B1225" s="14">
        <v>45431</v>
      </c>
      <c r="C1225" s="13" t="s">
        <v>983</v>
      </c>
      <c r="D1225" s="13" t="s">
        <v>191</v>
      </c>
      <c r="E1225" s="13" t="s">
        <v>170</v>
      </c>
      <c r="F1225" s="15">
        <v>5</v>
      </c>
      <c r="G1225" s="15">
        <v>5100</v>
      </c>
      <c r="H1225" s="15">
        <v>9.5</v>
      </c>
      <c r="I1225" s="15">
        <v>23077.5</v>
      </c>
      <c r="J1225" s="13" t="s">
        <v>87</v>
      </c>
      <c r="K1225" s="13" t="s">
        <v>117</v>
      </c>
      <c r="L1225">
        <f>IF(COUNTIF(A$2:A1225, A1225)=1, IF(COUNTIF(A$2:A$2001, A1225)&gt;1, 1, 0), 0)</f>
        <v>0</v>
      </c>
      <c r="M1225" t="b">
        <f>VLOOKUP(D1225, Products!A$2:F$61, 6, FALSE)</f>
        <v>1</v>
      </c>
      <c r="N1225" t="str">
        <f>VLOOKUP(D1225, Products!A$2:C$61, 3, FALSE)</f>
        <v>Beauty</v>
      </c>
      <c r="O1225" t="str">
        <f>VLOOKUP(C1225, Customers!A$2:E$301, 5, FALSE)</f>
        <v>SMB</v>
      </c>
      <c r="P1225">
        <f>VLOOKUP(C1225, Customers!A$2:C$301, 3, FALSE)</f>
        <v>36</v>
      </c>
      <c r="Q1225" t="str">
        <f>VLOOKUP(E1225, Sales_Reps!A$2:C$31, 3, FALSE)</f>
        <v>West</v>
      </c>
      <c r="R1225">
        <f>VLOOKUP(D1225, Products!A$2:D$61, 4, FALSE)</f>
        <v>2237</v>
      </c>
    </row>
    <row r="1226" spans="1:18" x14ac:dyDescent="0.3">
      <c r="A1226" s="13" t="s">
        <v>1711</v>
      </c>
      <c r="B1226" s="14">
        <v>45594</v>
      </c>
      <c r="C1226" s="13" t="s">
        <v>294</v>
      </c>
      <c r="D1226" s="13" t="s">
        <v>143</v>
      </c>
      <c r="E1226" s="13" t="s">
        <v>273</v>
      </c>
      <c r="F1226" s="15">
        <v>5</v>
      </c>
      <c r="G1226" s="15">
        <v>3250</v>
      </c>
      <c r="H1226" s="15">
        <v>8.1</v>
      </c>
      <c r="I1226" s="15">
        <v>14933.75</v>
      </c>
      <c r="J1226" s="13" t="s">
        <v>87</v>
      </c>
      <c r="K1226" s="13" t="s">
        <v>133</v>
      </c>
      <c r="L1226">
        <f>IF(COUNTIF(A$2:A1226, A1226)=1, IF(COUNTIF(A$2:A$2001, A1226)&gt;1, 1, 0), 0)</f>
        <v>0</v>
      </c>
      <c r="M1226" t="b">
        <f>VLOOKUP(D1226, Products!A$2:F$61, 6, FALSE)</f>
        <v>1</v>
      </c>
      <c r="N1226" t="str">
        <f>VLOOKUP(D1226, Products!A$2:C$61, 3, FALSE)</f>
        <v>Home</v>
      </c>
      <c r="O1226" t="str">
        <f>VLOOKUP(C1226, Customers!A$2:E$301, 5, FALSE)</f>
        <v>SMB</v>
      </c>
      <c r="P1226">
        <f>VLOOKUP(C1226, Customers!A$2:C$301, 3, FALSE)</f>
        <v>43</v>
      </c>
      <c r="Q1226" t="str">
        <f>VLOOKUP(E1226, Sales_Reps!A$2:C$31, 3, FALSE)</f>
        <v>South</v>
      </c>
      <c r="R1226">
        <f>VLOOKUP(D1226, Products!A$2:D$61, 4, FALSE)</f>
        <v>1556</v>
      </c>
    </row>
    <row r="1227" spans="1:18" x14ac:dyDescent="0.3">
      <c r="A1227" s="13" t="s">
        <v>1712</v>
      </c>
      <c r="B1227" s="14">
        <v>45609</v>
      </c>
      <c r="C1227" s="13" t="s">
        <v>403</v>
      </c>
      <c r="D1227" s="13" t="s">
        <v>408</v>
      </c>
      <c r="E1227" s="13" t="s">
        <v>148</v>
      </c>
      <c r="F1227" s="15">
        <v>6</v>
      </c>
      <c r="G1227" s="15">
        <v>3970</v>
      </c>
      <c r="H1227" s="15">
        <v>18.8</v>
      </c>
      <c r="I1227" s="15">
        <v>19341.84</v>
      </c>
      <c r="J1227" s="13" t="s">
        <v>93</v>
      </c>
      <c r="K1227" s="13" t="s">
        <v>117</v>
      </c>
      <c r="L1227">
        <f>IF(COUNTIF(A$2:A1227, A1227)=1, IF(COUNTIF(A$2:A$2001, A1227)&gt;1, 1, 0), 0)</f>
        <v>0</v>
      </c>
      <c r="M1227" t="b">
        <f>VLOOKUP(D1227, Products!A$2:F$61, 6, FALSE)</f>
        <v>1</v>
      </c>
      <c r="N1227" t="str">
        <f>VLOOKUP(D1227, Products!A$2:C$61, 3, FALSE)</f>
        <v>Electronics</v>
      </c>
      <c r="O1227" t="str">
        <f>VLOOKUP(C1227, Customers!A$2:E$301, 5, FALSE)</f>
        <v>Retail</v>
      </c>
      <c r="P1227">
        <f>VLOOKUP(C1227, Customers!A$2:C$301, 3, FALSE)</f>
        <v>59</v>
      </c>
      <c r="Q1227" t="str">
        <f>VLOOKUP(E1227, Sales_Reps!A$2:C$31, 3, FALSE)</f>
        <v>North</v>
      </c>
      <c r="R1227">
        <f>VLOOKUP(D1227, Products!A$2:D$61, 4, FALSE)</f>
        <v>2865</v>
      </c>
    </row>
    <row r="1228" spans="1:18" x14ac:dyDescent="0.3">
      <c r="A1228" s="13" t="s">
        <v>1713</v>
      </c>
      <c r="B1228" s="14">
        <v>45546</v>
      </c>
      <c r="C1228" s="13" t="s">
        <v>482</v>
      </c>
      <c r="D1228" s="13" t="s">
        <v>364</v>
      </c>
      <c r="E1228" s="13" t="s">
        <v>111</v>
      </c>
      <c r="F1228" s="15">
        <v>4</v>
      </c>
      <c r="G1228" s="15">
        <v>5330</v>
      </c>
      <c r="H1228" s="15">
        <v>19.7</v>
      </c>
      <c r="I1228" s="15">
        <v>17119.96</v>
      </c>
      <c r="J1228" s="13" t="s">
        <v>87</v>
      </c>
      <c r="K1228" s="13" t="s">
        <v>133</v>
      </c>
      <c r="L1228">
        <f>IF(COUNTIF(A$2:A1228, A1228)=1, IF(COUNTIF(A$2:A$2001, A1228)&gt;1, 1, 0), 0)</f>
        <v>0</v>
      </c>
      <c r="M1228" t="b">
        <f>VLOOKUP(D1228, Products!A$2:F$61, 6, FALSE)</f>
        <v>1</v>
      </c>
      <c r="N1228" t="str">
        <f>VLOOKUP(D1228, Products!A$2:C$61, 3, FALSE)</f>
        <v>Electronics</v>
      </c>
      <c r="O1228" t="str">
        <f>VLOOKUP(C1228, Customers!A$2:E$301, 5, FALSE)</f>
        <v>Corporate</v>
      </c>
      <c r="P1228">
        <f>VLOOKUP(C1228, Customers!A$2:C$301, 3, FALSE)</f>
        <v>52</v>
      </c>
      <c r="Q1228" t="str">
        <f>VLOOKUP(E1228, Sales_Reps!A$2:C$31, 3, FALSE)</f>
        <v>West</v>
      </c>
      <c r="R1228">
        <f>VLOOKUP(D1228, Products!A$2:D$61, 4, FALSE)</f>
        <v>2405</v>
      </c>
    </row>
    <row r="1229" spans="1:18" x14ac:dyDescent="0.3">
      <c r="A1229" s="13" t="s">
        <v>1714</v>
      </c>
      <c r="B1229" s="14">
        <v>45607</v>
      </c>
      <c r="C1229" s="13" t="s">
        <v>310</v>
      </c>
      <c r="D1229" s="13" t="s">
        <v>279</v>
      </c>
      <c r="E1229" s="13" t="s">
        <v>139</v>
      </c>
      <c r="F1229" s="15">
        <v>7</v>
      </c>
      <c r="G1229" s="15">
        <v>2660</v>
      </c>
      <c r="H1229" s="15">
        <v>8.5</v>
      </c>
      <c r="I1229" s="15">
        <v>17037.3</v>
      </c>
      <c r="J1229" s="13" t="s">
        <v>87</v>
      </c>
      <c r="K1229" s="13" t="s">
        <v>117</v>
      </c>
      <c r="L1229">
        <f>IF(COUNTIF(A$2:A1229, A1229)=1, IF(COUNTIF(A$2:A$2001, A1229)&gt;1, 1, 0), 0)</f>
        <v>0</v>
      </c>
      <c r="M1229" t="b">
        <f>VLOOKUP(D1229, Products!A$2:F$61, 6, FALSE)</f>
        <v>0</v>
      </c>
      <c r="N1229" t="str">
        <f>VLOOKUP(D1229, Products!A$2:C$61, 3, FALSE)</f>
        <v>Electronics</v>
      </c>
      <c r="O1229" t="str">
        <f>VLOOKUP(C1229, Customers!A$2:E$301, 5, FALSE)</f>
        <v>Retail</v>
      </c>
      <c r="P1229">
        <f>VLOOKUP(C1229, Customers!A$2:C$301, 3, FALSE)</f>
        <v>42</v>
      </c>
      <c r="Q1229" t="str">
        <f>VLOOKUP(E1229, Sales_Reps!A$2:C$31, 3, FALSE)</f>
        <v>North</v>
      </c>
      <c r="R1229">
        <f>VLOOKUP(D1229, Products!A$2:D$61, 4, FALSE)</f>
        <v>1259</v>
      </c>
    </row>
    <row r="1230" spans="1:18" x14ac:dyDescent="0.3">
      <c r="A1230" s="13" t="s">
        <v>1715</v>
      </c>
      <c r="B1230" s="14">
        <v>45422</v>
      </c>
      <c r="C1230" s="13" t="s">
        <v>90</v>
      </c>
      <c r="D1230" s="13" t="s">
        <v>106</v>
      </c>
      <c r="E1230" s="13" t="s">
        <v>229</v>
      </c>
      <c r="F1230" s="15">
        <v>5</v>
      </c>
      <c r="G1230" s="15">
        <v>3160</v>
      </c>
      <c r="H1230" s="15">
        <v>13.4</v>
      </c>
      <c r="I1230" s="15">
        <v>13682.8</v>
      </c>
      <c r="J1230" s="13" t="s">
        <v>93</v>
      </c>
      <c r="K1230" s="13" t="s">
        <v>94</v>
      </c>
      <c r="L1230">
        <f>IF(COUNTIF(A$2:A1230, A1230)=1, IF(COUNTIF(A$2:A$2001, A1230)&gt;1, 1, 0), 0)</f>
        <v>0</v>
      </c>
      <c r="M1230" t="b">
        <f>VLOOKUP(D1230, Products!A$2:F$61, 6, FALSE)</f>
        <v>1</v>
      </c>
      <c r="N1230" t="str">
        <f>VLOOKUP(D1230, Products!A$2:C$61, 3, FALSE)</f>
        <v>Apparel</v>
      </c>
      <c r="O1230" t="str">
        <f>VLOOKUP(C1230, Customers!A$2:E$301, 5, FALSE)</f>
        <v>Retail</v>
      </c>
      <c r="P1230">
        <f>VLOOKUP(C1230, Customers!A$2:C$301, 3, FALSE)</f>
        <v>39</v>
      </c>
      <c r="Q1230" t="str">
        <f>VLOOKUP(E1230, Sales_Reps!A$2:C$31, 3, FALSE)</f>
        <v>West</v>
      </c>
      <c r="R1230">
        <f>VLOOKUP(D1230, Products!A$2:D$61, 4, FALSE)</f>
        <v>1886</v>
      </c>
    </row>
    <row r="1231" spans="1:18" x14ac:dyDescent="0.3">
      <c r="A1231" s="13" t="s">
        <v>1716</v>
      </c>
      <c r="B1231" s="14">
        <v>45634</v>
      </c>
      <c r="C1231" s="13" t="s">
        <v>314</v>
      </c>
      <c r="D1231" s="13" t="s">
        <v>182</v>
      </c>
      <c r="E1231" s="13" t="s">
        <v>121</v>
      </c>
      <c r="F1231" s="15">
        <v>10</v>
      </c>
      <c r="G1231" s="15">
        <v>1010</v>
      </c>
      <c r="H1231" s="15">
        <v>14</v>
      </c>
      <c r="I1231" s="15">
        <v>8686</v>
      </c>
      <c r="J1231" s="13" t="s">
        <v>87</v>
      </c>
      <c r="K1231" s="13" t="s">
        <v>88</v>
      </c>
      <c r="L1231">
        <f>IF(COUNTIF(A$2:A1231, A1231)=1, IF(COUNTIF(A$2:A$2001, A1231)&gt;1, 1, 0), 0)</f>
        <v>0</v>
      </c>
      <c r="M1231" t="b">
        <f>VLOOKUP(D1231, Products!A$2:F$61, 6, FALSE)</f>
        <v>1</v>
      </c>
      <c r="N1231" t="str">
        <f>VLOOKUP(D1231, Products!A$2:C$61, 3, FALSE)</f>
        <v>Sports</v>
      </c>
      <c r="O1231" t="str">
        <f>VLOOKUP(C1231, Customers!A$2:E$301, 5, FALSE)</f>
        <v>Corporate</v>
      </c>
      <c r="P1231">
        <f>VLOOKUP(C1231, Customers!A$2:C$301, 3, FALSE)</f>
        <v>33</v>
      </c>
      <c r="Q1231" t="str">
        <f>VLOOKUP(E1231, Sales_Reps!A$2:C$31, 3, FALSE)</f>
        <v>East</v>
      </c>
      <c r="R1231">
        <f>VLOOKUP(D1231, Products!A$2:D$61, 4, FALSE)</f>
        <v>516</v>
      </c>
    </row>
    <row r="1232" spans="1:18" x14ac:dyDescent="0.3">
      <c r="A1232" s="13" t="s">
        <v>1717</v>
      </c>
      <c r="B1232" s="14">
        <v>45376</v>
      </c>
      <c r="C1232" s="13" t="s">
        <v>137</v>
      </c>
      <c r="D1232" s="13" t="s">
        <v>259</v>
      </c>
      <c r="E1232" s="13" t="s">
        <v>148</v>
      </c>
      <c r="F1232" s="15">
        <v>3</v>
      </c>
      <c r="G1232" s="15">
        <v>1540</v>
      </c>
      <c r="H1232" s="15">
        <v>13.7</v>
      </c>
      <c r="I1232" s="15">
        <v>3987.06</v>
      </c>
      <c r="J1232" s="13" t="s">
        <v>93</v>
      </c>
      <c r="K1232" s="13" t="s">
        <v>99</v>
      </c>
      <c r="L1232">
        <f>IF(COUNTIF(A$2:A1232, A1232)=1, IF(COUNTIF(A$2:A$2001, A1232)&gt;1, 1, 0), 0)</f>
        <v>0</v>
      </c>
      <c r="M1232" t="b">
        <f>VLOOKUP(D1232, Products!A$2:F$61, 6, FALSE)</f>
        <v>0</v>
      </c>
      <c r="N1232" t="str">
        <f>VLOOKUP(D1232, Products!A$2:C$61, 3, FALSE)</f>
        <v>Beauty</v>
      </c>
      <c r="O1232" t="str">
        <f>VLOOKUP(C1232, Customers!A$2:E$301, 5, FALSE)</f>
        <v>SMB</v>
      </c>
      <c r="P1232">
        <f>VLOOKUP(C1232, Customers!A$2:C$301, 3, FALSE)</f>
        <v>27</v>
      </c>
      <c r="Q1232" t="str">
        <f>VLOOKUP(E1232, Sales_Reps!A$2:C$31, 3, FALSE)</f>
        <v>North</v>
      </c>
      <c r="R1232">
        <f>VLOOKUP(D1232, Products!A$2:D$61, 4, FALSE)</f>
        <v>647</v>
      </c>
    </row>
    <row r="1233" spans="1:18" x14ac:dyDescent="0.3">
      <c r="A1233" s="13" t="s">
        <v>1718</v>
      </c>
      <c r="B1233" s="14">
        <v>45313</v>
      </c>
      <c r="C1233" s="13" t="s">
        <v>680</v>
      </c>
      <c r="D1233" s="13" t="s">
        <v>191</v>
      </c>
      <c r="E1233" s="13" t="s">
        <v>204</v>
      </c>
      <c r="F1233" s="15">
        <v>10</v>
      </c>
      <c r="G1233" s="15">
        <v>5100</v>
      </c>
      <c r="H1233" s="15">
        <v>13.8</v>
      </c>
      <c r="I1233" s="15">
        <v>43962</v>
      </c>
      <c r="J1233" s="13" t="s">
        <v>87</v>
      </c>
      <c r="K1233" s="13" t="s">
        <v>94</v>
      </c>
      <c r="L1233">
        <f>IF(COUNTIF(A$2:A1233, A1233)=1, IF(COUNTIF(A$2:A$2001, A1233)&gt;1, 1, 0), 0)</f>
        <v>0</v>
      </c>
      <c r="M1233" t="b">
        <f>VLOOKUP(D1233, Products!A$2:F$61, 6, FALSE)</f>
        <v>1</v>
      </c>
      <c r="N1233" t="str">
        <f>VLOOKUP(D1233, Products!A$2:C$61, 3, FALSE)</f>
        <v>Beauty</v>
      </c>
      <c r="O1233" t="str">
        <f>VLOOKUP(C1233, Customers!A$2:E$301, 5, FALSE)</f>
        <v>Retail</v>
      </c>
      <c r="P1233">
        <f>VLOOKUP(C1233, Customers!A$2:C$301, 3, FALSE)</f>
        <v>26</v>
      </c>
      <c r="Q1233" t="str">
        <f>VLOOKUP(E1233, Sales_Reps!A$2:C$31, 3, FALSE)</f>
        <v>South</v>
      </c>
      <c r="R1233">
        <f>VLOOKUP(D1233, Products!A$2:D$61, 4, FALSE)</f>
        <v>2237</v>
      </c>
    </row>
    <row r="1234" spans="1:18" x14ac:dyDescent="0.3">
      <c r="A1234" s="13" t="s">
        <v>1719</v>
      </c>
      <c r="B1234" s="14">
        <v>45457</v>
      </c>
      <c r="C1234" s="13" t="s">
        <v>795</v>
      </c>
      <c r="D1234" s="13" t="s">
        <v>120</v>
      </c>
      <c r="E1234" s="13" t="s">
        <v>170</v>
      </c>
      <c r="F1234" s="15">
        <v>3</v>
      </c>
      <c r="G1234" s="15">
        <v>1430</v>
      </c>
      <c r="H1234" s="15">
        <v>1.5</v>
      </c>
      <c r="I1234" s="15">
        <v>4225.6499999999996</v>
      </c>
      <c r="J1234" s="13" t="s">
        <v>87</v>
      </c>
      <c r="K1234" s="13" t="s">
        <v>94</v>
      </c>
      <c r="L1234">
        <f>IF(COUNTIF(A$2:A1234, A1234)=1, IF(COUNTIF(A$2:A$2001, A1234)&gt;1, 1, 0), 0)</f>
        <v>0</v>
      </c>
      <c r="M1234" t="b">
        <f>VLOOKUP(D1234, Products!A$2:F$61, 6, FALSE)</f>
        <v>1</v>
      </c>
      <c r="N1234" t="str">
        <f>VLOOKUP(D1234, Products!A$2:C$61, 3, FALSE)</f>
        <v>Electronics</v>
      </c>
      <c r="O1234" t="str">
        <f>VLOOKUP(C1234, Customers!A$2:E$301, 5, FALSE)</f>
        <v>Retail</v>
      </c>
      <c r="P1234">
        <f>VLOOKUP(C1234, Customers!A$2:C$301, 3, FALSE)</f>
        <v>22</v>
      </c>
      <c r="Q1234" t="str">
        <f>VLOOKUP(E1234, Sales_Reps!A$2:C$31, 3, FALSE)</f>
        <v>West</v>
      </c>
      <c r="R1234">
        <f>VLOOKUP(D1234, Products!A$2:D$61, 4, FALSE)</f>
        <v>861</v>
      </c>
    </row>
    <row r="1235" spans="1:18" x14ac:dyDescent="0.3">
      <c r="A1235" s="13" t="s">
        <v>1720</v>
      </c>
      <c r="B1235" s="14">
        <v>45620</v>
      </c>
      <c r="C1235" s="13" t="s">
        <v>908</v>
      </c>
      <c r="D1235" s="13" t="s">
        <v>124</v>
      </c>
      <c r="E1235" s="13" t="s">
        <v>252</v>
      </c>
      <c r="F1235" s="15">
        <v>8</v>
      </c>
      <c r="G1235" s="15">
        <v>5490</v>
      </c>
      <c r="H1235" s="15">
        <v>23.2</v>
      </c>
      <c r="I1235" s="15">
        <v>33730.559999999998</v>
      </c>
      <c r="J1235" s="13" t="s">
        <v>87</v>
      </c>
      <c r="K1235" s="13" t="s">
        <v>133</v>
      </c>
      <c r="L1235">
        <f>IF(COUNTIF(A$2:A1235, A1235)=1, IF(COUNTIF(A$2:A$2001, A1235)&gt;1, 1, 0), 0)</f>
        <v>0</v>
      </c>
      <c r="M1235" t="b">
        <f>VLOOKUP(D1235, Products!A$2:F$61, 6, FALSE)</f>
        <v>1</v>
      </c>
      <c r="N1235" t="str">
        <f>VLOOKUP(D1235, Products!A$2:C$61, 3, FALSE)</f>
        <v>Home</v>
      </c>
      <c r="O1235" t="str">
        <f>VLOOKUP(C1235, Customers!A$2:E$301, 5, FALSE)</f>
        <v>Retail</v>
      </c>
      <c r="P1235">
        <f>VLOOKUP(C1235, Customers!A$2:C$301, 3, FALSE)</f>
        <v>31</v>
      </c>
      <c r="Q1235" t="str">
        <f>VLOOKUP(E1235, Sales_Reps!A$2:C$31, 3, FALSE)</f>
        <v>South</v>
      </c>
      <c r="R1235">
        <f>VLOOKUP(D1235, Products!A$2:D$61, 4, FALSE)</f>
        <v>2549</v>
      </c>
    </row>
    <row r="1236" spans="1:18" x14ac:dyDescent="0.3">
      <c r="A1236" s="13" t="s">
        <v>1721</v>
      </c>
      <c r="B1236" s="14">
        <v>45495</v>
      </c>
      <c r="C1236" s="13" t="s">
        <v>418</v>
      </c>
      <c r="D1236" s="13" t="s">
        <v>176</v>
      </c>
      <c r="E1236" s="13" t="s">
        <v>107</v>
      </c>
      <c r="F1236" s="15">
        <v>6</v>
      </c>
      <c r="G1236" s="15">
        <v>1650</v>
      </c>
      <c r="H1236" s="15">
        <v>16.8</v>
      </c>
      <c r="I1236" s="15">
        <v>8236.7999999999993</v>
      </c>
      <c r="J1236" s="13" t="s">
        <v>87</v>
      </c>
      <c r="K1236" s="13" t="s">
        <v>133</v>
      </c>
      <c r="L1236">
        <f>IF(COUNTIF(A$2:A1236, A1236)=1, IF(COUNTIF(A$2:A$2001, A1236)&gt;1, 1, 0), 0)</f>
        <v>0</v>
      </c>
      <c r="M1236" t="b">
        <f>VLOOKUP(D1236, Products!A$2:F$61, 6, FALSE)</f>
        <v>1</v>
      </c>
      <c r="N1236" t="str">
        <f>VLOOKUP(D1236, Products!A$2:C$61, 3, FALSE)</f>
        <v>Beauty</v>
      </c>
      <c r="O1236" t="str">
        <f>VLOOKUP(C1236, Customers!A$2:E$301, 5, FALSE)</f>
        <v>Retail</v>
      </c>
      <c r="P1236">
        <f>VLOOKUP(C1236, Customers!A$2:C$301, 3, FALSE)</f>
        <v>22</v>
      </c>
      <c r="Q1236" t="str">
        <f>VLOOKUP(E1236, Sales_Reps!A$2:C$31, 3, FALSE)</f>
        <v>North</v>
      </c>
      <c r="R1236">
        <f>VLOOKUP(D1236, Products!A$2:D$61, 4, FALSE)</f>
        <v>1222</v>
      </c>
    </row>
    <row r="1237" spans="1:18" x14ac:dyDescent="0.3">
      <c r="A1237" s="13" t="s">
        <v>1722</v>
      </c>
      <c r="B1237" s="14">
        <v>45460</v>
      </c>
      <c r="C1237" s="13" t="s">
        <v>966</v>
      </c>
      <c r="D1237" s="13" t="s">
        <v>276</v>
      </c>
      <c r="E1237" s="13" t="s">
        <v>303</v>
      </c>
      <c r="F1237" s="15">
        <v>3</v>
      </c>
      <c r="G1237" s="15">
        <v>3020</v>
      </c>
      <c r="H1237" s="15">
        <v>14.5</v>
      </c>
      <c r="I1237" s="15">
        <v>7746.3</v>
      </c>
      <c r="J1237" s="13" t="s">
        <v>87</v>
      </c>
      <c r="K1237" s="13" t="s">
        <v>133</v>
      </c>
      <c r="L1237">
        <f>IF(COUNTIF(A$2:A1237, A1237)=1, IF(COUNTIF(A$2:A$2001, A1237)&gt;1, 1, 0), 0)</f>
        <v>0</v>
      </c>
      <c r="M1237" t="b">
        <f>VLOOKUP(D1237, Products!A$2:F$61, 6, FALSE)</f>
        <v>1</v>
      </c>
      <c r="N1237" t="str">
        <f>VLOOKUP(D1237, Products!A$2:C$61, 3, FALSE)</f>
        <v>Beauty</v>
      </c>
      <c r="O1237" t="str">
        <f>VLOOKUP(C1237, Customers!A$2:E$301, 5, FALSE)</f>
        <v>SMB</v>
      </c>
      <c r="P1237">
        <f>VLOOKUP(C1237, Customers!A$2:C$301, 3, FALSE)</f>
        <v>31</v>
      </c>
      <c r="Q1237" t="str">
        <f>VLOOKUP(E1237, Sales_Reps!A$2:C$31, 3, FALSE)</f>
        <v>East</v>
      </c>
      <c r="R1237">
        <f>VLOOKUP(D1237, Products!A$2:D$61, 4, FALSE)</f>
        <v>1626</v>
      </c>
    </row>
    <row r="1238" spans="1:18" x14ac:dyDescent="0.3">
      <c r="A1238" s="13" t="s">
        <v>1723</v>
      </c>
      <c r="B1238" s="14">
        <v>45438</v>
      </c>
      <c r="C1238" s="13" t="s">
        <v>1724</v>
      </c>
      <c r="D1238" s="13" t="s">
        <v>259</v>
      </c>
      <c r="E1238" s="13" t="s">
        <v>148</v>
      </c>
      <c r="F1238" s="15">
        <v>5</v>
      </c>
      <c r="G1238" s="15">
        <v>1540</v>
      </c>
      <c r="H1238" s="15">
        <v>27.2</v>
      </c>
      <c r="I1238" s="15">
        <v>5605.6</v>
      </c>
      <c r="J1238" s="13" t="s">
        <v>87</v>
      </c>
      <c r="K1238" s="13" t="s">
        <v>117</v>
      </c>
      <c r="L1238">
        <f>IF(COUNTIF(A$2:A1238, A1238)=1, IF(COUNTIF(A$2:A$2001, A1238)&gt;1, 1, 0), 0)</f>
        <v>0</v>
      </c>
      <c r="M1238" t="b">
        <f>VLOOKUP(D1238, Products!A$2:F$61, 6, FALSE)</f>
        <v>0</v>
      </c>
      <c r="N1238" t="str">
        <f>VLOOKUP(D1238, Products!A$2:C$61, 3, FALSE)</f>
        <v>Beauty</v>
      </c>
      <c r="O1238" t="str">
        <f>VLOOKUP(C1238, Customers!A$2:E$301, 5, FALSE)</f>
        <v>SMB</v>
      </c>
      <c r="P1238">
        <f>VLOOKUP(C1238, Customers!A$2:C$301, 3, FALSE)</f>
        <v>54</v>
      </c>
      <c r="Q1238" t="str">
        <f>VLOOKUP(E1238, Sales_Reps!A$2:C$31, 3, FALSE)</f>
        <v>North</v>
      </c>
      <c r="R1238">
        <f>VLOOKUP(D1238, Products!A$2:D$61, 4, FALSE)</f>
        <v>647</v>
      </c>
    </row>
    <row r="1239" spans="1:18" x14ac:dyDescent="0.3">
      <c r="A1239" s="13" t="s">
        <v>771</v>
      </c>
      <c r="B1239" s="14">
        <v>45307</v>
      </c>
      <c r="C1239" s="13" t="s">
        <v>316</v>
      </c>
      <c r="D1239" s="13" t="s">
        <v>515</v>
      </c>
      <c r="E1239" s="13" t="s">
        <v>154</v>
      </c>
      <c r="F1239" s="15">
        <v>4</v>
      </c>
      <c r="G1239" s="15">
        <v>6940</v>
      </c>
      <c r="H1239" s="15">
        <v>3.2</v>
      </c>
      <c r="I1239" s="15">
        <v>26871.68</v>
      </c>
      <c r="J1239" s="13" t="s">
        <v>87</v>
      </c>
      <c r="K1239" s="13" t="s">
        <v>88</v>
      </c>
      <c r="L1239">
        <f>IF(COUNTIF(A$2:A1239, A1239)=1, IF(COUNTIF(A$2:A$2001, A1239)&gt;1, 1, 0), 0)</f>
        <v>0</v>
      </c>
      <c r="M1239" t="b">
        <f>VLOOKUP(D1239, Products!A$2:F$61, 6, FALSE)</f>
        <v>1</v>
      </c>
      <c r="N1239" t="str">
        <f>VLOOKUP(D1239, Products!A$2:C$61, 3, FALSE)</f>
        <v>Sports</v>
      </c>
      <c r="O1239" t="str">
        <f>VLOOKUP(C1239, Customers!A$2:E$301, 5, FALSE)</f>
        <v>SMB</v>
      </c>
      <c r="P1239">
        <f>VLOOKUP(C1239, Customers!A$2:C$301, 3, FALSE)</f>
        <v>60</v>
      </c>
      <c r="Q1239" t="str">
        <f>VLOOKUP(E1239, Sales_Reps!A$2:C$31, 3, FALSE)</f>
        <v>East</v>
      </c>
      <c r="R1239">
        <f>VLOOKUP(D1239, Products!A$2:D$61, 4, FALSE)</f>
        <v>2827</v>
      </c>
    </row>
    <row r="1240" spans="1:18" x14ac:dyDescent="0.3">
      <c r="A1240" s="13" t="s">
        <v>1725</v>
      </c>
      <c r="B1240" s="14">
        <v>45517</v>
      </c>
      <c r="C1240" s="13" t="s">
        <v>109</v>
      </c>
      <c r="D1240" s="13" t="s">
        <v>191</v>
      </c>
      <c r="E1240" s="13" t="s">
        <v>238</v>
      </c>
      <c r="F1240" s="15">
        <v>2</v>
      </c>
      <c r="G1240" s="15">
        <v>5100</v>
      </c>
      <c r="H1240" s="15">
        <v>18.100000000000001</v>
      </c>
      <c r="I1240" s="15">
        <v>8353.7999999999993</v>
      </c>
      <c r="J1240" s="13" t="s">
        <v>87</v>
      </c>
      <c r="K1240" s="13" t="s">
        <v>112</v>
      </c>
      <c r="L1240">
        <f>IF(COUNTIF(A$2:A1240, A1240)=1, IF(COUNTIF(A$2:A$2001, A1240)&gt;1, 1, 0), 0)</f>
        <v>0</v>
      </c>
      <c r="M1240" t="b">
        <f>VLOOKUP(D1240, Products!A$2:F$61, 6, FALSE)</f>
        <v>1</v>
      </c>
      <c r="N1240" t="str">
        <f>VLOOKUP(D1240, Products!A$2:C$61, 3, FALSE)</f>
        <v>Beauty</v>
      </c>
      <c r="O1240" t="str">
        <f>VLOOKUP(C1240, Customers!A$2:E$301, 5, FALSE)</f>
        <v>Retail</v>
      </c>
      <c r="P1240">
        <f>VLOOKUP(C1240, Customers!A$2:C$301, 3, FALSE)</f>
        <v>36</v>
      </c>
      <c r="Q1240" t="str">
        <f>VLOOKUP(E1240, Sales_Reps!A$2:C$31, 3, FALSE)</f>
        <v>East</v>
      </c>
      <c r="R1240">
        <f>VLOOKUP(D1240, Products!A$2:D$61, 4, FALSE)</f>
        <v>2237</v>
      </c>
    </row>
    <row r="1241" spans="1:18" x14ac:dyDescent="0.3">
      <c r="A1241" s="13" t="s">
        <v>1726</v>
      </c>
      <c r="B1241" s="14">
        <v>45575</v>
      </c>
      <c r="C1241" s="13" t="s">
        <v>314</v>
      </c>
      <c r="D1241" s="13" t="s">
        <v>364</v>
      </c>
      <c r="E1241" s="13" t="s">
        <v>346</v>
      </c>
      <c r="F1241" s="15">
        <v>6</v>
      </c>
      <c r="G1241" s="15">
        <v>5330</v>
      </c>
      <c r="H1241" s="15">
        <v>0.3</v>
      </c>
      <c r="I1241" s="15">
        <v>31884.06</v>
      </c>
      <c r="J1241" s="13" t="s">
        <v>93</v>
      </c>
      <c r="K1241" s="13" t="s">
        <v>88</v>
      </c>
      <c r="L1241">
        <f>IF(COUNTIF(A$2:A1241, A1241)=1, IF(COUNTIF(A$2:A$2001, A1241)&gt;1, 1, 0), 0)</f>
        <v>0</v>
      </c>
      <c r="M1241" t="b">
        <f>VLOOKUP(D1241, Products!A$2:F$61, 6, FALSE)</f>
        <v>1</v>
      </c>
      <c r="N1241" t="str">
        <f>VLOOKUP(D1241, Products!A$2:C$61, 3, FALSE)</f>
        <v>Electronics</v>
      </c>
      <c r="O1241" t="str">
        <f>VLOOKUP(C1241, Customers!A$2:E$301, 5, FALSE)</f>
        <v>Corporate</v>
      </c>
      <c r="P1241">
        <f>VLOOKUP(C1241, Customers!A$2:C$301, 3, FALSE)</f>
        <v>33</v>
      </c>
      <c r="Q1241" t="str">
        <f>VLOOKUP(E1241, Sales_Reps!A$2:C$31, 3, FALSE)</f>
        <v>South</v>
      </c>
      <c r="R1241">
        <f>VLOOKUP(D1241, Products!A$2:D$61, 4, FALSE)</f>
        <v>2405</v>
      </c>
    </row>
    <row r="1242" spans="1:18" x14ac:dyDescent="0.3">
      <c r="A1242" s="13" t="s">
        <v>1727</v>
      </c>
      <c r="B1242" s="14">
        <v>45449</v>
      </c>
      <c r="C1242" s="13" t="s">
        <v>1006</v>
      </c>
      <c r="D1242" s="13" t="s">
        <v>115</v>
      </c>
      <c r="E1242" s="13" t="s">
        <v>229</v>
      </c>
      <c r="F1242" s="15">
        <v>5</v>
      </c>
      <c r="G1242" s="15">
        <v>960</v>
      </c>
      <c r="H1242" s="15">
        <v>16.600000000000001</v>
      </c>
      <c r="I1242" s="15">
        <v>4003.2</v>
      </c>
      <c r="J1242" s="13" t="s">
        <v>87</v>
      </c>
      <c r="K1242" s="13" t="s">
        <v>117</v>
      </c>
      <c r="L1242">
        <f>IF(COUNTIF(A$2:A1242, A1242)=1, IF(COUNTIF(A$2:A$2001, A1242)&gt;1, 1, 0), 0)</f>
        <v>0</v>
      </c>
      <c r="M1242" t="b">
        <f>VLOOKUP(D1242, Products!A$2:F$61, 6, FALSE)</f>
        <v>1</v>
      </c>
      <c r="N1242" t="str">
        <f>VLOOKUP(D1242, Products!A$2:C$61, 3, FALSE)</f>
        <v>Sports</v>
      </c>
      <c r="O1242" t="str">
        <f>VLOOKUP(C1242, Customers!A$2:E$301, 5, FALSE)</f>
        <v>SMB</v>
      </c>
      <c r="P1242">
        <f>VLOOKUP(C1242, Customers!A$2:C$301, 3, FALSE)</f>
        <v>44</v>
      </c>
      <c r="Q1242" t="str">
        <f>VLOOKUP(E1242, Sales_Reps!A$2:C$31, 3, FALSE)</f>
        <v>West</v>
      </c>
      <c r="R1242">
        <f>VLOOKUP(D1242, Products!A$2:D$61, 4, FALSE)</f>
        <v>705</v>
      </c>
    </row>
    <row r="1243" spans="1:18" x14ac:dyDescent="0.3">
      <c r="A1243" s="13" t="s">
        <v>1728</v>
      </c>
      <c r="B1243" s="14">
        <v>45481</v>
      </c>
      <c r="C1243" s="13" t="s">
        <v>305</v>
      </c>
      <c r="D1243" s="13" t="s">
        <v>85</v>
      </c>
      <c r="E1243" s="13" t="s">
        <v>285</v>
      </c>
      <c r="F1243" s="15">
        <v>7</v>
      </c>
      <c r="G1243" s="15">
        <v>3620</v>
      </c>
      <c r="H1243" s="15">
        <v>5.4</v>
      </c>
      <c r="I1243" s="15">
        <v>23971.64</v>
      </c>
      <c r="J1243" s="13" t="s">
        <v>87</v>
      </c>
      <c r="K1243" s="13" t="s">
        <v>133</v>
      </c>
      <c r="L1243">
        <f>IF(COUNTIF(A$2:A1243, A1243)=1, IF(COUNTIF(A$2:A$2001, A1243)&gt;1, 1, 0), 0)</f>
        <v>1</v>
      </c>
      <c r="M1243" t="b">
        <f>VLOOKUP(D1243, Products!A$2:F$61, 6, FALSE)</f>
        <v>1</v>
      </c>
      <c r="N1243" t="str">
        <f>VLOOKUP(D1243, Products!A$2:C$61, 3, FALSE)</f>
        <v>Apparel</v>
      </c>
      <c r="O1243" t="str">
        <f>VLOOKUP(C1243, Customers!A$2:E$301, 5, FALSE)</f>
        <v>Corporate</v>
      </c>
      <c r="P1243">
        <f>VLOOKUP(C1243, Customers!A$2:C$301, 3, FALSE)</f>
        <v>46</v>
      </c>
      <c r="Q1243" t="str">
        <f>VLOOKUP(E1243, Sales_Reps!A$2:C$31, 3, FALSE)</f>
        <v>East</v>
      </c>
      <c r="R1243">
        <f>VLOOKUP(D1243, Products!A$2:D$61, 4, FALSE)</f>
        <v>2509</v>
      </c>
    </row>
    <row r="1244" spans="1:18" x14ac:dyDescent="0.3">
      <c r="A1244" s="13" t="s">
        <v>1729</v>
      </c>
      <c r="B1244" s="14">
        <v>45368</v>
      </c>
      <c r="C1244" s="13" t="s">
        <v>1628</v>
      </c>
      <c r="D1244" s="13" t="s">
        <v>138</v>
      </c>
      <c r="E1244" s="13" t="s">
        <v>103</v>
      </c>
      <c r="F1244" s="15">
        <v>6</v>
      </c>
      <c r="G1244" s="15">
        <v>2600</v>
      </c>
      <c r="H1244" s="15">
        <v>25.9</v>
      </c>
      <c r="I1244" s="15">
        <v>11559.6</v>
      </c>
      <c r="J1244" s="13" t="s">
        <v>87</v>
      </c>
      <c r="K1244" s="13" t="s">
        <v>94</v>
      </c>
      <c r="L1244">
        <f>IF(COUNTIF(A$2:A1244, A1244)=1, IF(COUNTIF(A$2:A$2001, A1244)&gt;1, 1, 0), 0)</f>
        <v>0</v>
      </c>
      <c r="M1244" t="b">
        <f>VLOOKUP(D1244, Products!A$2:F$61, 6, FALSE)</f>
        <v>1</v>
      </c>
      <c r="N1244" t="str">
        <f>VLOOKUP(D1244, Products!A$2:C$61, 3, FALSE)</f>
        <v>Electronics</v>
      </c>
      <c r="O1244" t="str">
        <f>VLOOKUP(C1244, Customers!A$2:E$301, 5, FALSE)</f>
        <v>Retail</v>
      </c>
      <c r="P1244">
        <f>VLOOKUP(C1244, Customers!A$2:C$301, 3, FALSE)</f>
        <v>35</v>
      </c>
      <c r="Q1244" t="str">
        <f>VLOOKUP(E1244, Sales_Reps!A$2:C$31, 3, FALSE)</f>
        <v>North</v>
      </c>
      <c r="R1244">
        <f>VLOOKUP(D1244, Products!A$2:D$61, 4, FALSE)</f>
        <v>1052</v>
      </c>
    </row>
    <row r="1245" spans="1:18" x14ac:dyDescent="0.3">
      <c r="A1245" s="13" t="s">
        <v>1730</v>
      </c>
      <c r="B1245" s="14">
        <v>45298</v>
      </c>
      <c r="C1245" s="13" t="s">
        <v>485</v>
      </c>
      <c r="D1245" s="13" t="s">
        <v>279</v>
      </c>
      <c r="E1245" s="13" t="s">
        <v>252</v>
      </c>
      <c r="F1245" s="15">
        <v>7</v>
      </c>
      <c r="G1245" s="15">
        <v>2660</v>
      </c>
      <c r="H1245" s="15">
        <v>20.2</v>
      </c>
      <c r="I1245" s="15">
        <v>14858.76</v>
      </c>
      <c r="J1245" s="13" t="s">
        <v>87</v>
      </c>
      <c r="K1245" s="13" t="s">
        <v>88</v>
      </c>
      <c r="L1245">
        <f>IF(COUNTIF(A$2:A1245, A1245)=1, IF(COUNTIF(A$2:A$2001, A1245)&gt;1, 1, 0), 0)</f>
        <v>0</v>
      </c>
      <c r="M1245" t="b">
        <f>VLOOKUP(D1245, Products!A$2:F$61, 6, FALSE)</f>
        <v>0</v>
      </c>
      <c r="N1245" t="str">
        <f>VLOOKUP(D1245, Products!A$2:C$61, 3, FALSE)</f>
        <v>Electronics</v>
      </c>
      <c r="O1245" t="str">
        <f>VLOOKUP(C1245, Customers!A$2:E$301, 5, FALSE)</f>
        <v>Retail</v>
      </c>
      <c r="P1245">
        <f>VLOOKUP(C1245, Customers!A$2:C$301, 3, FALSE)</f>
        <v>49</v>
      </c>
      <c r="Q1245" t="str">
        <f>VLOOKUP(E1245, Sales_Reps!A$2:C$31, 3, FALSE)</f>
        <v>South</v>
      </c>
      <c r="R1245">
        <f>VLOOKUP(D1245, Products!A$2:D$61, 4, FALSE)</f>
        <v>1259</v>
      </c>
    </row>
    <row r="1246" spans="1:18" x14ac:dyDescent="0.3">
      <c r="A1246" s="13" t="s">
        <v>1731</v>
      </c>
      <c r="B1246" s="14">
        <v>45472</v>
      </c>
      <c r="C1246" s="13" t="s">
        <v>959</v>
      </c>
      <c r="D1246" s="13" t="s">
        <v>167</v>
      </c>
      <c r="E1246" s="13" t="s">
        <v>285</v>
      </c>
      <c r="F1246" s="15">
        <v>9</v>
      </c>
      <c r="G1246" s="15">
        <v>2480</v>
      </c>
      <c r="H1246" s="15">
        <v>14.7</v>
      </c>
      <c r="I1246" s="15">
        <v>19038.96</v>
      </c>
      <c r="J1246" s="13" t="s">
        <v>87</v>
      </c>
      <c r="K1246" s="13" t="s">
        <v>112</v>
      </c>
      <c r="L1246">
        <f>IF(COUNTIF(A$2:A1246, A1246)=1, IF(COUNTIF(A$2:A$2001, A1246)&gt;1, 1, 0), 0)</f>
        <v>0</v>
      </c>
      <c r="M1246" t="b">
        <f>VLOOKUP(D1246, Products!A$2:F$61, 6, FALSE)</f>
        <v>1</v>
      </c>
      <c r="N1246" t="str">
        <f>VLOOKUP(D1246, Products!A$2:C$61, 3, FALSE)</f>
        <v>Apparel</v>
      </c>
      <c r="O1246" t="str">
        <f>VLOOKUP(C1246, Customers!A$2:E$301, 5, FALSE)</f>
        <v>SMB</v>
      </c>
      <c r="P1246">
        <f>VLOOKUP(C1246, Customers!A$2:C$301, 3, FALSE)</f>
        <v>65</v>
      </c>
      <c r="Q1246" t="str">
        <f>VLOOKUP(E1246, Sales_Reps!A$2:C$31, 3, FALSE)</f>
        <v>East</v>
      </c>
      <c r="R1246">
        <f>VLOOKUP(D1246, Products!A$2:D$61, 4, FALSE)</f>
        <v>1173</v>
      </c>
    </row>
    <row r="1247" spans="1:18" x14ac:dyDescent="0.3">
      <c r="A1247" s="13" t="s">
        <v>1732</v>
      </c>
      <c r="B1247" s="14">
        <v>45568</v>
      </c>
      <c r="C1247" s="13" t="s">
        <v>357</v>
      </c>
      <c r="D1247" s="13" t="s">
        <v>279</v>
      </c>
      <c r="E1247" s="13" t="s">
        <v>188</v>
      </c>
      <c r="F1247" s="15">
        <v>4</v>
      </c>
      <c r="G1247" s="15">
        <v>2660</v>
      </c>
      <c r="H1247" s="15">
        <v>8.9</v>
      </c>
      <c r="I1247" s="15">
        <v>9693.0400000000009</v>
      </c>
      <c r="J1247" s="13" t="s">
        <v>87</v>
      </c>
      <c r="K1247" s="13" t="s">
        <v>99</v>
      </c>
      <c r="L1247">
        <f>IF(COUNTIF(A$2:A1247, A1247)=1, IF(COUNTIF(A$2:A$2001, A1247)&gt;1, 1, 0), 0)</f>
        <v>0</v>
      </c>
      <c r="M1247" t="b">
        <f>VLOOKUP(D1247, Products!A$2:F$61, 6, FALSE)</f>
        <v>0</v>
      </c>
      <c r="N1247" t="str">
        <f>VLOOKUP(D1247, Products!A$2:C$61, 3, FALSE)</f>
        <v>Electronics</v>
      </c>
      <c r="O1247" t="str">
        <f>VLOOKUP(C1247, Customers!A$2:E$301, 5, FALSE)</f>
        <v>SMB</v>
      </c>
      <c r="P1247">
        <f>VLOOKUP(C1247, Customers!A$2:C$301, 3, FALSE)</f>
        <v>38</v>
      </c>
      <c r="Q1247" t="str">
        <f>VLOOKUP(E1247, Sales_Reps!A$2:C$31, 3, FALSE)</f>
        <v>South</v>
      </c>
      <c r="R1247">
        <f>VLOOKUP(D1247, Products!A$2:D$61, 4, FALSE)</f>
        <v>1259</v>
      </c>
    </row>
    <row r="1248" spans="1:18" x14ac:dyDescent="0.3">
      <c r="A1248" s="13" t="s">
        <v>1733</v>
      </c>
      <c r="B1248" s="14">
        <v>45540</v>
      </c>
      <c r="C1248" s="13" t="s">
        <v>900</v>
      </c>
      <c r="D1248" s="13" t="s">
        <v>364</v>
      </c>
      <c r="E1248" s="13" t="s">
        <v>132</v>
      </c>
      <c r="F1248" s="15">
        <v>1</v>
      </c>
      <c r="G1248" s="15">
        <v>5330</v>
      </c>
      <c r="H1248" s="15">
        <v>26.8</v>
      </c>
      <c r="I1248" s="15">
        <v>3901.56</v>
      </c>
      <c r="J1248" s="13" t="s">
        <v>87</v>
      </c>
      <c r="K1248" s="13" t="s">
        <v>117</v>
      </c>
      <c r="L1248">
        <f>IF(COUNTIF(A$2:A1248, A1248)=1, IF(COUNTIF(A$2:A$2001, A1248)&gt;1, 1, 0), 0)</f>
        <v>0</v>
      </c>
      <c r="M1248" t="b">
        <f>VLOOKUP(D1248, Products!A$2:F$61, 6, FALSE)</f>
        <v>1</v>
      </c>
      <c r="N1248" t="str">
        <f>VLOOKUP(D1248, Products!A$2:C$61, 3, FALSE)</f>
        <v>Electronics</v>
      </c>
      <c r="O1248" t="str">
        <f>VLOOKUP(C1248, Customers!A$2:E$301, 5, FALSE)</f>
        <v>Retail</v>
      </c>
      <c r="P1248">
        <f>VLOOKUP(C1248, Customers!A$2:C$301, 3, FALSE)</f>
        <v>35</v>
      </c>
      <c r="Q1248" t="str">
        <f>VLOOKUP(E1248, Sales_Reps!A$2:C$31, 3, FALSE)</f>
        <v>South</v>
      </c>
      <c r="R1248">
        <f>VLOOKUP(D1248, Products!A$2:D$61, 4, FALSE)</f>
        <v>2405</v>
      </c>
    </row>
    <row r="1249" spans="1:18" x14ac:dyDescent="0.3">
      <c r="A1249" s="13" t="s">
        <v>1734</v>
      </c>
      <c r="B1249" s="14">
        <v>45544</v>
      </c>
      <c r="C1249" s="13" t="s">
        <v>1623</v>
      </c>
      <c r="D1249" s="13" t="s">
        <v>161</v>
      </c>
      <c r="E1249" s="13" t="s">
        <v>343</v>
      </c>
      <c r="F1249" s="15">
        <v>6</v>
      </c>
      <c r="G1249" s="15">
        <v>3450</v>
      </c>
      <c r="H1249" s="15">
        <v>19.2</v>
      </c>
      <c r="I1249" s="15">
        <v>16725.599999999999</v>
      </c>
      <c r="J1249" s="13" t="s">
        <v>93</v>
      </c>
      <c r="K1249" s="13" t="s">
        <v>117</v>
      </c>
      <c r="L1249">
        <f>IF(COUNTIF(A$2:A1249, A1249)=1, IF(COUNTIF(A$2:A$2001, A1249)&gt;1, 1, 0), 0)</f>
        <v>0</v>
      </c>
      <c r="M1249" t="b">
        <f>VLOOKUP(D1249, Products!A$2:F$61, 6, FALSE)</f>
        <v>1</v>
      </c>
      <c r="N1249" t="str">
        <f>VLOOKUP(D1249, Products!A$2:C$61, 3, FALSE)</f>
        <v>Sports</v>
      </c>
      <c r="O1249" t="str">
        <f>VLOOKUP(C1249, Customers!A$2:E$301, 5, FALSE)</f>
        <v>Retail</v>
      </c>
      <c r="P1249">
        <f>VLOOKUP(C1249, Customers!A$2:C$301, 3, FALSE)</f>
        <v>53</v>
      </c>
      <c r="Q1249" t="str">
        <f>VLOOKUP(E1249, Sales_Reps!A$2:C$31, 3, FALSE)</f>
        <v>West</v>
      </c>
      <c r="R1249">
        <f>VLOOKUP(D1249, Products!A$2:D$61, 4, FALSE)</f>
        <v>2467</v>
      </c>
    </row>
    <row r="1250" spans="1:18" x14ac:dyDescent="0.3">
      <c r="A1250" s="13" t="s">
        <v>1735</v>
      </c>
      <c r="B1250" s="14">
        <v>45334</v>
      </c>
      <c r="C1250" s="13" t="s">
        <v>169</v>
      </c>
      <c r="D1250" s="13" t="s">
        <v>147</v>
      </c>
      <c r="E1250" s="13" t="s">
        <v>111</v>
      </c>
      <c r="F1250" s="15">
        <v>10</v>
      </c>
      <c r="G1250" s="15">
        <v>190</v>
      </c>
      <c r="H1250" s="15">
        <v>18.100000000000001</v>
      </c>
      <c r="I1250" s="15">
        <v>1556.1</v>
      </c>
      <c r="J1250" s="13" t="s">
        <v>87</v>
      </c>
      <c r="K1250" s="13" t="s">
        <v>112</v>
      </c>
      <c r="L1250">
        <f>IF(COUNTIF(A$2:A1250, A1250)=1, IF(COUNTIF(A$2:A$2001, A1250)&gt;1, 1, 0), 0)</f>
        <v>0</v>
      </c>
      <c r="M1250" t="b">
        <f>VLOOKUP(D1250, Products!A$2:F$61, 6, FALSE)</f>
        <v>1</v>
      </c>
      <c r="N1250" t="str">
        <f>VLOOKUP(D1250, Products!A$2:C$61, 3, FALSE)</f>
        <v>Sports</v>
      </c>
      <c r="O1250" t="str">
        <f>VLOOKUP(C1250, Customers!A$2:E$301, 5, FALSE)</f>
        <v>Retail</v>
      </c>
      <c r="P1250">
        <f>VLOOKUP(C1250, Customers!A$2:C$301, 3, FALSE)</f>
        <v>34</v>
      </c>
      <c r="Q1250" t="str">
        <f>VLOOKUP(E1250, Sales_Reps!A$2:C$31, 3, FALSE)</f>
        <v>West</v>
      </c>
      <c r="R1250">
        <f>VLOOKUP(D1250, Products!A$2:D$61, 4, FALSE)</f>
        <v>147</v>
      </c>
    </row>
    <row r="1251" spans="1:18" x14ac:dyDescent="0.3">
      <c r="A1251" s="13" t="s">
        <v>1736</v>
      </c>
      <c r="B1251" s="14">
        <v>45584</v>
      </c>
      <c r="C1251" s="13" t="s">
        <v>621</v>
      </c>
      <c r="D1251" s="13" t="s">
        <v>408</v>
      </c>
      <c r="E1251" s="13" t="s">
        <v>204</v>
      </c>
      <c r="F1251" s="15">
        <v>9</v>
      </c>
      <c r="G1251" s="15">
        <v>3970</v>
      </c>
      <c r="H1251" s="15">
        <v>18.2</v>
      </c>
      <c r="I1251" s="15">
        <v>29227.14</v>
      </c>
      <c r="J1251" s="13" t="s">
        <v>93</v>
      </c>
      <c r="K1251" s="13" t="s">
        <v>94</v>
      </c>
      <c r="L1251">
        <f>IF(COUNTIF(A$2:A1251, A1251)=1, IF(COUNTIF(A$2:A$2001, A1251)&gt;1, 1, 0), 0)</f>
        <v>0</v>
      </c>
      <c r="M1251" t="b">
        <f>VLOOKUP(D1251, Products!A$2:F$61, 6, FALSE)</f>
        <v>1</v>
      </c>
      <c r="N1251" t="str">
        <f>VLOOKUP(D1251, Products!A$2:C$61, 3, FALSE)</f>
        <v>Electronics</v>
      </c>
      <c r="O1251" t="str">
        <f>VLOOKUP(C1251, Customers!A$2:E$301, 5, FALSE)</f>
        <v>Corporate</v>
      </c>
      <c r="P1251">
        <f>VLOOKUP(C1251, Customers!A$2:C$301, 3, FALSE)</f>
        <v>22</v>
      </c>
      <c r="Q1251" t="str">
        <f>VLOOKUP(E1251, Sales_Reps!A$2:C$31, 3, FALSE)</f>
        <v>South</v>
      </c>
      <c r="R1251">
        <f>VLOOKUP(D1251, Products!A$2:D$61, 4, FALSE)</f>
        <v>2865</v>
      </c>
    </row>
    <row r="1252" spans="1:18" x14ac:dyDescent="0.3">
      <c r="A1252" s="13" t="s">
        <v>1737</v>
      </c>
      <c r="B1252" s="14">
        <v>45404</v>
      </c>
      <c r="C1252" s="13" t="s">
        <v>130</v>
      </c>
      <c r="D1252" s="13" t="s">
        <v>270</v>
      </c>
      <c r="E1252" s="13" t="s">
        <v>297</v>
      </c>
      <c r="F1252" s="15">
        <v>4</v>
      </c>
      <c r="G1252" s="15">
        <v>4610</v>
      </c>
      <c r="H1252" s="15">
        <v>15.1</v>
      </c>
      <c r="I1252" s="15">
        <v>15655.56</v>
      </c>
      <c r="J1252" s="13" t="s">
        <v>140</v>
      </c>
      <c r="K1252" s="13" t="s">
        <v>133</v>
      </c>
      <c r="L1252">
        <f>IF(COUNTIF(A$2:A1252, A1252)=1, IF(COUNTIF(A$2:A$2001, A1252)&gt;1, 1, 0), 0)</f>
        <v>0</v>
      </c>
      <c r="M1252" t="b">
        <f>VLOOKUP(D1252, Products!A$2:F$61, 6, FALSE)</f>
        <v>1</v>
      </c>
      <c r="N1252" t="str">
        <f>VLOOKUP(D1252, Products!A$2:C$61, 3, FALSE)</f>
        <v>Home</v>
      </c>
      <c r="O1252" t="str">
        <f>VLOOKUP(C1252, Customers!A$2:E$301, 5, FALSE)</f>
        <v>Retail</v>
      </c>
      <c r="P1252">
        <f>VLOOKUP(C1252, Customers!A$2:C$301, 3, FALSE)</f>
        <v>60</v>
      </c>
      <c r="Q1252" t="str">
        <f>VLOOKUP(E1252, Sales_Reps!A$2:C$31, 3, FALSE)</f>
        <v>North</v>
      </c>
      <c r="R1252">
        <f>VLOOKUP(D1252, Products!A$2:D$61, 4, FALSE)</f>
        <v>1850</v>
      </c>
    </row>
    <row r="1253" spans="1:18" x14ac:dyDescent="0.3">
      <c r="A1253" s="13" t="s">
        <v>1738</v>
      </c>
      <c r="B1253" s="14">
        <v>45476</v>
      </c>
      <c r="C1253" s="13" t="s">
        <v>392</v>
      </c>
      <c r="D1253" s="13" t="s">
        <v>292</v>
      </c>
      <c r="E1253" s="13" t="s">
        <v>111</v>
      </c>
      <c r="F1253" s="15">
        <v>2</v>
      </c>
      <c r="G1253" s="15">
        <v>620</v>
      </c>
      <c r="H1253" s="15">
        <v>3.3</v>
      </c>
      <c r="I1253" s="15">
        <v>1199.08</v>
      </c>
      <c r="J1253" s="13" t="s">
        <v>87</v>
      </c>
      <c r="K1253" s="13" t="s">
        <v>112</v>
      </c>
      <c r="L1253">
        <f>IF(COUNTIF(A$2:A1253, A1253)=1, IF(COUNTIF(A$2:A$2001, A1253)&gt;1, 1, 0), 0)</f>
        <v>0</v>
      </c>
      <c r="M1253" t="b">
        <f>VLOOKUP(D1253, Products!A$2:F$61, 6, FALSE)</f>
        <v>1</v>
      </c>
      <c r="N1253" t="str">
        <f>VLOOKUP(D1253, Products!A$2:C$61, 3, FALSE)</f>
        <v>Apparel</v>
      </c>
      <c r="O1253" t="str">
        <f>VLOOKUP(C1253, Customers!A$2:E$301, 5, FALSE)</f>
        <v>Retail</v>
      </c>
      <c r="P1253">
        <f>VLOOKUP(C1253, Customers!A$2:C$301, 3, FALSE)</f>
        <v>50</v>
      </c>
      <c r="Q1253" t="str">
        <f>VLOOKUP(E1253, Sales_Reps!A$2:C$31, 3, FALSE)</f>
        <v>West</v>
      </c>
      <c r="R1253">
        <f>VLOOKUP(D1253, Products!A$2:D$61, 4, FALSE)</f>
        <v>396</v>
      </c>
    </row>
    <row r="1254" spans="1:18" x14ac:dyDescent="0.3">
      <c r="A1254" s="13" t="s">
        <v>1739</v>
      </c>
      <c r="B1254" s="14">
        <v>45481</v>
      </c>
      <c r="C1254" s="13" t="s">
        <v>757</v>
      </c>
      <c r="D1254" s="13" t="s">
        <v>259</v>
      </c>
      <c r="E1254" s="13" t="s">
        <v>111</v>
      </c>
      <c r="F1254" s="15">
        <v>7</v>
      </c>
      <c r="G1254" s="15">
        <v>1540</v>
      </c>
      <c r="H1254" s="15">
        <v>27.5</v>
      </c>
      <c r="I1254" s="15">
        <v>7815.5</v>
      </c>
      <c r="J1254" s="13" t="s">
        <v>87</v>
      </c>
      <c r="K1254" s="13" t="s">
        <v>117</v>
      </c>
      <c r="L1254">
        <f>IF(COUNTIF(A$2:A1254, A1254)=1, IF(COUNTIF(A$2:A$2001, A1254)&gt;1, 1, 0), 0)</f>
        <v>0</v>
      </c>
      <c r="M1254" t="b">
        <f>VLOOKUP(D1254, Products!A$2:F$61, 6, FALSE)</f>
        <v>0</v>
      </c>
      <c r="N1254" t="str">
        <f>VLOOKUP(D1254, Products!A$2:C$61, 3, FALSE)</f>
        <v>Beauty</v>
      </c>
      <c r="O1254" t="str">
        <f>VLOOKUP(C1254, Customers!A$2:E$301, 5, FALSE)</f>
        <v>Corporate</v>
      </c>
      <c r="P1254">
        <f>VLOOKUP(C1254, Customers!A$2:C$301, 3, FALSE)</f>
        <v>43</v>
      </c>
      <c r="Q1254" t="str">
        <f>VLOOKUP(E1254, Sales_Reps!A$2:C$31, 3, FALSE)</f>
        <v>West</v>
      </c>
      <c r="R1254">
        <f>VLOOKUP(D1254, Products!A$2:D$61, 4, FALSE)</f>
        <v>647</v>
      </c>
    </row>
    <row r="1255" spans="1:18" x14ac:dyDescent="0.3">
      <c r="A1255" s="13" t="s">
        <v>1740</v>
      </c>
      <c r="B1255" s="14">
        <v>45480</v>
      </c>
      <c r="C1255" s="13" t="s">
        <v>795</v>
      </c>
      <c r="D1255" s="13" t="s">
        <v>97</v>
      </c>
      <c r="E1255" s="13" t="s">
        <v>238</v>
      </c>
      <c r="F1255" s="15">
        <v>10</v>
      </c>
      <c r="G1255" s="15">
        <v>470</v>
      </c>
      <c r="H1255" s="15">
        <v>3.9</v>
      </c>
      <c r="I1255" s="15">
        <v>4516.7</v>
      </c>
      <c r="J1255" s="13" t="s">
        <v>87</v>
      </c>
      <c r="K1255" s="13" t="s">
        <v>94</v>
      </c>
      <c r="L1255">
        <f>IF(COUNTIF(A$2:A1255, A1255)=1, IF(COUNTIF(A$2:A$2001, A1255)&gt;1, 1, 0), 0)</f>
        <v>0</v>
      </c>
      <c r="M1255" t="b">
        <f>VLOOKUP(D1255, Products!A$2:F$61, 6, FALSE)</f>
        <v>0</v>
      </c>
      <c r="N1255" t="str">
        <f>VLOOKUP(D1255, Products!A$2:C$61, 3, FALSE)</f>
        <v>Sports</v>
      </c>
      <c r="O1255" t="str">
        <f>VLOOKUP(C1255, Customers!A$2:E$301, 5, FALSE)</f>
        <v>Retail</v>
      </c>
      <c r="P1255">
        <f>VLOOKUP(C1255, Customers!A$2:C$301, 3, FALSE)</f>
        <v>22</v>
      </c>
      <c r="Q1255" t="str">
        <f>VLOOKUP(E1255, Sales_Reps!A$2:C$31, 3, FALSE)</f>
        <v>East</v>
      </c>
      <c r="R1255">
        <f>VLOOKUP(D1255, Products!A$2:D$61, 4, FALSE)</f>
        <v>302</v>
      </c>
    </row>
    <row r="1256" spans="1:18" x14ac:dyDescent="0.3">
      <c r="A1256" s="13" t="s">
        <v>1741</v>
      </c>
      <c r="B1256" s="14">
        <v>45603</v>
      </c>
      <c r="C1256" s="13" t="s">
        <v>968</v>
      </c>
      <c r="D1256" s="13" t="s">
        <v>184</v>
      </c>
      <c r="E1256" s="13" t="s">
        <v>297</v>
      </c>
      <c r="F1256" s="15">
        <v>5</v>
      </c>
      <c r="G1256" s="15">
        <v>4880</v>
      </c>
      <c r="H1256" s="15">
        <v>27.4</v>
      </c>
      <c r="I1256" s="15">
        <v>17714.400000000001</v>
      </c>
      <c r="J1256" s="13" t="s">
        <v>87</v>
      </c>
      <c r="K1256" s="13" t="s">
        <v>99</v>
      </c>
      <c r="L1256">
        <f>IF(COUNTIF(A$2:A1256, A1256)=1, IF(COUNTIF(A$2:A$2001, A1256)&gt;1, 1, 0), 0)</f>
        <v>0</v>
      </c>
      <c r="M1256" t="b">
        <f>VLOOKUP(D1256, Products!A$2:F$61, 6, FALSE)</f>
        <v>1</v>
      </c>
      <c r="N1256" t="str">
        <f>VLOOKUP(D1256, Products!A$2:C$61, 3, FALSE)</f>
        <v>Beauty</v>
      </c>
      <c r="O1256" t="str">
        <f>VLOOKUP(C1256, Customers!A$2:E$301, 5, FALSE)</f>
        <v>Retail</v>
      </c>
      <c r="P1256">
        <f>VLOOKUP(C1256, Customers!A$2:C$301, 3, FALSE)</f>
        <v>47</v>
      </c>
      <c r="Q1256" t="str">
        <f>VLOOKUP(E1256, Sales_Reps!A$2:C$31, 3, FALSE)</f>
        <v>North</v>
      </c>
      <c r="R1256">
        <f>VLOOKUP(D1256, Products!A$2:D$61, 4, FALSE)</f>
        <v>2768</v>
      </c>
    </row>
    <row r="1257" spans="1:18" x14ac:dyDescent="0.3">
      <c r="A1257" s="13" t="s">
        <v>1742</v>
      </c>
      <c r="B1257" s="14">
        <v>45548</v>
      </c>
      <c r="C1257" s="13" t="s">
        <v>1072</v>
      </c>
      <c r="D1257" s="13" t="s">
        <v>360</v>
      </c>
      <c r="E1257" s="13" t="s">
        <v>229</v>
      </c>
      <c r="F1257" s="15">
        <v>1</v>
      </c>
      <c r="G1257" s="15">
        <v>5410</v>
      </c>
      <c r="H1257" s="15">
        <v>8.3000000000000007</v>
      </c>
      <c r="I1257" s="15">
        <v>4960.97</v>
      </c>
      <c r="J1257" s="13" t="s">
        <v>87</v>
      </c>
      <c r="K1257" s="13" t="s">
        <v>112</v>
      </c>
      <c r="L1257">
        <f>IF(COUNTIF(A$2:A1257, A1257)=1, IF(COUNTIF(A$2:A$2001, A1257)&gt;1, 1, 0), 0)</f>
        <v>0</v>
      </c>
      <c r="M1257" t="b">
        <f>VLOOKUP(D1257, Products!A$2:F$61, 6, FALSE)</f>
        <v>1</v>
      </c>
      <c r="N1257" t="str">
        <f>VLOOKUP(D1257, Products!A$2:C$61, 3, FALSE)</f>
        <v>Sports</v>
      </c>
      <c r="O1257" t="str">
        <f>VLOOKUP(C1257, Customers!A$2:E$301, 5, FALSE)</f>
        <v>SMB</v>
      </c>
      <c r="P1257">
        <f>VLOOKUP(C1257, Customers!A$2:C$301, 3, FALSE)</f>
        <v>53</v>
      </c>
      <c r="Q1257" t="str">
        <f>VLOOKUP(E1257, Sales_Reps!A$2:C$31, 3, FALSE)</f>
        <v>West</v>
      </c>
      <c r="R1257">
        <f>VLOOKUP(D1257, Products!A$2:D$61, 4, FALSE)</f>
        <v>2265</v>
      </c>
    </row>
    <row r="1258" spans="1:18" x14ac:dyDescent="0.3">
      <c r="A1258" s="13" t="s">
        <v>1743</v>
      </c>
      <c r="B1258" s="14">
        <v>45482</v>
      </c>
      <c r="C1258" s="13" t="s">
        <v>272</v>
      </c>
      <c r="D1258" s="13" t="s">
        <v>248</v>
      </c>
      <c r="E1258" s="13" t="s">
        <v>285</v>
      </c>
      <c r="F1258" s="15">
        <v>8</v>
      </c>
      <c r="G1258" s="15">
        <v>3870</v>
      </c>
      <c r="H1258" s="15">
        <v>9.3000000000000007</v>
      </c>
      <c r="I1258" s="15">
        <v>28080.720000000001</v>
      </c>
      <c r="J1258" s="13" t="s">
        <v>93</v>
      </c>
      <c r="K1258" s="13" t="s">
        <v>94</v>
      </c>
      <c r="L1258">
        <f>IF(COUNTIF(A$2:A1258, A1258)=1, IF(COUNTIF(A$2:A$2001, A1258)&gt;1, 1, 0), 0)</f>
        <v>0</v>
      </c>
      <c r="M1258" t="b">
        <f>VLOOKUP(D1258, Products!A$2:F$61, 6, FALSE)</f>
        <v>1</v>
      </c>
      <c r="N1258" t="str">
        <f>VLOOKUP(D1258, Products!A$2:C$61, 3, FALSE)</f>
        <v>Electronics</v>
      </c>
      <c r="O1258" t="str">
        <f>VLOOKUP(C1258, Customers!A$2:E$301, 5, FALSE)</f>
        <v>SMB</v>
      </c>
      <c r="P1258">
        <f>VLOOKUP(C1258, Customers!A$2:C$301, 3, FALSE)</f>
        <v>55</v>
      </c>
      <c r="Q1258" t="str">
        <f>VLOOKUP(E1258, Sales_Reps!A$2:C$31, 3, FALSE)</f>
        <v>East</v>
      </c>
      <c r="R1258">
        <f>VLOOKUP(D1258, Products!A$2:D$61, 4, FALSE)</f>
        <v>1559</v>
      </c>
    </row>
    <row r="1259" spans="1:18" x14ac:dyDescent="0.3">
      <c r="A1259" s="13" t="s">
        <v>1744</v>
      </c>
      <c r="B1259" s="14">
        <v>45457</v>
      </c>
      <c r="C1259" s="13" t="s">
        <v>725</v>
      </c>
      <c r="D1259" s="13" t="s">
        <v>135</v>
      </c>
      <c r="E1259" s="13" t="s">
        <v>238</v>
      </c>
      <c r="F1259" s="15">
        <v>10</v>
      </c>
      <c r="G1259" s="15">
        <v>2640</v>
      </c>
      <c r="H1259" s="15">
        <v>19.899999999999999</v>
      </c>
      <c r="I1259" s="15">
        <v>21146.400000000001</v>
      </c>
      <c r="J1259" s="13" t="s">
        <v>87</v>
      </c>
      <c r="K1259" s="13" t="s">
        <v>99</v>
      </c>
      <c r="L1259">
        <f>IF(COUNTIF(A$2:A1259, A1259)=1, IF(COUNTIF(A$2:A$2001, A1259)&gt;1, 1, 0), 0)</f>
        <v>0</v>
      </c>
      <c r="M1259" t="b">
        <f>VLOOKUP(D1259, Products!A$2:F$61, 6, FALSE)</f>
        <v>1</v>
      </c>
      <c r="N1259" t="str">
        <f>VLOOKUP(D1259, Products!A$2:C$61, 3, FALSE)</f>
        <v>Electronics</v>
      </c>
      <c r="O1259" t="str">
        <f>VLOOKUP(C1259, Customers!A$2:E$301, 5, FALSE)</f>
        <v>SMB</v>
      </c>
      <c r="P1259">
        <f>VLOOKUP(C1259, Customers!A$2:C$301, 3, FALSE)</f>
        <v>26</v>
      </c>
      <c r="Q1259" t="str">
        <f>VLOOKUP(E1259, Sales_Reps!A$2:C$31, 3, FALSE)</f>
        <v>East</v>
      </c>
      <c r="R1259">
        <f>VLOOKUP(D1259, Products!A$2:D$61, 4, FALSE)</f>
        <v>1149</v>
      </c>
    </row>
    <row r="1260" spans="1:18" x14ac:dyDescent="0.3">
      <c r="A1260" s="13" t="s">
        <v>1745</v>
      </c>
      <c r="B1260" s="14">
        <v>45508</v>
      </c>
      <c r="C1260" s="13" t="s">
        <v>621</v>
      </c>
      <c r="D1260" s="13" t="s">
        <v>443</v>
      </c>
      <c r="E1260" s="13" t="s">
        <v>86</v>
      </c>
      <c r="F1260" s="15">
        <v>1</v>
      </c>
      <c r="G1260" s="15">
        <v>5080</v>
      </c>
      <c r="H1260" s="15">
        <v>8.6</v>
      </c>
      <c r="I1260" s="15">
        <v>4643.12</v>
      </c>
      <c r="J1260" s="13" t="s">
        <v>87</v>
      </c>
      <c r="K1260" s="13" t="s">
        <v>94</v>
      </c>
      <c r="L1260">
        <f>IF(COUNTIF(A$2:A1260, A1260)=1, IF(COUNTIF(A$2:A$2001, A1260)&gt;1, 1, 0), 0)</f>
        <v>0</v>
      </c>
      <c r="M1260" t="b">
        <f>VLOOKUP(D1260, Products!A$2:F$61, 6, FALSE)</f>
        <v>1</v>
      </c>
      <c r="N1260" t="str">
        <f>VLOOKUP(D1260, Products!A$2:C$61, 3, FALSE)</f>
        <v>Home</v>
      </c>
      <c r="O1260" t="str">
        <f>VLOOKUP(C1260, Customers!A$2:E$301, 5, FALSE)</f>
        <v>Corporate</v>
      </c>
      <c r="P1260">
        <f>VLOOKUP(C1260, Customers!A$2:C$301, 3, FALSE)</f>
        <v>22</v>
      </c>
      <c r="Q1260" t="str">
        <f>VLOOKUP(E1260, Sales_Reps!A$2:C$31, 3, FALSE)</f>
        <v>North</v>
      </c>
      <c r="R1260">
        <f>VLOOKUP(D1260, Products!A$2:D$61, 4, FALSE)</f>
        <v>2459</v>
      </c>
    </row>
    <row r="1261" spans="1:18" x14ac:dyDescent="0.3">
      <c r="A1261" s="13" t="s">
        <v>1746</v>
      </c>
      <c r="B1261" s="14">
        <v>45399</v>
      </c>
      <c r="C1261" s="13" t="s">
        <v>700</v>
      </c>
      <c r="D1261" s="13" t="s">
        <v>143</v>
      </c>
      <c r="E1261" s="13" t="s">
        <v>303</v>
      </c>
      <c r="F1261" s="15">
        <v>9</v>
      </c>
      <c r="G1261" s="15">
        <v>3250</v>
      </c>
      <c r="H1261" s="15">
        <v>18.2</v>
      </c>
      <c r="I1261" s="15">
        <v>23926.5</v>
      </c>
      <c r="J1261" s="13" t="s">
        <v>93</v>
      </c>
      <c r="K1261" s="13" t="s">
        <v>94</v>
      </c>
      <c r="L1261">
        <f>IF(COUNTIF(A$2:A1261, A1261)=1, IF(COUNTIF(A$2:A$2001, A1261)&gt;1, 1, 0), 0)</f>
        <v>0</v>
      </c>
      <c r="M1261" t="b">
        <f>VLOOKUP(D1261, Products!A$2:F$61, 6, FALSE)</f>
        <v>1</v>
      </c>
      <c r="N1261" t="str">
        <f>VLOOKUP(D1261, Products!A$2:C$61, 3, FALSE)</f>
        <v>Home</v>
      </c>
      <c r="O1261" t="str">
        <f>VLOOKUP(C1261, Customers!A$2:E$301, 5, FALSE)</f>
        <v>SMB</v>
      </c>
      <c r="P1261">
        <f>VLOOKUP(C1261, Customers!A$2:C$301, 3, FALSE)</f>
        <v>46</v>
      </c>
      <c r="Q1261" t="str">
        <f>VLOOKUP(E1261, Sales_Reps!A$2:C$31, 3, FALSE)</f>
        <v>East</v>
      </c>
      <c r="R1261">
        <f>VLOOKUP(D1261, Products!A$2:D$61, 4, FALSE)</f>
        <v>1556</v>
      </c>
    </row>
    <row r="1262" spans="1:18" x14ac:dyDescent="0.3">
      <c r="A1262" s="13" t="s">
        <v>1747</v>
      </c>
      <c r="B1262" s="14">
        <v>45607</v>
      </c>
      <c r="C1262" s="13" t="s">
        <v>163</v>
      </c>
      <c r="D1262" s="13" t="s">
        <v>408</v>
      </c>
      <c r="E1262" s="13" t="s">
        <v>297</v>
      </c>
      <c r="F1262" s="15">
        <v>8</v>
      </c>
      <c r="G1262" s="15">
        <v>3970</v>
      </c>
      <c r="H1262" s="15">
        <v>22.4</v>
      </c>
      <c r="I1262" s="15">
        <v>24645.759999999998</v>
      </c>
      <c r="J1262" s="13" t="s">
        <v>87</v>
      </c>
      <c r="K1262" s="13" t="s">
        <v>94</v>
      </c>
      <c r="L1262">
        <f>IF(COUNTIF(A$2:A1262, A1262)=1, IF(COUNTIF(A$2:A$2001, A1262)&gt;1, 1, 0), 0)</f>
        <v>0</v>
      </c>
      <c r="M1262" t="b">
        <f>VLOOKUP(D1262, Products!A$2:F$61, 6, FALSE)</f>
        <v>1</v>
      </c>
      <c r="N1262" t="str">
        <f>VLOOKUP(D1262, Products!A$2:C$61, 3, FALSE)</f>
        <v>Electronics</v>
      </c>
      <c r="O1262" t="str">
        <f>VLOOKUP(C1262, Customers!A$2:E$301, 5, FALSE)</f>
        <v>Retail</v>
      </c>
      <c r="P1262">
        <f>VLOOKUP(C1262, Customers!A$2:C$301, 3, FALSE)</f>
        <v>49</v>
      </c>
      <c r="Q1262" t="str">
        <f>VLOOKUP(E1262, Sales_Reps!A$2:C$31, 3, FALSE)</f>
        <v>North</v>
      </c>
      <c r="R1262">
        <f>VLOOKUP(D1262, Products!A$2:D$61, 4, FALSE)</f>
        <v>2865</v>
      </c>
    </row>
    <row r="1263" spans="1:18" x14ac:dyDescent="0.3">
      <c r="A1263" s="13" t="s">
        <v>1748</v>
      </c>
      <c r="B1263" s="14">
        <v>45407</v>
      </c>
      <c r="C1263" s="13" t="s">
        <v>457</v>
      </c>
      <c r="D1263" s="13" t="s">
        <v>203</v>
      </c>
      <c r="E1263" s="13" t="s">
        <v>238</v>
      </c>
      <c r="F1263" s="15">
        <v>3</v>
      </c>
      <c r="G1263" s="15">
        <v>660</v>
      </c>
      <c r="H1263" s="15">
        <v>3.1</v>
      </c>
      <c r="I1263" s="15">
        <v>1918.62</v>
      </c>
      <c r="J1263" s="13" t="s">
        <v>87</v>
      </c>
      <c r="K1263" s="13" t="s">
        <v>88</v>
      </c>
      <c r="L1263">
        <f>IF(COUNTIF(A$2:A1263, A1263)=1, IF(COUNTIF(A$2:A$2001, A1263)&gt;1, 1, 0), 0)</f>
        <v>0</v>
      </c>
      <c r="M1263" t="b">
        <f>VLOOKUP(D1263, Products!A$2:F$61, 6, FALSE)</f>
        <v>1</v>
      </c>
      <c r="N1263" t="str">
        <f>VLOOKUP(D1263, Products!A$2:C$61, 3, FALSE)</f>
        <v>Home</v>
      </c>
      <c r="O1263" t="str">
        <f>VLOOKUP(C1263, Customers!A$2:E$301, 5, FALSE)</f>
        <v>Retail</v>
      </c>
      <c r="P1263">
        <f>VLOOKUP(C1263, Customers!A$2:C$301, 3, FALSE)</f>
        <v>29</v>
      </c>
      <c r="Q1263" t="str">
        <f>VLOOKUP(E1263, Sales_Reps!A$2:C$31, 3, FALSE)</f>
        <v>East</v>
      </c>
      <c r="R1263">
        <f>VLOOKUP(D1263, Products!A$2:D$61, 4, FALSE)</f>
        <v>329</v>
      </c>
    </row>
    <row r="1264" spans="1:18" x14ac:dyDescent="0.3">
      <c r="A1264" s="13" t="s">
        <v>1749</v>
      </c>
      <c r="B1264" s="14">
        <v>45357</v>
      </c>
      <c r="C1264" s="13" t="s">
        <v>1231</v>
      </c>
      <c r="D1264" s="13" t="s">
        <v>138</v>
      </c>
      <c r="E1264" s="13" t="s">
        <v>285</v>
      </c>
      <c r="F1264" s="15">
        <v>7</v>
      </c>
      <c r="G1264" s="15">
        <v>2600</v>
      </c>
      <c r="H1264" s="15">
        <v>15.4</v>
      </c>
      <c r="I1264" s="15">
        <v>15397.2</v>
      </c>
      <c r="J1264" s="13" t="s">
        <v>87</v>
      </c>
      <c r="K1264" s="13" t="s">
        <v>88</v>
      </c>
      <c r="L1264">
        <f>IF(COUNTIF(A$2:A1264, A1264)=1, IF(COUNTIF(A$2:A$2001, A1264)&gt;1, 1, 0), 0)</f>
        <v>0</v>
      </c>
      <c r="M1264" t="b">
        <f>VLOOKUP(D1264, Products!A$2:F$61, 6, FALSE)</f>
        <v>1</v>
      </c>
      <c r="N1264" t="str">
        <f>VLOOKUP(D1264, Products!A$2:C$61, 3, FALSE)</f>
        <v>Electronics</v>
      </c>
      <c r="O1264" t="str">
        <f>VLOOKUP(C1264, Customers!A$2:E$301, 5, FALSE)</f>
        <v>Retail</v>
      </c>
      <c r="P1264">
        <f>VLOOKUP(C1264, Customers!A$2:C$301, 3, FALSE)</f>
        <v>42</v>
      </c>
      <c r="Q1264" t="str">
        <f>VLOOKUP(E1264, Sales_Reps!A$2:C$31, 3, FALSE)</f>
        <v>East</v>
      </c>
      <c r="R1264">
        <f>VLOOKUP(D1264, Products!A$2:D$61, 4, FALSE)</f>
        <v>1052</v>
      </c>
    </row>
    <row r="1265" spans="1:18" x14ac:dyDescent="0.3">
      <c r="A1265" s="13" t="s">
        <v>1750</v>
      </c>
      <c r="B1265" s="14">
        <v>45565</v>
      </c>
      <c r="C1265" s="13" t="s">
        <v>608</v>
      </c>
      <c r="D1265" s="13" t="s">
        <v>203</v>
      </c>
      <c r="E1265" s="13" t="s">
        <v>188</v>
      </c>
      <c r="F1265" s="15">
        <v>9</v>
      </c>
      <c r="G1265" s="15">
        <v>660</v>
      </c>
      <c r="H1265" s="15">
        <v>23.7</v>
      </c>
      <c r="I1265" s="15">
        <v>4532.22</v>
      </c>
      <c r="J1265" s="13" t="s">
        <v>87</v>
      </c>
      <c r="K1265" s="13" t="s">
        <v>88</v>
      </c>
      <c r="L1265">
        <f>IF(COUNTIF(A$2:A1265, A1265)=1, IF(COUNTIF(A$2:A$2001, A1265)&gt;1, 1, 0), 0)</f>
        <v>0</v>
      </c>
      <c r="M1265" t="b">
        <f>VLOOKUP(D1265, Products!A$2:F$61, 6, FALSE)</f>
        <v>1</v>
      </c>
      <c r="N1265" t="str">
        <f>VLOOKUP(D1265, Products!A$2:C$61, 3, FALSE)</f>
        <v>Home</v>
      </c>
      <c r="O1265" t="str">
        <f>VLOOKUP(C1265, Customers!A$2:E$301, 5, FALSE)</f>
        <v>Corporate</v>
      </c>
      <c r="P1265">
        <f>VLOOKUP(C1265, Customers!A$2:C$301, 3, FALSE)</f>
        <v>40</v>
      </c>
      <c r="Q1265" t="str">
        <f>VLOOKUP(E1265, Sales_Reps!A$2:C$31, 3, FALSE)</f>
        <v>South</v>
      </c>
      <c r="R1265">
        <f>VLOOKUP(D1265, Products!A$2:D$61, 4, FALSE)</f>
        <v>329</v>
      </c>
    </row>
    <row r="1266" spans="1:18" x14ac:dyDescent="0.3">
      <c r="A1266" s="13" t="s">
        <v>1751</v>
      </c>
      <c r="B1266" s="14">
        <v>45395</v>
      </c>
      <c r="C1266" s="13" t="s">
        <v>258</v>
      </c>
      <c r="D1266" s="13" t="s">
        <v>367</v>
      </c>
      <c r="E1266" s="13" t="s">
        <v>158</v>
      </c>
      <c r="F1266" s="15">
        <v>3</v>
      </c>
      <c r="G1266" s="15">
        <v>2380</v>
      </c>
      <c r="H1266" s="15">
        <v>19.5</v>
      </c>
      <c r="I1266" s="15">
        <v>5747.7</v>
      </c>
      <c r="J1266" s="13" t="s">
        <v>140</v>
      </c>
      <c r="K1266" s="13" t="s">
        <v>99</v>
      </c>
      <c r="L1266">
        <f>IF(COUNTIF(A$2:A1266, A1266)=1, IF(COUNTIF(A$2:A$2001, A1266)&gt;1, 1, 0), 0)</f>
        <v>0</v>
      </c>
      <c r="M1266" t="b">
        <f>VLOOKUP(D1266, Products!A$2:F$61, 6, FALSE)</f>
        <v>1</v>
      </c>
      <c r="N1266" t="str">
        <f>VLOOKUP(D1266, Products!A$2:C$61, 3, FALSE)</f>
        <v>Grocery</v>
      </c>
      <c r="O1266" t="str">
        <f>VLOOKUP(C1266, Customers!A$2:E$301, 5, FALSE)</f>
        <v>SMB</v>
      </c>
      <c r="P1266">
        <f>VLOOKUP(C1266, Customers!A$2:C$301, 3, FALSE)</f>
        <v>55</v>
      </c>
      <c r="Q1266" t="str">
        <f>VLOOKUP(E1266, Sales_Reps!A$2:C$31, 3, FALSE)</f>
        <v>East</v>
      </c>
      <c r="R1266">
        <f>VLOOKUP(D1266, Products!A$2:D$61, 4, FALSE)</f>
        <v>1182</v>
      </c>
    </row>
    <row r="1267" spans="1:18" x14ac:dyDescent="0.3">
      <c r="A1267" s="13" t="s">
        <v>1752</v>
      </c>
      <c r="B1267" s="14">
        <v>45624</v>
      </c>
      <c r="C1267" s="13" t="s">
        <v>328</v>
      </c>
      <c r="D1267" s="13" t="s">
        <v>176</v>
      </c>
      <c r="E1267" s="13" t="s">
        <v>132</v>
      </c>
      <c r="F1267" s="15">
        <v>9</v>
      </c>
      <c r="G1267" s="15">
        <v>1650</v>
      </c>
      <c r="H1267" s="15">
        <v>2.5</v>
      </c>
      <c r="I1267" s="15">
        <v>14478.75</v>
      </c>
      <c r="J1267" s="13" t="s">
        <v>87</v>
      </c>
      <c r="K1267" s="13" t="s">
        <v>94</v>
      </c>
      <c r="L1267">
        <f>IF(COUNTIF(A$2:A1267, A1267)=1, IF(COUNTIF(A$2:A$2001, A1267)&gt;1, 1, 0), 0)</f>
        <v>0</v>
      </c>
      <c r="M1267" t="b">
        <f>VLOOKUP(D1267, Products!A$2:F$61, 6, FALSE)</f>
        <v>1</v>
      </c>
      <c r="N1267" t="str">
        <f>VLOOKUP(D1267, Products!A$2:C$61, 3, FALSE)</f>
        <v>Beauty</v>
      </c>
      <c r="O1267" t="str">
        <f>VLOOKUP(C1267, Customers!A$2:E$301, 5, FALSE)</f>
        <v>Retail</v>
      </c>
      <c r="P1267">
        <f>VLOOKUP(C1267, Customers!A$2:C$301, 3, FALSE)</f>
        <v>28</v>
      </c>
      <c r="Q1267" t="str">
        <f>VLOOKUP(E1267, Sales_Reps!A$2:C$31, 3, FALSE)</f>
        <v>South</v>
      </c>
      <c r="R1267">
        <f>VLOOKUP(D1267, Products!A$2:D$61, 4, FALSE)</f>
        <v>1222</v>
      </c>
    </row>
    <row r="1268" spans="1:18" x14ac:dyDescent="0.3">
      <c r="A1268" s="13" t="s">
        <v>1753</v>
      </c>
      <c r="B1268" s="14">
        <v>45650</v>
      </c>
      <c r="C1268" s="13" t="s">
        <v>1754</v>
      </c>
      <c r="D1268" s="13" t="s">
        <v>135</v>
      </c>
      <c r="E1268" s="13" t="s">
        <v>103</v>
      </c>
      <c r="F1268" s="15">
        <v>8</v>
      </c>
      <c r="G1268" s="15">
        <v>2640</v>
      </c>
      <c r="H1268" s="15">
        <v>24.4</v>
      </c>
      <c r="I1268" s="15">
        <v>15966.72</v>
      </c>
      <c r="J1268" s="13" t="s">
        <v>87</v>
      </c>
      <c r="K1268" s="13" t="s">
        <v>112</v>
      </c>
      <c r="L1268">
        <f>IF(COUNTIF(A$2:A1268, A1268)=1, IF(COUNTIF(A$2:A$2001, A1268)&gt;1, 1, 0), 0)</f>
        <v>0</v>
      </c>
      <c r="M1268" t="b">
        <f>VLOOKUP(D1268, Products!A$2:F$61, 6, FALSE)</f>
        <v>1</v>
      </c>
      <c r="N1268" t="str">
        <f>VLOOKUP(D1268, Products!A$2:C$61, 3, FALSE)</f>
        <v>Electronics</v>
      </c>
      <c r="O1268" t="e">
        <f>VLOOKUP(C1268, Customers!A$2:E$301, 5, FALSE)</f>
        <v>#N/A</v>
      </c>
      <c r="P1268" t="e">
        <f>VLOOKUP(C1268, Customers!A$2:C$301, 3, FALSE)</f>
        <v>#N/A</v>
      </c>
      <c r="Q1268" t="str">
        <f>VLOOKUP(E1268, Sales_Reps!A$2:C$31, 3, FALSE)</f>
        <v>North</v>
      </c>
      <c r="R1268">
        <f>VLOOKUP(D1268, Products!A$2:D$61, 4, FALSE)</f>
        <v>1149</v>
      </c>
    </row>
    <row r="1269" spans="1:18" x14ac:dyDescent="0.3">
      <c r="A1269" s="13" t="s">
        <v>1755</v>
      </c>
      <c r="B1269" s="14">
        <v>45370</v>
      </c>
      <c r="C1269" s="13" t="s">
        <v>597</v>
      </c>
      <c r="D1269" s="13" t="s">
        <v>367</v>
      </c>
      <c r="E1269" s="13" t="s">
        <v>252</v>
      </c>
      <c r="F1269" s="15">
        <v>8</v>
      </c>
      <c r="G1269" s="15">
        <v>2380</v>
      </c>
      <c r="H1269" s="15">
        <v>24.2</v>
      </c>
      <c r="I1269" s="15">
        <v>14432.32</v>
      </c>
      <c r="J1269" s="13" t="s">
        <v>87</v>
      </c>
      <c r="K1269" s="13" t="s">
        <v>112</v>
      </c>
      <c r="L1269">
        <f>IF(COUNTIF(A$2:A1269, A1269)=1, IF(COUNTIF(A$2:A$2001, A1269)&gt;1, 1, 0), 0)</f>
        <v>0</v>
      </c>
      <c r="M1269" t="b">
        <f>VLOOKUP(D1269, Products!A$2:F$61, 6, FALSE)</f>
        <v>1</v>
      </c>
      <c r="N1269" t="str">
        <f>VLOOKUP(D1269, Products!A$2:C$61, 3, FALSE)</f>
        <v>Grocery</v>
      </c>
      <c r="O1269" t="str">
        <f>VLOOKUP(C1269, Customers!A$2:E$301, 5, FALSE)</f>
        <v>Retail</v>
      </c>
      <c r="P1269">
        <f>VLOOKUP(C1269, Customers!A$2:C$301, 3, FALSE)</f>
        <v>39</v>
      </c>
      <c r="Q1269" t="str">
        <f>VLOOKUP(E1269, Sales_Reps!A$2:C$31, 3, FALSE)</f>
        <v>South</v>
      </c>
      <c r="R1269">
        <f>VLOOKUP(D1269, Products!A$2:D$61, 4, FALSE)</f>
        <v>1182</v>
      </c>
    </row>
    <row r="1270" spans="1:18" x14ac:dyDescent="0.3">
      <c r="A1270" s="13" t="s">
        <v>1756</v>
      </c>
      <c r="B1270" s="14">
        <v>45373</v>
      </c>
      <c r="C1270" s="13" t="s">
        <v>258</v>
      </c>
      <c r="D1270" s="13" t="s">
        <v>338</v>
      </c>
      <c r="E1270" s="13" t="s">
        <v>86</v>
      </c>
      <c r="F1270" s="15">
        <v>10</v>
      </c>
      <c r="G1270" s="15">
        <v>2210</v>
      </c>
      <c r="H1270" s="15">
        <v>3.6</v>
      </c>
      <c r="I1270" s="15">
        <v>21304.400000000001</v>
      </c>
      <c r="J1270" s="13" t="s">
        <v>87</v>
      </c>
      <c r="K1270" s="13" t="s">
        <v>99</v>
      </c>
      <c r="L1270">
        <f>IF(COUNTIF(A$2:A1270, A1270)=1, IF(COUNTIF(A$2:A$2001, A1270)&gt;1, 1, 0), 0)</f>
        <v>0</v>
      </c>
      <c r="M1270" t="b">
        <f>VLOOKUP(D1270, Products!A$2:F$61, 6, FALSE)</f>
        <v>1</v>
      </c>
      <c r="N1270" t="str">
        <f>VLOOKUP(D1270, Products!A$2:C$61, 3, FALSE)</f>
        <v>Grocery</v>
      </c>
      <c r="O1270" t="str">
        <f>VLOOKUP(C1270, Customers!A$2:E$301, 5, FALSE)</f>
        <v>SMB</v>
      </c>
      <c r="P1270">
        <f>VLOOKUP(C1270, Customers!A$2:C$301, 3, FALSE)</f>
        <v>55</v>
      </c>
      <c r="Q1270" t="str">
        <f>VLOOKUP(E1270, Sales_Reps!A$2:C$31, 3, FALSE)</f>
        <v>North</v>
      </c>
      <c r="R1270">
        <f>VLOOKUP(D1270, Products!A$2:D$61, 4, FALSE)</f>
        <v>1010</v>
      </c>
    </row>
    <row r="1271" spans="1:18" x14ac:dyDescent="0.3">
      <c r="A1271" s="13" t="s">
        <v>1757</v>
      </c>
      <c r="B1271" s="14">
        <v>45391</v>
      </c>
      <c r="C1271" s="13" t="s">
        <v>835</v>
      </c>
      <c r="D1271" s="13" t="s">
        <v>241</v>
      </c>
      <c r="E1271" s="13" t="s">
        <v>303</v>
      </c>
      <c r="F1271" s="15">
        <v>9</v>
      </c>
      <c r="G1271" s="15">
        <v>6080</v>
      </c>
      <c r="H1271" s="15">
        <v>17.2</v>
      </c>
      <c r="I1271" s="15">
        <v>45308.160000000003</v>
      </c>
      <c r="J1271" s="13" t="s">
        <v>93</v>
      </c>
      <c r="K1271" s="13" t="s">
        <v>117</v>
      </c>
      <c r="L1271">
        <f>IF(COUNTIF(A$2:A1271, A1271)=1, IF(COUNTIF(A$2:A$2001, A1271)&gt;1, 1, 0), 0)</f>
        <v>0</v>
      </c>
      <c r="M1271" t="b">
        <f>VLOOKUP(D1271, Products!A$2:F$61, 6, FALSE)</f>
        <v>1</v>
      </c>
      <c r="N1271" t="str">
        <f>VLOOKUP(D1271, Products!A$2:C$61, 3, FALSE)</f>
        <v>Beauty</v>
      </c>
      <c r="O1271" t="str">
        <f>VLOOKUP(C1271, Customers!A$2:E$301, 5, FALSE)</f>
        <v>Retail</v>
      </c>
      <c r="P1271">
        <f>VLOOKUP(C1271, Customers!A$2:C$301, 3, FALSE)</f>
        <v>52</v>
      </c>
      <c r="Q1271" t="str">
        <f>VLOOKUP(E1271, Sales_Reps!A$2:C$31, 3, FALSE)</f>
        <v>East</v>
      </c>
      <c r="R1271">
        <f>VLOOKUP(D1271, Products!A$2:D$61, 4, FALSE)</f>
        <v>2617</v>
      </c>
    </row>
    <row r="1272" spans="1:18" x14ac:dyDescent="0.3">
      <c r="A1272" s="13" t="s">
        <v>1758</v>
      </c>
      <c r="B1272" s="14">
        <v>45332</v>
      </c>
      <c r="C1272" s="13" t="s">
        <v>697</v>
      </c>
      <c r="D1272" s="13" t="s">
        <v>182</v>
      </c>
      <c r="E1272" s="13" t="s">
        <v>285</v>
      </c>
      <c r="F1272" s="15">
        <v>8</v>
      </c>
      <c r="G1272" s="15">
        <v>1010</v>
      </c>
      <c r="H1272" s="15">
        <v>12.3</v>
      </c>
      <c r="I1272" s="15">
        <v>7086.16</v>
      </c>
      <c r="J1272" s="13" t="s">
        <v>87</v>
      </c>
      <c r="K1272" s="13" t="s">
        <v>133</v>
      </c>
      <c r="L1272">
        <f>IF(COUNTIF(A$2:A1272, A1272)=1, IF(COUNTIF(A$2:A$2001, A1272)&gt;1, 1, 0), 0)</f>
        <v>0</v>
      </c>
      <c r="M1272" t="b">
        <f>VLOOKUP(D1272, Products!A$2:F$61, 6, FALSE)</f>
        <v>1</v>
      </c>
      <c r="N1272" t="str">
        <f>VLOOKUP(D1272, Products!A$2:C$61, 3, FALSE)</f>
        <v>Sports</v>
      </c>
      <c r="O1272" t="str">
        <f>VLOOKUP(C1272, Customers!A$2:E$301, 5, FALSE)</f>
        <v>Retail</v>
      </c>
      <c r="P1272">
        <f>VLOOKUP(C1272, Customers!A$2:C$301, 3, FALSE)</f>
        <v>65</v>
      </c>
      <c r="Q1272" t="str">
        <f>VLOOKUP(E1272, Sales_Reps!A$2:C$31, 3, FALSE)</f>
        <v>East</v>
      </c>
      <c r="R1272">
        <f>VLOOKUP(D1272, Products!A$2:D$61, 4, FALSE)</f>
        <v>516</v>
      </c>
    </row>
    <row r="1273" spans="1:18" x14ac:dyDescent="0.3">
      <c r="A1273" s="13" t="s">
        <v>1759</v>
      </c>
      <c r="B1273" s="14">
        <v>45582</v>
      </c>
      <c r="C1273" s="13" t="s">
        <v>948</v>
      </c>
      <c r="D1273" s="13" t="s">
        <v>102</v>
      </c>
      <c r="E1273" s="13" t="s">
        <v>273</v>
      </c>
      <c r="F1273" s="15">
        <v>8</v>
      </c>
      <c r="G1273" s="15">
        <v>3660</v>
      </c>
      <c r="H1273" s="15">
        <v>8.4</v>
      </c>
      <c r="I1273" s="15">
        <v>26820.48</v>
      </c>
      <c r="J1273" s="13" t="s">
        <v>87</v>
      </c>
      <c r="K1273" s="13" t="s">
        <v>88</v>
      </c>
      <c r="L1273">
        <f>IF(COUNTIF(A$2:A1273, A1273)=1, IF(COUNTIF(A$2:A$2001, A1273)&gt;1, 1, 0), 0)</f>
        <v>0</v>
      </c>
      <c r="M1273" t="b">
        <f>VLOOKUP(D1273, Products!A$2:F$61, 6, FALSE)</f>
        <v>0</v>
      </c>
      <c r="N1273" t="str">
        <f>VLOOKUP(D1273, Products!A$2:C$61, 3, FALSE)</f>
        <v>Grocery</v>
      </c>
      <c r="O1273" t="str">
        <f>VLOOKUP(C1273, Customers!A$2:E$301, 5, FALSE)</f>
        <v>Retail</v>
      </c>
      <c r="P1273">
        <f>VLOOKUP(C1273, Customers!A$2:C$301, 3, FALSE)</f>
        <v>65</v>
      </c>
      <c r="Q1273" t="str">
        <f>VLOOKUP(E1273, Sales_Reps!A$2:C$31, 3, FALSE)</f>
        <v>South</v>
      </c>
      <c r="R1273">
        <f>VLOOKUP(D1273, Products!A$2:D$61, 4, FALSE)</f>
        <v>2214</v>
      </c>
    </row>
    <row r="1274" spans="1:18" x14ac:dyDescent="0.3">
      <c r="A1274" s="13" t="s">
        <v>1760</v>
      </c>
      <c r="B1274" s="14">
        <v>45443</v>
      </c>
      <c r="C1274" s="13" t="s">
        <v>1016</v>
      </c>
      <c r="D1274" s="13" t="s">
        <v>270</v>
      </c>
      <c r="E1274" s="13" t="s">
        <v>229</v>
      </c>
      <c r="F1274" s="15">
        <v>8</v>
      </c>
      <c r="G1274" s="15">
        <v>4610</v>
      </c>
      <c r="H1274" s="15">
        <v>15.4</v>
      </c>
      <c r="I1274" s="15">
        <v>31200.48</v>
      </c>
      <c r="J1274" s="13" t="s">
        <v>140</v>
      </c>
      <c r="K1274" s="13" t="s">
        <v>117</v>
      </c>
      <c r="L1274">
        <f>IF(COUNTIF(A$2:A1274, A1274)=1, IF(COUNTIF(A$2:A$2001, A1274)&gt;1, 1, 0), 0)</f>
        <v>0</v>
      </c>
      <c r="M1274" t="b">
        <f>VLOOKUP(D1274, Products!A$2:F$61, 6, FALSE)</f>
        <v>1</v>
      </c>
      <c r="N1274" t="str">
        <f>VLOOKUP(D1274, Products!A$2:C$61, 3, FALSE)</f>
        <v>Home</v>
      </c>
      <c r="O1274" t="str">
        <f>VLOOKUP(C1274, Customers!A$2:E$301, 5, FALSE)</f>
        <v>SMB</v>
      </c>
      <c r="P1274">
        <f>VLOOKUP(C1274, Customers!A$2:C$301, 3, FALSE)</f>
        <v>49</v>
      </c>
      <c r="Q1274" t="str">
        <f>VLOOKUP(E1274, Sales_Reps!A$2:C$31, 3, FALSE)</f>
        <v>West</v>
      </c>
      <c r="R1274">
        <f>VLOOKUP(D1274, Products!A$2:D$61, 4, FALSE)</f>
        <v>1850</v>
      </c>
    </row>
    <row r="1275" spans="1:18" x14ac:dyDescent="0.3">
      <c r="A1275" s="13" t="s">
        <v>1761</v>
      </c>
      <c r="B1275" s="14">
        <v>45525</v>
      </c>
      <c r="C1275" s="13" t="s">
        <v>1016</v>
      </c>
      <c r="D1275" s="13" t="s">
        <v>191</v>
      </c>
      <c r="E1275" s="13" t="s">
        <v>103</v>
      </c>
      <c r="F1275" s="15">
        <v>9</v>
      </c>
      <c r="G1275" s="15">
        <v>5100</v>
      </c>
      <c r="H1275" s="15">
        <v>25.2</v>
      </c>
      <c r="I1275" s="15">
        <v>34333.199999999997</v>
      </c>
      <c r="J1275" s="13" t="s">
        <v>140</v>
      </c>
      <c r="K1275" s="13" t="s">
        <v>117</v>
      </c>
      <c r="L1275">
        <f>IF(COUNTIF(A$2:A1275, A1275)=1, IF(COUNTIF(A$2:A$2001, A1275)&gt;1, 1, 0), 0)</f>
        <v>0</v>
      </c>
      <c r="M1275" t="b">
        <f>VLOOKUP(D1275, Products!A$2:F$61, 6, FALSE)</f>
        <v>1</v>
      </c>
      <c r="N1275" t="str">
        <f>VLOOKUP(D1275, Products!A$2:C$61, 3, FALSE)</f>
        <v>Beauty</v>
      </c>
      <c r="O1275" t="str">
        <f>VLOOKUP(C1275, Customers!A$2:E$301, 5, FALSE)</f>
        <v>SMB</v>
      </c>
      <c r="P1275">
        <f>VLOOKUP(C1275, Customers!A$2:C$301, 3, FALSE)</f>
        <v>49</v>
      </c>
      <c r="Q1275" t="str">
        <f>VLOOKUP(E1275, Sales_Reps!A$2:C$31, 3, FALSE)</f>
        <v>North</v>
      </c>
      <c r="R1275">
        <f>VLOOKUP(D1275, Products!A$2:D$61, 4, FALSE)</f>
        <v>2237</v>
      </c>
    </row>
    <row r="1276" spans="1:18" x14ac:dyDescent="0.3">
      <c r="A1276" s="13" t="s">
        <v>1762</v>
      </c>
      <c r="B1276" s="14">
        <v>45377</v>
      </c>
      <c r="C1276" s="13" t="s">
        <v>403</v>
      </c>
      <c r="D1276" s="13" t="s">
        <v>276</v>
      </c>
      <c r="E1276" s="13" t="s">
        <v>121</v>
      </c>
      <c r="F1276" s="15">
        <v>5</v>
      </c>
      <c r="G1276" s="15">
        <v>3020</v>
      </c>
      <c r="H1276" s="15">
        <v>23</v>
      </c>
      <c r="I1276" s="15">
        <v>11627</v>
      </c>
      <c r="J1276" s="13" t="s">
        <v>87</v>
      </c>
      <c r="K1276" s="13" t="s">
        <v>117</v>
      </c>
      <c r="L1276">
        <f>IF(COUNTIF(A$2:A1276, A1276)=1, IF(COUNTIF(A$2:A$2001, A1276)&gt;1, 1, 0), 0)</f>
        <v>0</v>
      </c>
      <c r="M1276" t="b">
        <f>VLOOKUP(D1276, Products!A$2:F$61, 6, FALSE)</f>
        <v>1</v>
      </c>
      <c r="N1276" t="str">
        <f>VLOOKUP(D1276, Products!A$2:C$61, 3, FALSE)</f>
        <v>Beauty</v>
      </c>
      <c r="O1276" t="str">
        <f>VLOOKUP(C1276, Customers!A$2:E$301, 5, FALSE)</f>
        <v>Retail</v>
      </c>
      <c r="P1276">
        <f>VLOOKUP(C1276, Customers!A$2:C$301, 3, FALSE)</f>
        <v>59</v>
      </c>
      <c r="Q1276" t="str">
        <f>VLOOKUP(E1276, Sales_Reps!A$2:C$31, 3, FALSE)</f>
        <v>East</v>
      </c>
      <c r="R1276">
        <f>VLOOKUP(D1276, Products!A$2:D$61, 4, FALSE)</f>
        <v>1626</v>
      </c>
    </row>
    <row r="1277" spans="1:18" x14ac:dyDescent="0.3">
      <c r="A1277" s="13" t="s">
        <v>1763</v>
      </c>
      <c r="B1277" s="14">
        <v>45413</v>
      </c>
      <c r="C1277" s="13" t="s">
        <v>606</v>
      </c>
      <c r="D1277" s="13" t="s">
        <v>461</v>
      </c>
      <c r="E1277" s="13" t="s">
        <v>188</v>
      </c>
      <c r="F1277" s="15">
        <v>8</v>
      </c>
      <c r="G1277" s="15">
        <v>3780</v>
      </c>
      <c r="H1277" s="15">
        <v>17.100000000000001</v>
      </c>
      <c r="I1277" s="15">
        <v>25068.959999999999</v>
      </c>
      <c r="J1277" s="13" t="s">
        <v>87</v>
      </c>
      <c r="K1277" s="13" t="s">
        <v>112</v>
      </c>
      <c r="L1277">
        <f>IF(COUNTIF(A$2:A1277, A1277)=1, IF(COUNTIF(A$2:A$2001, A1277)&gt;1, 1, 0), 0)</f>
        <v>0</v>
      </c>
      <c r="M1277" t="b">
        <f>VLOOKUP(D1277, Products!A$2:F$61, 6, FALSE)</f>
        <v>1</v>
      </c>
      <c r="N1277" t="str">
        <f>VLOOKUP(D1277, Products!A$2:C$61, 3, FALSE)</f>
        <v>Sports</v>
      </c>
      <c r="O1277" t="str">
        <f>VLOOKUP(C1277, Customers!A$2:E$301, 5, FALSE)</f>
        <v>Retail</v>
      </c>
      <c r="P1277">
        <f>VLOOKUP(C1277, Customers!A$2:C$301, 3, FALSE)</f>
        <v>52</v>
      </c>
      <c r="Q1277" t="str">
        <f>VLOOKUP(E1277, Sales_Reps!A$2:C$31, 3, FALSE)</f>
        <v>South</v>
      </c>
      <c r="R1277">
        <f>VLOOKUP(D1277, Products!A$2:D$61, 4, FALSE)</f>
        <v>1860</v>
      </c>
    </row>
    <row r="1278" spans="1:18" x14ac:dyDescent="0.3">
      <c r="A1278" s="13" t="s">
        <v>1764</v>
      </c>
      <c r="B1278" s="14">
        <v>45437</v>
      </c>
      <c r="C1278" s="13" t="s">
        <v>197</v>
      </c>
      <c r="D1278" s="13" t="s">
        <v>338</v>
      </c>
      <c r="E1278" s="13" t="s">
        <v>215</v>
      </c>
      <c r="F1278" s="15">
        <v>10</v>
      </c>
      <c r="G1278" s="15">
        <v>2210</v>
      </c>
      <c r="H1278" s="15">
        <v>8.5</v>
      </c>
      <c r="I1278" s="15">
        <v>20221.5</v>
      </c>
      <c r="J1278" s="13" t="s">
        <v>87</v>
      </c>
      <c r="K1278" s="13" t="s">
        <v>88</v>
      </c>
      <c r="L1278">
        <f>IF(COUNTIF(A$2:A1278, A1278)=1, IF(COUNTIF(A$2:A$2001, A1278)&gt;1, 1, 0), 0)</f>
        <v>0</v>
      </c>
      <c r="M1278" t="b">
        <f>VLOOKUP(D1278, Products!A$2:F$61, 6, FALSE)</f>
        <v>1</v>
      </c>
      <c r="N1278" t="str">
        <f>VLOOKUP(D1278, Products!A$2:C$61, 3, FALSE)</f>
        <v>Grocery</v>
      </c>
      <c r="O1278" t="str">
        <f>VLOOKUP(C1278, Customers!A$2:E$301, 5, FALSE)</f>
        <v>Corporate</v>
      </c>
      <c r="P1278">
        <f>VLOOKUP(C1278, Customers!A$2:C$301, 3, FALSE)</f>
        <v>47</v>
      </c>
      <c r="Q1278" t="str">
        <f>VLOOKUP(E1278, Sales_Reps!A$2:C$31, 3, FALSE)</f>
        <v>North</v>
      </c>
      <c r="R1278">
        <f>VLOOKUP(D1278, Products!A$2:D$61, 4, FALSE)</f>
        <v>1010</v>
      </c>
    </row>
    <row r="1279" spans="1:18" x14ac:dyDescent="0.3">
      <c r="A1279" s="13" t="s">
        <v>1765</v>
      </c>
      <c r="B1279" s="14">
        <v>45604</v>
      </c>
      <c r="C1279" s="13" t="s">
        <v>1231</v>
      </c>
      <c r="D1279" s="13" t="s">
        <v>338</v>
      </c>
      <c r="E1279" s="13" t="s">
        <v>188</v>
      </c>
      <c r="F1279" s="15">
        <v>4</v>
      </c>
      <c r="G1279" s="15">
        <v>2210</v>
      </c>
      <c r="H1279" s="15">
        <v>3.1</v>
      </c>
      <c r="I1279" s="15">
        <v>8565.9599999999991</v>
      </c>
      <c r="J1279" s="13" t="s">
        <v>87</v>
      </c>
      <c r="K1279" s="13" t="s">
        <v>88</v>
      </c>
      <c r="L1279">
        <f>IF(COUNTIF(A$2:A1279, A1279)=1, IF(COUNTIF(A$2:A$2001, A1279)&gt;1, 1, 0), 0)</f>
        <v>0</v>
      </c>
      <c r="M1279" t="b">
        <f>VLOOKUP(D1279, Products!A$2:F$61, 6, FALSE)</f>
        <v>1</v>
      </c>
      <c r="N1279" t="str">
        <f>VLOOKUP(D1279, Products!A$2:C$61, 3, FALSE)</f>
        <v>Grocery</v>
      </c>
      <c r="O1279" t="str">
        <f>VLOOKUP(C1279, Customers!A$2:E$301, 5, FALSE)</f>
        <v>Retail</v>
      </c>
      <c r="P1279">
        <f>VLOOKUP(C1279, Customers!A$2:C$301, 3, FALSE)</f>
        <v>42</v>
      </c>
      <c r="Q1279" t="str">
        <f>VLOOKUP(E1279, Sales_Reps!A$2:C$31, 3, FALSE)</f>
        <v>South</v>
      </c>
      <c r="R1279">
        <f>VLOOKUP(D1279, Products!A$2:D$61, 4, FALSE)</f>
        <v>1010</v>
      </c>
    </row>
    <row r="1280" spans="1:18" x14ac:dyDescent="0.3">
      <c r="A1280" s="13" t="s">
        <v>1766</v>
      </c>
      <c r="B1280" s="14">
        <v>45540</v>
      </c>
      <c r="C1280" s="13" t="s">
        <v>460</v>
      </c>
      <c r="D1280" s="13" t="s">
        <v>176</v>
      </c>
      <c r="E1280" s="13" t="s">
        <v>188</v>
      </c>
      <c r="F1280" s="15">
        <v>1</v>
      </c>
      <c r="G1280" s="15">
        <v>1650</v>
      </c>
      <c r="H1280" s="15">
        <v>10</v>
      </c>
      <c r="I1280" s="15">
        <v>1485</v>
      </c>
      <c r="J1280" s="13" t="s">
        <v>87</v>
      </c>
      <c r="K1280" s="13" t="s">
        <v>88</v>
      </c>
      <c r="L1280">
        <f>IF(COUNTIF(A$2:A1280, A1280)=1, IF(COUNTIF(A$2:A$2001, A1280)&gt;1, 1, 0), 0)</f>
        <v>0</v>
      </c>
      <c r="M1280" t="b">
        <f>VLOOKUP(D1280, Products!A$2:F$61, 6, FALSE)</f>
        <v>1</v>
      </c>
      <c r="N1280" t="str">
        <f>VLOOKUP(D1280, Products!A$2:C$61, 3, FALSE)</f>
        <v>Beauty</v>
      </c>
      <c r="O1280" t="str">
        <f>VLOOKUP(C1280, Customers!A$2:E$301, 5, FALSE)</f>
        <v>Corporate</v>
      </c>
      <c r="P1280">
        <f>VLOOKUP(C1280, Customers!A$2:C$301, 3, FALSE)</f>
        <v>37</v>
      </c>
      <c r="Q1280" t="str">
        <f>VLOOKUP(E1280, Sales_Reps!A$2:C$31, 3, FALSE)</f>
        <v>South</v>
      </c>
      <c r="R1280">
        <f>VLOOKUP(D1280, Products!A$2:D$61, 4, FALSE)</f>
        <v>1222</v>
      </c>
    </row>
    <row r="1281" spans="1:18" x14ac:dyDescent="0.3">
      <c r="A1281" s="13" t="s">
        <v>1767</v>
      </c>
      <c r="B1281" s="14">
        <v>45597</v>
      </c>
      <c r="C1281" s="13" t="s">
        <v>411</v>
      </c>
      <c r="D1281" s="13" t="s">
        <v>147</v>
      </c>
      <c r="E1281" s="13" t="s">
        <v>92</v>
      </c>
      <c r="F1281" s="15">
        <v>6</v>
      </c>
      <c r="G1281" s="15">
        <v>190</v>
      </c>
      <c r="H1281" s="15">
        <v>3.5</v>
      </c>
      <c r="I1281" s="15">
        <v>1100.0999999999999</v>
      </c>
      <c r="J1281" s="13" t="s">
        <v>140</v>
      </c>
      <c r="K1281" s="13" t="s">
        <v>112</v>
      </c>
      <c r="L1281">
        <f>IF(COUNTIF(A$2:A1281, A1281)=1, IF(COUNTIF(A$2:A$2001, A1281)&gt;1, 1, 0), 0)</f>
        <v>0</v>
      </c>
      <c r="M1281" t="b">
        <f>VLOOKUP(D1281, Products!A$2:F$61, 6, FALSE)</f>
        <v>1</v>
      </c>
      <c r="N1281" t="str">
        <f>VLOOKUP(D1281, Products!A$2:C$61, 3, FALSE)</f>
        <v>Sports</v>
      </c>
      <c r="O1281" t="str">
        <f>VLOOKUP(C1281, Customers!A$2:E$301, 5, FALSE)</f>
        <v>Retail</v>
      </c>
      <c r="P1281">
        <f>VLOOKUP(C1281, Customers!A$2:C$301, 3, FALSE)</f>
        <v>61</v>
      </c>
      <c r="Q1281" t="str">
        <f>VLOOKUP(E1281, Sales_Reps!A$2:C$31, 3, FALSE)</f>
        <v>North</v>
      </c>
      <c r="R1281">
        <f>VLOOKUP(D1281, Products!A$2:D$61, 4, FALSE)</f>
        <v>147</v>
      </c>
    </row>
    <row r="1282" spans="1:18" x14ac:dyDescent="0.3">
      <c r="A1282" s="13" t="s">
        <v>1768</v>
      </c>
      <c r="B1282" s="14">
        <v>45589</v>
      </c>
      <c r="C1282" s="13" t="s">
        <v>394</v>
      </c>
      <c r="D1282" s="13" t="s">
        <v>195</v>
      </c>
      <c r="E1282" s="13" t="s">
        <v>343</v>
      </c>
      <c r="F1282" s="15">
        <v>8</v>
      </c>
      <c r="G1282" s="15">
        <v>2860</v>
      </c>
      <c r="H1282" s="15">
        <v>14.7</v>
      </c>
      <c r="I1282" s="15">
        <v>19516.64</v>
      </c>
      <c r="J1282" s="13" t="s">
        <v>87</v>
      </c>
      <c r="K1282" s="13" t="s">
        <v>117</v>
      </c>
      <c r="L1282">
        <f>IF(COUNTIF(A$2:A1282, A1282)=1, IF(COUNTIF(A$2:A$2001, A1282)&gt;1, 1, 0), 0)</f>
        <v>0</v>
      </c>
      <c r="M1282" t="b">
        <f>VLOOKUP(D1282, Products!A$2:F$61, 6, FALSE)</f>
        <v>1</v>
      </c>
      <c r="N1282" t="str">
        <f>VLOOKUP(D1282, Products!A$2:C$61, 3, FALSE)</f>
        <v>Sports</v>
      </c>
      <c r="O1282" t="str">
        <f>VLOOKUP(C1282, Customers!A$2:E$301, 5, FALSE)</f>
        <v>SMB</v>
      </c>
      <c r="P1282">
        <f>VLOOKUP(C1282, Customers!A$2:C$301, 3, FALSE)</f>
        <v>28</v>
      </c>
      <c r="Q1282" t="str">
        <f>VLOOKUP(E1282, Sales_Reps!A$2:C$31, 3, FALSE)</f>
        <v>West</v>
      </c>
      <c r="R1282">
        <f>VLOOKUP(D1282, Products!A$2:D$61, 4, FALSE)</f>
        <v>2028</v>
      </c>
    </row>
    <row r="1283" spans="1:18" x14ac:dyDescent="0.3">
      <c r="A1283" s="13" t="s">
        <v>1769</v>
      </c>
      <c r="B1283" s="14">
        <v>45448</v>
      </c>
      <c r="C1283" s="13" t="s">
        <v>219</v>
      </c>
      <c r="D1283" s="13" t="s">
        <v>282</v>
      </c>
      <c r="E1283" s="13" t="s">
        <v>170</v>
      </c>
      <c r="F1283" s="15">
        <v>9</v>
      </c>
      <c r="G1283" s="15">
        <v>300</v>
      </c>
      <c r="H1283" s="15">
        <v>19.5</v>
      </c>
      <c r="I1283" s="15">
        <v>2173.5</v>
      </c>
      <c r="J1283" s="13" t="s">
        <v>87</v>
      </c>
      <c r="K1283" s="13" t="s">
        <v>99</v>
      </c>
      <c r="L1283">
        <f>IF(COUNTIF(A$2:A1283, A1283)=1, IF(COUNTIF(A$2:A$2001, A1283)&gt;1, 1, 0), 0)</f>
        <v>0</v>
      </c>
      <c r="M1283" t="b">
        <f>VLOOKUP(D1283, Products!A$2:F$61, 6, FALSE)</f>
        <v>1</v>
      </c>
      <c r="N1283" t="str">
        <f>VLOOKUP(D1283, Products!A$2:C$61, 3, FALSE)</f>
        <v>Electronics</v>
      </c>
      <c r="O1283" t="str">
        <f>VLOOKUP(C1283, Customers!A$2:E$301, 5, FALSE)</f>
        <v>SMB</v>
      </c>
      <c r="P1283">
        <f>VLOOKUP(C1283, Customers!A$2:C$301, 3, FALSE)</f>
        <v>50</v>
      </c>
      <c r="Q1283" t="str">
        <f>VLOOKUP(E1283, Sales_Reps!A$2:C$31, 3, FALSE)</f>
        <v>West</v>
      </c>
      <c r="R1283">
        <f>VLOOKUP(D1283, Products!A$2:D$61, 4, FALSE)</f>
        <v>128</v>
      </c>
    </row>
    <row r="1284" spans="1:18" x14ac:dyDescent="0.3">
      <c r="A1284" s="13" t="s">
        <v>1770</v>
      </c>
      <c r="B1284" s="14">
        <v>45608</v>
      </c>
      <c r="C1284" s="13" t="s">
        <v>970</v>
      </c>
      <c r="D1284" s="13" t="s">
        <v>380</v>
      </c>
      <c r="E1284" s="13" t="s">
        <v>86</v>
      </c>
      <c r="F1284" s="15">
        <v>10</v>
      </c>
      <c r="G1284" s="15">
        <v>960</v>
      </c>
      <c r="H1284" s="15">
        <v>9.6999999999999993</v>
      </c>
      <c r="I1284" s="15">
        <v>8668.7999999999993</v>
      </c>
      <c r="J1284" s="13" t="s">
        <v>87</v>
      </c>
      <c r="K1284" s="13" t="s">
        <v>112</v>
      </c>
      <c r="L1284">
        <f>IF(COUNTIF(A$2:A1284, A1284)=1, IF(COUNTIF(A$2:A$2001, A1284)&gt;1, 1, 0), 0)</f>
        <v>0</v>
      </c>
      <c r="M1284" t="b">
        <f>VLOOKUP(D1284, Products!A$2:F$61, 6, FALSE)</f>
        <v>1</v>
      </c>
      <c r="N1284" t="str">
        <f>VLOOKUP(D1284, Products!A$2:C$61, 3, FALSE)</f>
        <v>Beauty</v>
      </c>
      <c r="O1284" t="str">
        <f>VLOOKUP(C1284, Customers!A$2:E$301, 5, FALSE)</f>
        <v>Retail</v>
      </c>
      <c r="P1284">
        <f>VLOOKUP(C1284, Customers!A$2:C$301, 3, FALSE)</f>
        <v>40</v>
      </c>
      <c r="Q1284" t="str">
        <f>VLOOKUP(E1284, Sales_Reps!A$2:C$31, 3, FALSE)</f>
        <v>North</v>
      </c>
      <c r="R1284">
        <f>VLOOKUP(D1284, Products!A$2:D$61, 4, FALSE)</f>
        <v>675</v>
      </c>
    </row>
    <row r="1285" spans="1:18" x14ac:dyDescent="0.3">
      <c r="A1285" s="13" t="s">
        <v>1771</v>
      </c>
      <c r="B1285" s="14">
        <v>45421</v>
      </c>
      <c r="C1285" s="13" t="s">
        <v>945</v>
      </c>
      <c r="D1285" s="13" t="s">
        <v>91</v>
      </c>
      <c r="E1285" s="13" t="s">
        <v>252</v>
      </c>
      <c r="F1285" s="15">
        <v>5</v>
      </c>
      <c r="G1285" s="15">
        <v>820</v>
      </c>
      <c r="H1285" s="15">
        <v>0.5</v>
      </c>
      <c r="I1285" s="15">
        <v>4079.5</v>
      </c>
      <c r="J1285" s="13" t="s">
        <v>87</v>
      </c>
      <c r="K1285" s="13" t="s">
        <v>88</v>
      </c>
      <c r="L1285">
        <f>IF(COUNTIF(A$2:A1285, A1285)=1, IF(COUNTIF(A$2:A$2001, A1285)&gt;1, 1, 0), 0)</f>
        <v>0</v>
      </c>
      <c r="M1285" t="b">
        <f>VLOOKUP(D1285, Products!A$2:F$61, 6, FALSE)</f>
        <v>1</v>
      </c>
      <c r="N1285" t="str">
        <f>VLOOKUP(D1285, Products!A$2:C$61, 3, FALSE)</f>
        <v>Apparel</v>
      </c>
      <c r="O1285" t="str">
        <f>VLOOKUP(C1285, Customers!A$2:E$301, 5, FALSE)</f>
        <v>Retail</v>
      </c>
      <c r="P1285">
        <f>VLOOKUP(C1285, Customers!A$2:C$301, 3, FALSE)</f>
        <v>54</v>
      </c>
      <c r="Q1285" t="str">
        <f>VLOOKUP(E1285, Sales_Reps!A$2:C$31, 3, FALSE)</f>
        <v>South</v>
      </c>
      <c r="R1285">
        <f>VLOOKUP(D1285, Products!A$2:D$61, 4, FALSE)</f>
        <v>391</v>
      </c>
    </row>
    <row r="1286" spans="1:18" x14ac:dyDescent="0.3">
      <c r="A1286" s="13" t="s">
        <v>1772</v>
      </c>
      <c r="B1286" s="14">
        <v>45383</v>
      </c>
      <c r="C1286" s="13" t="s">
        <v>284</v>
      </c>
      <c r="D1286" s="13" t="s">
        <v>110</v>
      </c>
      <c r="E1286" s="13" t="s">
        <v>139</v>
      </c>
      <c r="F1286" s="15">
        <v>2</v>
      </c>
      <c r="G1286" s="15">
        <v>370</v>
      </c>
      <c r="H1286" s="15">
        <v>10.5</v>
      </c>
      <c r="I1286" s="15">
        <v>662.3</v>
      </c>
      <c r="J1286" s="13" t="s">
        <v>93</v>
      </c>
      <c r="K1286" s="13" t="s">
        <v>94</v>
      </c>
      <c r="L1286">
        <f>IF(COUNTIF(A$2:A1286, A1286)=1, IF(COUNTIF(A$2:A$2001, A1286)&gt;1, 1, 0), 0)</f>
        <v>0</v>
      </c>
      <c r="M1286" t="b">
        <f>VLOOKUP(D1286, Products!A$2:F$61, 6, FALSE)</f>
        <v>1</v>
      </c>
      <c r="N1286" t="str">
        <f>VLOOKUP(D1286, Products!A$2:C$61, 3, FALSE)</f>
        <v>Home</v>
      </c>
      <c r="O1286" t="str">
        <f>VLOOKUP(C1286, Customers!A$2:E$301, 5, FALSE)</f>
        <v>Retail</v>
      </c>
      <c r="P1286">
        <f>VLOOKUP(C1286, Customers!A$2:C$301, 3, FALSE)</f>
        <v>28</v>
      </c>
      <c r="Q1286" t="str">
        <f>VLOOKUP(E1286, Sales_Reps!A$2:C$31, 3, FALSE)</f>
        <v>North</v>
      </c>
      <c r="R1286">
        <f>VLOOKUP(D1286, Products!A$2:D$61, 4, FALSE)</f>
        <v>288</v>
      </c>
    </row>
    <row r="1287" spans="1:18" x14ac:dyDescent="0.3">
      <c r="A1287" s="13" t="s">
        <v>1773</v>
      </c>
      <c r="B1287" s="14">
        <v>45453</v>
      </c>
      <c r="C1287" s="13" t="s">
        <v>686</v>
      </c>
      <c r="D1287" s="13" t="s">
        <v>124</v>
      </c>
      <c r="E1287" s="13" t="s">
        <v>154</v>
      </c>
      <c r="F1287" s="15">
        <v>9</v>
      </c>
      <c r="G1287" s="15">
        <v>5490</v>
      </c>
      <c r="H1287" s="15">
        <v>14.2</v>
      </c>
      <c r="I1287" s="15">
        <v>42393.78</v>
      </c>
      <c r="J1287" s="13" t="s">
        <v>140</v>
      </c>
      <c r="K1287" s="13" t="s">
        <v>112</v>
      </c>
      <c r="L1287">
        <f>IF(COUNTIF(A$2:A1287, A1287)=1, IF(COUNTIF(A$2:A$2001, A1287)&gt;1, 1, 0), 0)</f>
        <v>0</v>
      </c>
      <c r="M1287" t="b">
        <f>VLOOKUP(D1287, Products!A$2:F$61, 6, FALSE)</f>
        <v>1</v>
      </c>
      <c r="N1287" t="str">
        <f>VLOOKUP(D1287, Products!A$2:C$61, 3, FALSE)</f>
        <v>Home</v>
      </c>
      <c r="O1287" t="str">
        <f>VLOOKUP(C1287, Customers!A$2:E$301, 5, FALSE)</f>
        <v>Retail</v>
      </c>
      <c r="P1287">
        <f>VLOOKUP(C1287, Customers!A$2:C$301, 3, FALSE)</f>
        <v>35</v>
      </c>
      <c r="Q1287" t="str">
        <f>VLOOKUP(E1287, Sales_Reps!A$2:C$31, 3, FALSE)</f>
        <v>East</v>
      </c>
      <c r="R1287">
        <f>VLOOKUP(D1287, Products!A$2:D$61, 4, FALSE)</f>
        <v>2549</v>
      </c>
    </row>
    <row r="1288" spans="1:18" x14ac:dyDescent="0.3">
      <c r="A1288" s="13" t="s">
        <v>1774</v>
      </c>
      <c r="B1288" s="14">
        <v>45398</v>
      </c>
      <c r="C1288" s="13" t="s">
        <v>883</v>
      </c>
      <c r="D1288" s="13" t="s">
        <v>110</v>
      </c>
      <c r="E1288" s="13" t="s">
        <v>303</v>
      </c>
      <c r="F1288" s="15">
        <v>3</v>
      </c>
      <c r="G1288" s="15">
        <v>370</v>
      </c>
      <c r="H1288" s="15">
        <v>18.399999999999999</v>
      </c>
      <c r="I1288" s="15">
        <v>905.76</v>
      </c>
      <c r="J1288" s="13" t="s">
        <v>87</v>
      </c>
      <c r="K1288" s="13" t="s">
        <v>133</v>
      </c>
      <c r="L1288">
        <f>IF(COUNTIF(A$2:A1288, A1288)=1, IF(COUNTIF(A$2:A$2001, A1288)&gt;1, 1, 0), 0)</f>
        <v>0</v>
      </c>
      <c r="M1288" t="b">
        <f>VLOOKUP(D1288, Products!A$2:F$61, 6, FALSE)</f>
        <v>1</v>
      </c>
      <c r="N1288" t="str">
        <f>VLOOKUP(D1288, Products!A$2:C$61, 3, FALSE)</f>
        <v>Home</v>
      </c>
      <c r="O1288" t="str">
        <f>VLOOKUP(C1288, Customers!A$2:E$301, 5, FALSE)</f>
        <v>SMB</v>
      </c>
      <c r="P1288">
        <f>VLOOKUP(C1288, Customers!A$2:C$301, 3, FALSE)</f>
        <v>28</v>
      </c>
      <c r="Q1288" t="str">
        <f>VLOOKUP(E1288, Sales_Reps!A$2:C$31, 3, FALSE)</f>
        <v>East</v>
      </c>
      <c r="R1288">
        <f>VLOOKUP(D1288, Products!A$2:D$61, 4, FALSE)</f>
        <v>288</v>
      </c>
    </row>
    <row r="1289" spans="1:18" x14ac:dyDescent="0.3">
      <c r="A1289" s="13" t="s">
        <v>1775</v>
      </c>
      <c r="B1289" s="14">
        <v>45584</v>
      </c>
      <c r="C1289" s="13" t="s">
        <v>595</v>
      </c>
      <c r="D1289" s="13" t="s">
        <v>147</v>
      </c>
      <c r="E1289" s="13" t="s">
        <v>303</v>
      </c>
      <c r="F1289" s="15">
        <v>6</v>
      </c>
      <c r="G1289" s="15">
        <v>190</v>
      </c>
      <c r="H1289" s="15">
        <v>12.9</v>
      </c>
      <c r="I1289" s="15">
        <v>992.94</v>
      </c>
      <c r="J1289" s="13" t="s">
        <v>87</v>
      </c>
      <c r="K1289" s="13" t="s">
        <v>99</v>
      </c>
      <c r="L1289">
        <f>IF(COUNTIF(A$2:A1289, A1289)=1, IF(COUNTIF(A$2:A$2001, A1289)&gt;1, 1, 0), 0)</f>
        <v>0</v>
      </c>
      <c r="M1289" t="b">
        <f>VLOOKUP(D1289, Products!A$2:F$61, 6, FALSE)</f>
        <v>1</v>
      </c>
      <c r="N1289" t="str">
        <f>VLOOKUP(D1289, Products!A$2:C$61, 3, FALSE)</f>
        <v>Sports</v>
      </c>
      <c r="O1289" t="str">
        <f>VLOOKUP(C1289, Customers!A$2:E$301, 5, FALSE)</f>
        <v>SMB</v>
      </c>
      <c r="P1289">
        <f>VLOOKUP(C1289, Customers!A$2:C$301, 3, FALSE)</f>
        <v>48</v>
      </c>
      <c r="Q1289" t="str">
        <f>VLOOKUP(E1289, Sales_Reps!A$2:C$31, 3, FALSE)</f>
        <v>East</v>
      </c>
      <c r="R1289">
        <f>VLOOKUP(D1289, Products!A$2:D$61, 4, FALSE)</f>
        <v>147</v>
      </c>
    </row>
    <row r="1290" spans="1:18" x14ac:dyDescent="0.3">
      <c r="A1290" s="13" t="s">
        <v>1776</v>
      </c>
      <c r="B1290" s="14">
        <v>45397</v>
      </c>
      <c r="C1290" s="13" t="s">
        <v>376</v>
      </c>
      <c r="D1290" s="13" t="s">
        <v>338</v>
      </c>
      <c r="E1290" s="13" t="s">
        <v>154</v>
      </c>
      <c r="F1290" s="15">
        <v>8</v>
      </c>
      <c r="G1290" s="15">
        <v>2210</v>
      </c>
      <c r="H1290" s="15">
        <v>9.8000000000000007</v>
      </c>
      <c r="I1290" s="15">
        <v>15947.36</v>
      </c>
      <c r="J1290" s="13" t="s">
        <v>87</v>
      </c>
      <c r="K1290" s="13" t="s">
        <v>117</v>
      </c>
      <c r="L1290">
        <f>IF(COUNTIF(A$2:A1290, A1290)=1, IF(COUNTIF(A$2:A$2001, A1290)&gt;1, 1, 0), 0)</f>
        <v>0</v>
      </c>
      <c r="M1290" t="b">
        <f>VLOOKUP(D1290, Products!A$2:F$61, 6, FALSE)</f>
        <v>1</v>
      </c>
      <c r="N1290" t="str">
        <f>VLOOKUP(D1290, Products!A$2:C$61, 3, FALSE)</f>
        <v>Grocery</v>
      </c>
      <c r="O1290" t="str">
        <f>VLOOKUP(C1290, Customers!A$2:E$301, 5, FALSE)</f>
        <v>SMB</v>
      </c>
      <c r="P1290">
        <f>VLOOKUP(C1290, Customers!A$2:C$301, 3, FALSE)</f>
        <v>44</v>
      </c>
      <c r="Q1290" t="str">
        <f>VLOOKUP(E1290, Sales_Reps!A$2:C$31, 3, FALSE)</f>
        <v>East</v>
      </c>
      <c r="R1290">
        <f>VLOOKUP(D1290, Products!A$2:D$61, 4, FALSE)</f>
        <v>1010</v>
      </c>
    </row>
    <row r="1291" spans="1:18" x14ac:dyDescent="0.3">
      <c r="A1291" s="13" t="s">
        <v>1777</v>
      </c>
      <c r="B1291" s="14">
        <v>45453</v>
      </c>
      <c r="C1291" s="13" t="s">
        <v>429</v>
      </c>
      <c r="D1291" s="13" t="s">
        <v>176</v>
      </c>
      <c r="E1291" s="13" t="s">
        <v>204</v>
      </c>
      <c r="F1291" s="15">
        <v>7</v>
      </c>
      <c r="G1291" s="15">
        <v>1650</v>
      </c>
      <c r="H1291" s="15">
        <v>8.4</v>
      </c>
      <c r="I1291" s="15">
        <v>10579.8</v>
      </c>
      <c r="J1291" s="13" t="s">
        <v>87</v>
      </c>
      <c r="K1291" s="13" t="s">
        <v>117</v>
      </c>
      <c r="L1291">
        <f>IF(COUNTIF(A$2:A1291, A1291)=1, IF(COUNTIF(A$2:A$2001, A1291)&gt;1, 1, 0), 0)</f>
        <v>0</v>
      </c>
      <c r="M1291" t="b">
        <f>VLOOKUP(D1291, Products!A$2:F$61, 6, FALSE)</f>
        <v>1</v>
      </c>
      <c r="N1291" t="str">
        <f>VLOOKUP(D1291, Products!A$2:C$61, 3, FALSE)</f>
        <v>Beauty</v>
      </c>
      <c r="O1291" t="str">
        <f>VLOOKUP(C1291, Customers!A$2:E$301, 5, FALSE)</f>
        <v>Retail</v>
      </c>
      <c r="P1291">
        <f>VLOOKUP(C1291, Customers!A$2:C$301, 3, FALSE)</f>
        <v>55</v>
      </c>
      <c r="Q1291" t="str">
        <f>VLOOKUP(E1291, Sales_Reps!A$2:C$31, 3, FALSE)</f>
        <v>South</v>
      </c>
      <c r="R1291">
        <f>VLOOKUP(D1291, Products!A$2:D$61, 4, FALSE)</f>
        <v>1222</v>
      </c>
    </row>
    <row r="1292" spans="1:18" x14ac:dyDescent="0.3">
      <c r="A1292" s="13" t="s">
        <v>1778</v>
      </c>
      <c r="B1292" s="14">
        <v>45359</v>
      </c>
      <c r="C1292" s="13" t="s">
        <v>823</v>
      </c>
      <c r="D1292" s="13" t="s">
        <v>203</v>
      </c>
      <c r="E1292" s="13" t="s">
        <v>252</v>
      </c>
      <c r="F1292" s="15">
        <v>8</v>
      </c>
      <c r="G1292" s="15">
        <v>660</v>
      </c>
      <c r="H1292" s="15">
        <v>7.5</v>
      </c>
      <c r="I1292" s="15">
        <v>4884</v>
      </c>
      <c r="J1292" s="13" t="s">
        <v>87</v>
      </c>
      <c r="K1292" s="13" t="s">
        <v>94</v>
      </c>
      <c r="L1292">
        <f>IF(COUNTIF(A$2:A1292, A1292)=1, IF(COUNTIF(A$2:A$2001, A1292)&gt;1, 1, 0), 0)</f>
        <v>0</v>
      </c>
      <c r="M1292" t="b">
        <f>VLOOKUP(D1292, Products!A$2:F$61, 6, FALSE)</f>
        <v>1</v>
      </c>
      <c r="N1292" t="str">
        <f>VLOOKUP(D1292, Products!A$2:C$61, 3, FALSE)</f>
        <v>Home</v>
      </c>
      <c r="O1292" t="str">
        <f>VLOOKUP(C1292, Customers!A$2:E$301, 5, FALSE)</f>
        <v>Retail</v>
      </c>
      <c r="P1292">
        <f>VLOOKUP(C1292, Customers!A$2:C$301, 3, FALSE)</f>
        <v>32</v>
      </c>
      <c r="Q1292" t="str">
        <f>VLOOKUP(E1292, Sales_Reps!A$2:C$31, 3, FALSE)</f>
        <v>South</v>
      </c>
      <c r="R1292">
        <f>VLOOKUP(D1292, Products!A$2:D$61, 4, FALSE)</f>
        <v>329</v>
      </c>
    </row>
    <row r="1293" spans="1:18" x14ac:dyDescent="0.3">
      <c r="A1293" s="13" t="s">
        <v>1779</v>
      </c>
      <c r="B1293" s="14">
        <v>45644</v>
      </c>
      <c r="C1293" s="13" t="s">
        <v>1006</v>
      </c>
      <c r="D1293" s="13" t="s">
        <v>270</v>
      </c>
      <c r="E1293" s="13" t="s">
        <v>139</v>
      </c>
      <c r="F1293" s="15">
        <v>3</v>
      </c>
      <c r="G1293" s="15">
        <v>4610</v>
      </c>
      <c r="H1293" s="15">
        <v>29.6</v>
      </c>
      <c r="I1293" s="15">
        <v>9736.32</v>
      </c>
      <c r="J1293" s="13" t="s">
        <v>87</v>
      </c>
      <c r="K1293" s="13" t="s">
        <v>117</v>
      </c>
      <c r="L1293">
        <f>IF(COUNTIF(A$2:A1293, A1293)=1, IF(COUNTIF(A$2:A$2001, A1293)&gt;1, 1, 0), 0)</f>
        <v>0</v>
      </c>
      <c r="M1293" t="b">
        <f>VLOOKUP(D1293, Products!A$2:F$61, 6, FALSE)</f>
        <v>1</v>
      </c>
      <c r="N1293" t="str">
        <f>VLOOKUP(D1293, Products!A$2:C$61, 3, FALSE)</f>
        <v>Home</v>
      </c>
      <c r="O1293" t="str">
        <f>VLOOKUP(C1293, Customers!A$2:E$301, 5, FALSE)</f>
        <v>SMB</v>
      </c>
      <c r="P1293">
        <f>VLOOKUP(C1293, Customers!A$2:C$301, 3, FALSE)</f>
        <v>44</v>
      </c>
      <c r="Q1293" t="str">
        <f>VLOOKUP(E1293, Sales_Reps!A$2:C$31, 3, FALSE)</f>
        <v>North</v>
      </c>
      <c r="R1293">
        <f>VLOOKUP(D1293, Products!A$2:D$61, 4, FALSE)</f>
        <v>1850</v>
      </c>
    </row>
    <row r="1294" spans="1:18" x14ac:dyDescent="0.3">
      <c r="A1294" s="13" t="s">
        <v>1780</v>
      </c>
      <c r="B1294" s="14">
        <v>45325</v>
      </c>
      <c r="C1294" s="13" t="s">
        <v>350</v>
      </c>
      <c r="D1294" s="13" t="s">
        <v>338</v>
      </c>
      <c r="E1294" s="13" t="s">
        <v>111</v>
      </c>
      <c r="F1294" s="15">
        <v>6</v>
      </c>
      <c r="G1294" s="15">
        <v>2210</v>
      </c>
      <c r="H1294" s="15">
        <v>9.5</v>
      </c>
      <c r="I1294" s="15">
        <v>12000.3</v>
      </c>
      <c r="J1294" s="13" t="s">
        <v>87</v>
      </c>
      <c r="K1294" s="13" t="s">
        <v>112</v>
      </c>
      <c r="L1294">
        <f>IF(COUNTIF(A$2:A1294, A1294)=1, IF(COUNTIF(A$2:A$2001, A1294)&gt;1, 1, 0), 0)</f>
        <v>0</v>
      </c>
      <c r="M1294" t="b">
        <f>VLOOKUP(D1294, Products!A$2:F$61, 6, FALSE)</f>
        <v>1</v>
      </c>
      <c r="N1294" t="str">
        <f>VLOOKUP(D1294, Products!A$2:C$61, 3, FALSE)</f>
        <v>Grocery</v>
      </c>
      <c r="O1294" t="str">
        <f>VLOOKUP(C1294, Customers!A$2:E$301, 5, FALSE)</f>
        <v>SMB</v>
      </c>
      <c r="P1294">
        <f>VLOOKUP(C1294, Customers!A$2:C$301, 3, FALSE)</f>
        <v>22</v>
      </c>
      <c r="Q1294" t="str">
        <f>VLOOKUP(E1294, Sales_Reps!A$2:C$31, 3, FALSE)</f>
        <v>West</v>
      </c>
      <c r="R1294">
        <f>VLOOKUP(D1294, Products!A$2:D$61, 4, FALSE)</f>
        <v>1010</v>
      </c>
    </row>
    <row r="1295" spans="1:18" x14ac:dyDescent="0.3">
      <c r="A1295" s="13" t="s">
        <v>1781</v>
      </c>
      <c r="B1295" s="14">
        <v>45533</v>
      </c>
      <c r="C1295" s="13" t="s">
        <v>369</v>
      </c>
      <c r="D1295" s="13" t="s">
        <v>386</v>
      </c>
      <c r="E1295" s="13" t="s">
        <v>238</v>
      </c>
      <c r="F1295" s="15">
        <v>4</v>
      </c>
      <c r="G1295" s="15">
        <v>2290</v>
      </c>
      <c r="H1295" s="15">
        <v>3.3</v>
      </c>
      <c r="I1295" s="15">
        <v>8857.7199999999993</v>
      </c>
      <c r="J1295" s="13" t="s">
        <v>87</v>
      </c>
      <c r="K1295" s="13" t="s">
        <v>94</v>
      </c>
      <c r="L1295">
        <f>IF(COUNTIF(A$2:A1295, A1295)=1, IF(COUNTIF(A$2:A$2001, A1295)&gt;1, 1, 0), 0)</f>
        <v>0</v>
      </c>
      <c r="M1295" t="b">
        <f>VLOOKUP(D1295, Products!A$2:F$61, 6, FALSE)</f>
        <v>1</v>
      </c>
      <c r="N1295" t="str">
        <f>VLOOKUP(D1295, Products!A$2:C$61, 3, FALSE)</f>
        <v>Beauty</v>
      </c>
      <c r="O1295" t="str">
        <f>VLOOKUP(C1295, Customers!A$2:E$301, 5, FALSE)</f>
        <v>SMB</v>
      </c>
      <c r="P1295">
        <f>VLOOKUP(C1295, Customers!A$2:C$301, 3, FALSE)</f>
        <v>62</v>
      </c>
      <c r="Q1295" t="str">
        <f>VLOOKUP(E1295, Sales_Reps!A$2:C$31, 3, FALSE)</f>
        <v>East</v>
      </c>
      <c r="R1295">
        <f>VLOOKUP(D1295, Products!A$2:D$61, 4, FALSE)</f>
        <v>1219</v>
      </c>
    </row>
    <row r="1296" spans="1:18" x14ac:dyDescent="0.3">
      <c r="A1296" s="13" t="s">
        <v>1782</v>
      </c>
      <c r="B1296" s="14">
        <v>45369</v>
      </c>
      <c r="C1296" s="13" t="s">
        <v>101</v>
      </c>
      <c r="D1296" s="13" t="s">
        <v>164</v>
      </c>
      <c r="E1296" s="13" t="s">
        <v>201</v>
      </c>
      <c r="F1296" s="15">
        <v>5</v>
      </c>
      <c r="G1296" s="15">
        <v>1080</v>
      </c>
      <c r="H1296" s="15">
        <v>26.1</v>
      </c>
      <c r="I1296" s="15">
        <v>3990.6</v>
      </c>
      <c r="J1296" s="13" t="s">
        <v>87</v>
      </c>
      <c r="K1296" s="13" t="s">
        <v>99</v>
      </c>
      <c r="L1296">
        <f>IF(COUNTIF(A$2:A1296, A1296)=1, IF(COUNTIF(A$2:A$2001, A1296)&gt;1, 1, 0), 0)</f>
        <v>0</v>
      </c>
      <c r="M1296" t="b">
        <f>VLOOKUP(D1296, Products!A$2:F$61, 6, FALSE)</f>
        <v>1</v>
      </c>
      <c r="N1296" t="str">
        <f>VLOOKUP(D1296, Products!A$2:C$61, 3, FALSE)</f>
        <v>Home</v>
      </c>
      <c r="O1296" t="str">
        <f>VLOOKUP(C1296, Customers!A$2:E$301, 5, FALSE)</f>
        <v>Corporate</v>
      </c>
      <c r="P1296">
        <f>VLOOKUP(C1296, Customers!A$2:C$301, 3, FALSE)</f>
        <v>46</v>
      </c>
      <c r="Q1296" t="str">
        <f>VLOOKUP(E1296, Sales_Reps!A$2:C$31, 3, FALSE)</f>
        <v>West</v>
      </c>
      <c r="R1296">
        <f>VLOOKUP(D1296, Products!A$2:D$61, 4, FALSE)</f>
        <v>519</v>
      </c>
    </row>
    <row r="1297" spans="1:18" x14ac:dyDescent="0.3">
      <c r="A1297" s="13" t="s">
        <v>1783</v>
      </c>
      <c r="B1297" s="14">
        <v>45312</v>
      </c>
      <c r="C1297" s="13" t="s">
        <v>440</v>
      </c>
      <c r="D1297" s="13" t="s">
        <v>115</v>
      </c>
      <c r="E1297" s="13" t="s">
        <v>132</v>
      </c>
      <c r="F1297" s="15">
        <v>7</v>
      </c>
      <c r="G1297" s="15">
        <v>960</v>
      </c>
      <c r="H1297" s="15">
        <v>17.7</v>
      </c>
      <c r="I1297" s="15">
        <v>5530.56</v>
      </c>
      <c r="J1297" s="13" t="s">
        <v>87</v>
      </c>
      <c r="K1297" s="13" t="s">
        <v>88</v>
      </c>
      <c r="L1297">
        <f>IF(COUNTIF(A$2:A1297, A1297)=1, IF(COUNTIF(A$2:A$2001, A1297)&gt;1, 1, 0), 0)</f>
        <v>0</v>
      </c>
      <c r="M1297" t="b">
        <f>VLOOKUP(D1297, Products!A$2:F$61, 6, FALSE)</f>
        <v>1</v>
      </c>
      <c r="N1297" t="str">
        <f>VLOOKUP(D1297, Products!A$2:C$61, 3, FALSE)</f>
        <v>Sports</v>
      </c>
      <c r="O1297" t="str">
        <f>VLOOKUP(C1297, Customers!A$2:E$301, 5, FALSE)</f>
        <v>SMB</v>
      </c>
      <c r="P1297">
        <f>VLOOKUP(C1297, Customers!A$2:C$301, 3, FALSE)</f>
        <v>30</v>
      </c>
      <c r="Q1297" t="str">
        <f>VLOOKUP(E1297, Sales_Reps!A$2:C$31, 3, FALSE)</f>
        <v>South</v>
      </c>
      <c r="R1297">
        <f>VLOOKUP(D1297, Products!A$2:D$61, 4, FALSE)</f>
        <v>705</v>
      </c>
    </row>
    <row r="1298" spans="1:18" x14ac:dyDescent="0.3">
      <c r="A1298" s="13" t="s">
        <v>1784</v>
      </c>
      <c r="B1298" s="14">
        <v>45445</v>
      </c>
      <c r="C1298" s="13" t="s">
        <v>1027</v>
      </c>
      <c r="D1298" s="13" t="s">
        <v>151</v>
      </c>
      <c r="E1298" s="13" t="s">
        <v>107</v>
      </c>
      <c r="F1298" s="15">
        <v>1</v>
      </c>
      <c r="G1298" s="15">
        <v>2400</v>
      </c>
      <c r="H1298" s="15">
        <v>29.9</v>
      </c>
      <c r="I1298" s="15">
        <v>1682.4</v>
      </c>
      <c r="J1298" s="13" t="s">
        <v>87</v>
      </c>
      <c r="K1298" s="13" t="s">
        <v>112</v>
      </c>
      <c r="L1298">
        <f>IF(COUNTIF(A$2:A1298, A1298)=1, IF(COUNTIF(A$2:A$2001, A1298)&gt;1, 1, 0), 0)</f>
        <v>0</v>
      </c>
      <c r="M1298" t="b">
        <f>VLOOKUP(D1298, Products!A$2:F$61, 6, FALSE)</f>
        <v>1</v>
      </c>
      <c r="N1298" t="str">
        <f>VLOOKUP(D1298, Products!A$2:C$61, 3, FALSE)</f>
        <v>Sports</v>
      </c>
      <c r="O1298" t="str">
        <f>VLOOKUP(C1298, Customers!A$2:E$301, 5, FALSE)</f>
        <v>SMB</v>
      </c>
      <c r="P1298">
        <f>VLOOKUP(C1298, Customers!A$2:C$301, 3, FALSE)</f>
        <v>47</v>
      </c>
      <c r="Q1298" t="str">
        <f>VLOOKUP(E1298, Sales_Reps!A$2:C$31, 3, FALSE)</f>
        <v>North</v>
      </c>
      <c r="R1298">
        <f>VLOOKUP(D1298, Products!A$2:D$61, 4, FALSE)</f>
        <v>974</v>
      </c>
    </row>
    <row r="1299" spans="1:18" x14ac:dyDescent="0.3">
      <c r="A1299" s="13" t="s">
        <v>1785</v>
      </c>
      <c r="B1299" s="14">
        <v>45636</v>
      </c>
      <c r="C1299" s="13" t="s">
        <v>1350</v>
      </c>
      <c r="D1299" s="13" t="s">
        <v>386</v>
      </c>
      <c r="E1299" s="13" t="s">
        <v>132</v>
      </c>
      <c r="F1299" s="15">
        <v>9</v>
      </c>
      <c r="G1299" s="15">
        <v>2290</v>
      </c>
      <c r="H1299" s="15">
        <v>28.8</v>
      </c>
      <c r="I1299" s="15">
        <v>14674.32</v>
      </c>
      <c r="J1299" s="13" t="s">
        <v>87</v>
      </c>
      <c r="K1299" s="13" t="s">
        <v>112</v>
      </c>
      <c r="L1299">
        <f>IF(COUNTIF(A$2:A1299, A1299)=1, IF(COUNTIF(A$2:A$2001, A1299)&gt;1, 1, 0), 0)</f>
        <v>0</v>
      </c>
      <c r="M1299" t="b">
        <f>VLOOKUP(D1299, Products!A$2:F$61, 6, FALSE)</f>
        <v>1</v>
      </c>
      <c r="N1299" t="str">
        <f>VLOOKUP(D1299, Products!A$2:C$61, 3, FALSE)</f>
        <v>Beauty</v>
      </c>
      <c r="O1299" t="str">
        <f>VLOOKUP(C1299, Customers!A$2:E$301, 5, FALSE)</f>
        <v>Retail</v>
      </c>
      <c r="P1299">
        <f>VLOOKUP(C1299, Customers!A$2:C$301, 3, FALSE)</f>
        <v>38</v>
      </c>
      <c r="Q1299" t="str">
        <f>VLOOKUP(E1299, Sales_Reps!A$2:C$31, 3, FALSE)</f>
        <v>South</v>
      </c>
      <c r="R1299">
        <f>VLOOKUP(D1299, Products!A$2:D$61, 4, FALSE)</f>
        <v>1219</v>
      </c>
    </row>
    <row r="1300" spans="1:18" x14ac:dyDescent="0.3">
      <c r="A1300" s="13" t="s">
        <v>1786</v>
      </c>
      <c r="B1300" s="14">
        <v>45294</v>
      </c>
      <c r="C1300" s="13" t="s">
        <v>225</v>
      </c>
      <c r="D1300" s="13" t="s">
        <v>164</v>
      </c>
      <c r="E1300" s="13" t="s">
        <v>303</v>
      </c>
      <c r="F1300" s="15">
        <v>9</v>
      </c>
      <c r="G1300" s="15">
        <v>1080</v>
      </c>
      <c r="H1300" s="15">
        <v>10.3</v>
      </c>
      <c r="I1300" s="15">
        <v>8718.84</v>
      </c>
      <c r="J1300" s="13" t="s">
        <v>87</v>
      </c>
      <c r="K1300" s="13" t="s">
        <v>94</v>
      </c>
      <c r="L1300">
        <f>IF(COUNTIF(A$2:A1300, A1300)=1, IF(COUNTIF(A$2:A$2001, A1300)&gt;1, 1, 0), 0)</f>
        <v>0</v>
      </c>
      <c r="M1300" t="b">
        <f>VLOOKUP(D1300, Products!A$2:F$61, 6, FALSE)</f>
        <v>1</v>
      </c>
      <c r="N1300" t="str">
        <f>VLOOKUP(D1300, Products!A$2:C$61, 3, FALSE)</f>
        <v>Home</v>
      </c>
      <c r="O1300" t="str">
        <f>VLOOKUP(C1300, Customers!A$2:E$301, 5, FALSE)</f>
        <v>Retail</v>
      </c>
      <c r="P1300">
        <f>VLOOKUP(C1300, Customers!A$2:C$301, 3, FALSE)</f>
        <v>37</v>
      </c>
      <c r="Q1300" t="str">
        <f>VLOOKUP(E1300, Sales_Reps!A$2:C$31, 3, FALSE)</f>
        <v>East</v>
      </c>
      <c r="R1300">
        <f>VLOOKUP(D1300, Products!A$2:D$61, 4, FALSE)</f>
        <v>519</v>
      </c>
    </row>
    <row r="1301" spans="1:18" x14ac:dyDescent="0.3">
      <c r="A1301" s="13" t="s">
        <v>1787</v>
      </c>
      <c r="B1301" s="14">
        <v>45449</v>
      </c>
      <c r="C1301" s="13" t="s">
        <v>910</v>
      </c>
      <c r="D1301" s="13" t="s">
        <v>502</v>
      </c>
      <c r="E1301" s="13" t="s">
        <v>139</v>
      </c>
      <c r="F1301" s="15">
        <v>1</v>
      </c>
      <c r="G1301" s="15">
        <v>1090</v>
      </c>
      <c r="H1301" s="15">
        <v>5.8</v>
      </c>
      <c r="I1301" s="15">
        <v>1026.78</v>
      </c>
      <c r="J1301" s="13" t="s">
        <v>140</v>
      </c>
      <c r="K1301" s="13" t="s">
        <v>99</v>
      </c>
      <c r="L1301">
        <f>IF(COUNTIF(A$2:A1301, A1301)=1, IF(COUNTIF(A$2:A$2001, A1301)&gt;1, 1, 0), 0)</f>
        <v>0</v>
      </c>
      <c r="M1301" t="b">
        <f>VLOOKUP(D1301, Products!A$2:F$61, 6, FALSE)</f>
        <v>1</v>
      </c>
      <c r="N1301" t="str">
        <f>VLOOKUP(D1301, Products!A$2:C$61, 3, FALSE)</f>
        <v>Home</v>
      </c>
      <c r="O1301" t="str">
        <f>VLOOKUP(C1301, Customers!A$2:E$301, 5, FALSE)</f>
        <v>Retail</v>
      </c>
      <c r="P1301">
        <f>VLOOKUP(C1301, Customers!A$2:C$301, 3, FALSE)</f>
        <v>55</v>
      </c>
      <c r="Q1301" t="str">
        <f>VLOOKUP(E1301, Sales_Reps!A$2:C$31, 3, FALSE)</f>
        <v>North</v>
      </c>
      <c r="R1301">
        <f>VLOOKUP(D1301, Products!A$2:D$61, 4, FALSE)</f>
        <v>464</v>
      </c>
    </row>
    <row r="1302" spans="1:18" x14ac:dyDescent="0.3">
      <c r="A1302" s="13" t="s">
        <v>1788</v>
      </c>
      <c r="B1302" s="14">
        <v>45560</v>
      </c>
      <c r="C1302" s="13" t="s">
        <v>902</v>
      </c>
      <c r="D1302" s="13" t="s">
        <v>338</v>
      </c>
      <c r="E1302" s="13" t="s">
        <v>303</v>
      </c>
      <c r="F1302" s="15">
        <v>3</v>
      </c>
      <c r="G1302" s="15">
        <v>2210</v>
      </c>
      <c r="H1302" s="15">
        <v>18.2</v>
      </c>
      <c r="I1302" s="15">
        <v>5423.34</v>
      </c>
      <c r="J1302" s="13" t="s">
        <v>93</v>
      </c>
      <c r="K1302" s="13" t="s">
        <v>112</v>
      </c>
      <c r="L1302">
        <f>IF(COUNTIF(A$2:A1302, A1302)=1, IF(COUNTIF(A$2:A$2001, A1302)&gt;1, 1, 0), 0)</f>
        <v>0</v>
      </c>
      <c r="M1302" t="b">
        <f>VLOOKUP(D1302, Products!A$2:F$61, 6, FALSE)</f>
        <v>1</v>
      </c>
      <c r="N1302" t="str">
        <f>VLOOKUP(D1302, Products!A$2:C$61, 3, FALSE)</f>
        <v>Grocery</v>
      </c>
      <c r="O1302" t="str">
        <f>VLOOKUP(C1302, Customers!A$2:E$301, 5, FALSE)</f>
        <v>Retail</v>
      </c>
      <c r="P1302">
        <f>VLOOKUP(C1302, Customers!A$2:C$301, 3, FALSE)</f>
        <v>37</v>
      </c>
      <c r="Q1302" t="str">
        <f>VLOOKUP(E1302, Sales_Reps!A$2:C$31, 3, FALSE)</f>
        <v>East</v>
      </c>
      <c r="R1302">
        <f>VLOOKUP(D1302, Products!A$2:D$61, 4, FALSE)</f>
        <v>1010</v>
      </c>
    </row>
    <row r="1303" spans="1:18" x14ac:dyDescent="0.3">
      <c r="A1303" s="13" t="s">
        <v>1789</v>
      </c>
      <c r="B1303" s="14">
        <v>45588</v>
      </c>
      <c r="C1303" s="13" t="s">
        <v>197</v>
      </c>
      <c r="D1303" s="13" t="s">
        <v>85</v>
      </c>
      <c r="E1303" s="13" t="s">
        <v>188</v>
      </c>
      <c r="F1303" s="15">
        <v>8</v>
      </c>
      <c r="G1303" s="15">
        <v>3620</v>
      </c>
      <c r="H1303" s="15">
        <v>1.4</v>
      </c>
      <c r="I1303" s="15">
        <v>28554.560000000001</v>
      </c>
      <c r="J1303" s="13" t="s">
        <v>87</v>
      </c>
      <c r="K1303" s="13" t="s">
        <v>88</v>
      </c>
      <c r="L1303">
        <f>IF(COUNTIF(A$2:A1303, A1303)=1, IF(COUNTIF(A$2:A$2001, A1303)&gt;1, 1, 0), 0)</f>
        <v>0</v>
      </c>
      <c r="M1303" t="b">
        <f>VLOOKUP(D1303, Products!A$2:F$61, 6, FALSE)</f>
        <v>1</v>
      </c>
      <c r="N1303" t="str">
        <f>VLOOKUP(D1303, Products!A$2:C$61, 3, FALSE)</f>
        <v>Apparel</v>
      </c>
      <c r="O1303" t="str">
        <f>VLOOKUP(C1303, Customers!A$2:E$301, 5, FALSE)</f>
        <v>Corporate</v>
      </c>
      <c r="P1303">
        <f>VLOOKUP(C1303, Customers!A$2:C$301, 3, FALSE)</f>
        <v>47</v>
      </c>
      <c r="Q1303" t="str">
        <f>VLOOKUP(E1303, Sales_Reps!A$2:C$31, 3, FALSE)</f>
        <v>South</v>
      </c>
      <c r="R1303">
        <f>VLOOKUP(D1303, Products!A$2:D$61, 4, FALSE)</f>
        <v>2509</v>
      </c>
    </row>
    <row r="1304" spans="1:18" x14ac:dyDescent="0.3">
      <c r="A1304" s="13" t="s">
        <v>1790</v>
      </c>
      <c r="B1304" s="14">
        <v>45360</v>
      </c>
      <c r="C1304" s="13" t="s">
        <v>208</v>
      </c>
      <c r="D1304" s="13" t="s">
        <v>295</v>
      </c>
      <c r="E1304" s="13" t="s">
        <v>273</v>
      </c>
      <c r="F1304" s="15">
        <v>7</v>
      </c>
      <c r="G1304" s="15">
        <v>2030</v>
      </c>
      <c r="H1304" s="15">
        <v>27.7</v>
      </c>
      <c r="I1304" s="15">
        <v>10273.83</v>
      </c>
      <c r="J1304" s="13" t="s">
        <v>87</v>
      </c>
      <c r="K1304" s="13" t="s">
        <v>133</v>
      </c>
      <c r="L1304">
        <f>IF(COUNTIF(A$2:A1304, A1304)=1, IF(COUNTIF(A$2:A$2001, A1304)&gt;1, 1, 0), 0)</f>
        <v>0</v>
      </c>
      <c r="M1304" t="b">
        <f>VLOOKUP(D1304, Products!A$2:F$61, 6, FALSE)</f>
        <v>1</v>
      </c>
      <c r="N1304" t="str">
        <f>VLOOKUP(D1304, Products!A$2:C$61, 3, FALSE)</f>
        <v>Home</v>
      </c>
      <c r="O1304" t="str">
        <f>VLOOKUP(C1304, Customers!A$2:E$301, 5, FALSE)</f>
        <v>Retail</v>
      </c>
      <c r="P1304">
        <f>VLOOKUP(C1304, Customers!A$2:C$301, 3, FALSE)</f>
        <v>26</v>
      </c>
      <c r="Q1304" t="str">
        <f>VLOOKUP(E1304, Sales_Reps!A$2:C$31, 3, FALSE)</f>
        <v>South</v>
      </c>
      <c r="R1304">
        <f>VLOOKUP(D1304, Products!A$2:D$61, 4, FALSE)</f>
        <v>1143</v>
      </c>
    </row>
    <row r="1305" spans="1:18" x14ac:dyDescent="0.3">
      <c r="A1305" s="13" t="s">
        <v>1791</v>
      </c>
      <c r="B1305" s="14">
        <v>45316</v>
      </c>
      <c r="C1305" s="13" t="s">
        <v>599</v>
      </c>
      <c r="D1305" s="13" t="s">
        <v>248</v>
      </c>
      <c r="E1305" s="13" t="s">
        <v>154</v>
      </c>
      <c r="F1305" s="15">
        <v>1</v>
      </c>
      <c r="G1305" s="15">
        <v>3870</v>
      </c>
      <c r="H1305" s="15">
        <v>29.6</v>
      </c>
      <c r="I1305" s="15">
        <v>2724.48</v>
      </c>
      <c r="J1305" s="13" t="s">
        <v>87</v>
      </c>
      <c r="K1305" s="13" t="s">
        <v>117</v>
      </c>
      <c r="L1305">
        <f>IF(COUNTIF(A$2:A1305, A1305)=1, IF(COUNTIF(A$2:A$2001, A1305)&gt;1, 1, 0), 0)</f>
        <v>0</v>
      </c>
      <c r="M1305" t="b">
        <f>VLOOKUP(D1305, Products!A$2:F$61, 6, FALSE)</f>
        <v>1</v>
      </c>
      <c r="N1305" t="str">
        <f>VLOOKUP(D1305, Products!A$2:C$61, 3, FALSE)</f>
        <v>Electronics</v>
      </c>
      <c r="O1305" t="str">
        <f>VLOOKUP(C1305, Customers!A$2:E$301, 5, FALSE)</f>
        <v>Corporate</v>
      </c>
      <c r="P1305">
        <f>VLOOKUP(C1305, Customers!A$2:C$301, 3, FALSE)</f>
        <v>26</v>
      </c>
      <c r="Q1305" t="str">
        <f>VLOOKUP(E1305, Sales_Reps!A$2:C$31, 3, FALSE)</f>
        <v>East</v>
      </c>
      <c r="R1305">
        <f>VLOOKUP(D1305, Products!A$2:D$61, 4, FALSE)</f>
        <v>1559</v>
      </c>
    </row>
    <row r="1306" spans="1:18" x14ac:dyDescent="0.3">
      <c r="A1306" s="13" t="s">
        <v>1792</v>
      </c>
      <c r="B1306" s="14">
        <v>45324</v>
      </c>
      <c r="C1306" s="13" t="s">
        <v>835</v>
      </c>
      <c r="D1306" s="13" t="s">
        <v>187</v>
      </c>
      <c r="E1306" s="13" t="s">
        <v>98</v>
      </c>
      <c r="F1306" s="15">
        <v>5</v>
      </c>
      <c r="G1306" s="15">
        <v>3570</v>
      </c>
      <c r="H1306" s="15">
        <v>11.8</v>
      </c>
      <c r="I1306" s="15">
        <v>15743.7</v>
      </c>
      <c r="J1306" s="13" t="s">
        <v>144</v>
      </c>
      <c r="K1306" s="13" t="s">
        <v>117</v>
      </c>
      <c r="L1306">
        <f>IF(COUNTIF(A$2:A1306, A1306)=1, IF(COUNTIF(A$2:A$2001, A1306)&gt;1, 1, 0), 0)</f>
        <v>0</v>
      </c>
      <c r="M1306" t="b">
        <f>VLOOKUP(D1306, Products!A$2:F$61, 6, FALSE)</f>
        <v>1</v>
      </c>
      <c r="N1306" t="str">
        <f>VLOOKUP(D1306, Products!A$2:C$61, 3, FALSE)</f>
        <v>Electronics</v>
      </c>
      <c r="O1306" t="str">
        <f>VLOOKUP(C1306, Customers!A$2:E$301, 5, FALSE)</f>
        <v>Retail</v>
      </c>
      <c r="P1306">
        <f>VLOOKUP(C1306, Customers!A$2:C$301, 3, FALSE)</f>
        <v>52</v>
      </c>
      <c r="Q1306" t="str">
        <f>VLOOKUP(E1306, Sales_Reps!A$2:C$31, 3, FALSE)</f>
        <v>South</v>
      </c>
      <c r="R1306">
        <f>VLOOKUP(D1306, Products!A$2:D$61, 4, FALSE)</f>
        <v>1665</v>
      </c>
    </row>
    <row r="1307" spans="1:18" x14ac:dyDescent="0.3">
      <c r="A1307" s="13" t="s">
        <v>1793</v>
      </c>
      <c r="B1307" s="14">
        <v>45650</v>
      </c>
      <c r="C1307" s="13" t="s">
        <v>1104</v>
      </c>
      <c r="D1307" s="13" t="s">
        <v>364</v>
      </c>
      <c r="E1307" s="13" t="s">
        <v>121</v>
      </c>
      <c r="F1307" s="15">
        <v>7</v>
      </c>
      <c r="G1307" s="15">
        <v>5330</v>
      </c>
      <c r="H1307" s="15">
        <v>8.1999999999999993</v>
      </c>
      <c r="I1307" s="15">
        <v>34250.58</v>
      </c>
      <c r="J1307" s="13" t="s">
        <v>87</v>
      </c>
      <c r="K1307" s="13" t="s">
        <v>117</v>
      </c>
      <c r="L1307">
        <f>IF(COUNTIF(A$2:A1307, A1307)=1, IF(COUNTIF(A$2:A$2001, A1307)&gt;1, 1, 0), 0)</f>
        <v>0</v>
      </c>
      <c r="M1307" t="b">
        <f>VLOOKUP(D1307, Products!A$2:F$61, 6, FALSE)</f>
        <v>1</v>
      </c>
      <c r="N1307" t="str">
        <f>VLOOKUP(D1307, Products!A$2:C$61, 3, FALSE)</f>
        <v>Electronics</v>
      </c>
      <c r="O1307" t="str">
        <f>VLOOKUP(C1307, Customers!A$2:E$301, 5, FALSE)</f>
        <v>Corporate</v>
      </c>
      <c r="P1307">
        <f>VLOOKUP(C1307, Customers!A$2:C$301, 3, FALSE)</f>
        <v>31</v>
      </c>
      <c r="Q1307" t="str">
        <f>VLOOKUP(E1307, Sales_Reps!A$2:C$31, 3, FALSE)</f>
        <v>East</v>
      </c>
      <c r="R1307">
        <f>VLOOKUP(D1307, Products!A$2:D$61, 4, FALSE)</f>
        <v>2405</v>
      </c>
    </row>
    <row r="1308" spans="1:18" x14ac:dyDescent="0.3">
      <c r="A1308" s="13" t="s">
        <v>1794</v>
      </c>
      <c r="B1308" s="14">
        <v>45564</v>
      </c>
      <c r="C1308" s="13" t="s">
        <v>807</v>
      </c>
      <c r="D1308" s="13" t="s">
        <v>267</v>
      </c>
      <c r="E1308" s="13" t="s">
        <v>204</v>
      </c>
      <c r="F1308" s="15">
        <v>5</v>
      </c>
      <c r="G1308" s="15">
        <v>1220</v>
      </c>
      <c r="H1308" s="15">
        <v>17.8</v>
      </c>
      <c r="I1308" s="15">
        <v>5014.2</v>
      </c>
      <c r="J1308" s="13" t="s">
        <v>144</v>
      </c>
      <c r="K1308" s="13" t="s">
        <v>88</v>
      </c>
      <c r="L1308">
        <f>IF(COUNTIF(A$2:A1308, A1308)=1, IF(COUNTIF(A$2:A$2001, A1308)&gt;1, 1, 0), 0)</f>
        <v>0</v>
      </c>
      <c r="M1308" t="b">
        <f>VLOOKUP(D1308, Products!A$2:F$61, 6, FALSE)</f>
        <v>1</v>
      </c>
      <c r="N1308" t="str">
        <f>VLOOKUP(D1308, Products!A$2:C$61, 3, FALSE)</f>
        <v>Electronics</v>
      </c>
      <c r="O1308" t="str">
        <f>VLOOKUP(C1308, Customers!A$2:E$301, 5, FALSE)</f>
        <v>Retail</v>
      </c>
      <c r="P1308">
        <f>VLOOKUP(C1308, Customers!A$2:C$301, 3, FALSE)</f>
        <v>36</v>
      </c>
      <c r="Q1308" t="str">
        <f>VLOOKUP(E1308, Sales_Reps!A$2:C$31, 3, FALSE)</f>
        <v>South</v>
      </c>
      <c r="R1308">
        <f>VLOOKUP(D1308, Products!A$2:D$61, 4, FALSE)</f>
        <v>517</v>
      </c>
    </row>
    <row r="1309" spans="1:18" x14ac:dyDescent="0.3">
      <c r="A1309" s="13" t="s">
        <v>1795</v>
      </c>
      <c r="B1309" s="14">
        <v>45587</v>
      </c>
      <c r="C1309" s="13" t="s">
        <v>163</v>
      </c>
      <c r="D1309" s="13" t="s">
        <v>452</v>
      </c>
      <c r="E1309" s="13" t="s">
        <v>121</v>
      </c>
      <c r="F1309" s="15">
        <v>7</v>
      </c>
      <c r="G1309" s="15">
        <v>3450</v>
      </c>
      <c r="H1309" s="15">
        <v>29.3</v>
      </c>
      <c r="I1309" s="15">
        <v>17074.05</v>
      </c>
      <c r="J1309" s="13" t="s">
        <v>87</v>
      </c>
      <c r="K1309" s="13" t="s">
        <v>94</v>
      </c>
      <c r="L1309">
        <f>IF(COUNTIF(A$2:A1309, A1309)=1, IF(COUNTIF(A$2:A$2001, A1309)&gt;1, 1, 0), 0)</f>
        <v>0</v>
      </c>
      <c r="M1309" t="b">
        <f>VLOOKUP(D1309, Products!A$2:F$61, 6, FALSE)</f>
        <v>1</v>
      </c>
      <c r="N1309" t="str">
        <f>VLOOKUP(D1309, Products!A$2:C$61, 3, FALSE)</f>
        <v>Apparel</v>
      </c>
      <c r="O1309" t="str">
        <f>VLOOKUP(C1309, Customers!A$2:E$301, 5, FALSE)</f>
        <v>Retail</v>
      </c>
      <c r="P1309">
        <f>VLOOKUP(C1309, Customers!A$2:C$301, 3, FALSE)</f>
        <v>49</v>
      </c>
      <c r="Q1309" t="str">
        <f>VLOOKUP(E1309, Sales_Reps!A$2:C$31, 3, FALSE)</f>
        <v>East</v>
      </c>
      <c r="R1309">
        <f>VLOOKUP(D1309, Products!A$2:D$61, 4, FALSE)</f>
        <v>1748</v>
      </c>
    </row>
    <row r="1310" spans="1:18" x14ac:dyDescent="0.3">
      <c r="A1310" s="13" t="s">
        <v>1796</v>
      </c>
      <c r="B1310" s="14">
        <v>45538</v>
      </c>
      <c r="C1310" s="13" t="s">
        <v>617</v>
      </c>
      <c r="D1310" s="13" t="s">
        <v>659</v>
      </c>
      <c r="E1310" s="13" t="s">
        <v>252</v>
      </c>
      <c r="F1310" s="15">
        <v>6</v>
      </c>
      <c r="G1310" s="15">
        <v>3560</v>
      </c>
      <c r="H1310" s="15">
        <v>9.4</v>
      </c>
      <c r="I1310" s="15">
        <v>19352.16</v>
      </c>
      <c r="J1310" s="13" t="s">
        <v>93</v>
      </c>
      <c r="K1310" s="13" t="s">
        <v>112</v>
      </c>
      <c r="L1310">
        <f>IF(COUNTIF(A$2:A1310, A1310)=1, IF(COUNTIF(A$2:A$2001, A1310)&gt;1, 1, 0), 0)</f>
        <v>0</v>
      </c>
      <c r="M1310" t="b">
        <f>VLOOKUP(D1310, Products!A$2:F$61, 6, FALSE)</f>
        <v>1</v>
      </c>
      <c r="N1310" t="str">
        <f>VLOOKUP(D1310, Products!A$2:C$61, 3, FALSE)</f>
        <v>Apparel</v>
      </c>
      <c r="O1310" t="str">
        <f>VLOOKUP(C1310, Customers!A$2:E$301, 5, FALSE)</f>
        <v>SMB</v>
      </c>
      <c r="P1310">
        <f>VLOOKUP(C1310, Customers!A$2:C$301, 3, FALSE)</f>
        <v>65</v>
      </c>
      <c r="Q1310" t="str">
        <f>VLOOKUP(E1310, Sales_Reps!A$2:C$31, 3, FALSE)</f>
        <v>South</v>
      </c>
      <c r="R1310">
        <f>VLOOKUP(D1310, Products!A$2:D$61, 4, FALSE)</f>
        <v>2629</v>
      </c>
    </row>
    <row r="1311" spans="1:18" x14ac:dyDescent="0.3">
      <c r="A1311" s="13" t="s">
        <v>1797</v>
      </c>
      <c r="B1311" s="14">
        <v>45385</v>
      </c>
      <c r="C1311" s="13" t="s">
        <v>504</v>
      </c>
      <c r="D1311" s="13" t="s">
        <v>110</v>
      </c>
      <c r="E1311" s="13" t="s">
        <v>92</v>
      </c>
      <c r="F1311" s="15">
        <v>4</v>
      </c>
      <c r="G1311" s="15">
        <v>370</v>
      </c>
      <c r="H1311" s="15">
        <v>4.9000000000000004</v>
      </c>
      <c r="I1311" s="15">
        <v>1407.48</v>
      </c>
      <c r="J1311" s="13" t="s">
        <v>87</v>
      </c>
      <c r="K1311" s="13" t="s">
        <v>117</v>
      </c>
      <c r="L1311">
        <f>IF(COUNTIF(A$2:A1311, A1311)=1, IF(COUNTIF(A$2:A$2001, A1311)&gt;1, 1, 0), 0)</f>
        <v>0</v>
      </c>
      <c r="M1311" t="b">
        <f>VLOOKUP(D1311, Products!A$2:F$61, 6, FALSE)</f>
        <v>1</v>
      </c>
      <c r="N1311" t="str">
        <f>VLOOKUP(D1311, Products!A$2:C$61, 3, FALSE)</f>
        <v>Home</v>
      </c>
      <c r="O1311" t="str">
        <f>VLOOKUP(C1311, Customers!A$2:E$301, 5, FALSE)</f>
        <v>Corporate</v>
      </c>
      <c r="P1311">
        <f>VLOOKUP(C1311, Customers!A$2:C$301, 3, FALSE)</f>
        <v>36</v>
      </c>
      <c r="Q1311" t="str">
        <f>VLOOKUP(E1311, Sales_Reps!A$2:C$31, 3, FALSE)</f>
        <v>North</v>
      </c>
      <c r="R1311">
        <f>VLOOKUP(D1311, Products!A$2:D$61, 4, FALSE)</f>
        <v>288</v>
      </c>
    </row>
    <row r="1312" spans="1:18" x14ac:dyDescent="0.3">
      <c r="A1312" s="13" t="s">
        <v>1798</v>
      </c>
      <c r="B1312" s="14">
        <v>45647</v>
      </c>
      <c r="C1312" s="13" t="s">
        <v>720</v>
      </c>
      <c r="D1312" s="13" t="s">
        <v>267</v>
      </c>
      <c r="E1312" s="13" t="s">
        <v>148</v>
      </c>
      <c r="F1312" s="15">
        <v>1</v>
      </c>
      <c r="G1312" s="15">
        <v>1220</v>
      </c>
      <c r="H1312" s="15">
        <v>15.2</v>
      </c>
      <c r="I1312" s="15">
        <v>1034.56</v>
      </c>
      <c r="J1312" s="13" t="s">
        <v>87</v>
      </c>
      <c r="K1312" s="13" t="s">
        <v>88</v>
      </c>
      <c r="L1312">
        <f>IF(COUNTIF(A$2:A1312, A1312)=1, IF(COUNTIF(A$2:A$2001, A1312)&gt;1, 1, 0), 0)</f>
        <v>0</v>
      </c>
      <c r="M1312" t="b">
        <f>VLOOKUP(D1312, Products!A$2:F$61, 6, FALSE)</f>
        <v>1</v>
      </c>
      <c r="N1312" t="str">
        <f>VLOOKUP(D1312, Products!A$2:C$61, 3, FALSE)</f>
        <v>Electronics</v>
      </c>
      <c r="O1312" t="str">
        <f>VLOOKUP(C1312, Customers!A$2:E$301, 5, FALSE)</f>
        <v>Retail</v>
      </c>
      <c r="P1312">
        <f>VLOOKUP(C1312, Customers!A$2:C$301, 3, FALSE)</f>
        <v>48</v>
      </c>
      <c r="Q1312" t="str">
        <f>VLOOKUP(E1312, Sales_Reps!A$2:C$31, 3, FALSE)</f>
        <v>North</v>
      </c>
      <c r="R1312">
        <f>VLOOKUP(D1312, Products!A$2:D$61, 4, FALSE)</f>
        <v>517</v>
      </c>
    </row>
    <row r="1313" spans="1:18" x14ac:dyDescent="0.3">
      <c r="A1313" s="13" t="s">
        <v>1799</v>
      </c>
      <c r="B1313" s="14">
        <v>45466</v>
      </c>
      <c r="C1313" s="13" t="s">
        <v>802</v>
      </c>
      <c r="D1313" s="13" t="s">
        <v>237</v>
      </c>
      <c r="E1313" s="13" t="s">
        <v>103</v>
      </c>
      <c r="F1313" s="15">
        <v>3</v>
      </c>
      <c r="G1313" s="15">
        <v>3640</v>
      </c>
      <c r="H1313" s="15">
        <v>12.3</v>
      </c>
      <c r="I1313" s="15">
        <v>9576.84</v>
      </c>
      <c r="J1313" s="13" t="s">
        <v>93</v>
      </c>
      <c r="K1313" s="13" t="s">
        <v>94</v>
      </c>
      <c r="L1313">
        <f>IF(COUNTIF(A$2:A1313, A1313)=1, IF(COUNTIF(A$2:A$2001, A1313)&gt;1, 1, 0), 0)</f>
        <v>0</v>
      </c>
      <c r="M1313" t="b">
        <f>VLOOKUP(D1313, Products!A$2:F$61, 6, FALSE)</f>
        <v>1</v>
      </c>
      <c r="N1313" t="str">
        <f>VLOOKUP(D1313, Products!A$2:C$61, 3, FALSE)</f>
        <v>Apparel</v>
      </c>
      <c r="O1313" t="str">
        <f>VLOOKUP(C1313, Customers!A$2:E$301, 5, FALSE)</f>
        <v>SMB</v>
      </c>
      <c r="P1313">
        <f>VLOOKUP(C1313, Customers!A$2:C$301, 3, FALSE)</f>
        <v>39</v>
      </c>
      <c r="Q1313" t="str">
        <f>VLOOKUP(E1313, Sales_Reps!A$2:C$31, 3, FALSE)</f>
        <v>North</v>
      </c>
      <c r="R1313">
        <f>VLOOKUP(D1313, Products!A$2:D$61, 4, FALSE)</f>
        <v>2611</v>
      </c>
    </row>
    <row r="1314" spans="1:18" x14ac:dyDescent="0.3">
      <c r="A1314" s="13" t="s">
        <v>1800</v>
      </c>
      <c r="B1314" s="14">
        <v>45559</v>
      </c>
      <c r="C1314" s="13" t="s">
        <v>872</v>
      </c>
      <c r="D1314" s="13" t="s">
        <v>276</v>
      </c>
      <c r="E1314" s="13" t="s">
        <v>132</v>
      </c>
      <c r="F1314" s="15">
        <v>8</v>
      </c>
      <c r="G1314" s="15">
        <v>3020</v>
      </c>
      <c r="H1314" s="15">
        <v>28.2</v>
      </c>
      <c r="I1314" s="15">
        <v>17346.88</v>
      </c>
      <c r="J1314" s="13" t="s">
        <v>93</v>
      </c>
      <c r="K1314" s="13" t="s">
        <v>112</v>
      </c>
      <c r="L1314">
        <f>IF(COUNTIF(A$2:A1314, A1314)=1, IF(COUNTIF(A$2:A$2001, A1314)&gt;1, 1, 0), 0)</f>
        <v>0</v>
      </c>
      <c r="M1314" t="b">
        <f>VLOOKUP(D1314, Products!A$2:F$61, 6, FALSE)</f>
        <v>1</v>
      </c>
      <c r="N1314" t="str">
        <f>VLOOKUP(D1314, Products!A$2:C$61, 3, FALSE)</f>
        <v>Beauty</v>
      </c>
      <c r="O1314" t="str">
        <f>VLOOKUP(C1314, Customers!A$2:E$301, 5, FALSE)</f>
        <v>Corporate</v>
      </c>
      <c r="P1314">
        <f>VLOOKUP(C1314, Customers!A$2:C$301, 3, FALSE)</f>
        <v>62</v>
      </c>
      <c r="Q1314" t="str">
        <f>VLOOKUP(E1314, Sales_Reps!A$2:C$31, 3, FALSE)</f>
        <v>South</v>
      </c>
      <c r="R1314">
        <f>VLOOKUP(D1314, Products!A$2:D$61, 4, FALSE)</f>
        <v>1626</v>
      </c>
    </row>
    <row r="1315" spans="1:18" x14ac:dyDescent="0.3">
      <c r="A1315" s="13" t="s">
        <v>1801</v>
      </c>
      <c r="B1315" s="14">
        <v>45469</v>
      </c>
      <c r="C1315" s="13" t="s">
        <v>655</v>
      </c>
      <c r="D1315" s="13" t="s">
        <v>191</v>
      </c>
      <c r="E1315" s="13" t="s">
        <v>107</v>
      </c>
      <c r="F1315" s="15">
        <v>3</v>
      </c>
      <c r="G1315" s="15">
        <v>5100</v>
      </c>
      <c r="H1315" s="15">
        <v>7.8</v>
      </c>
      <c r="I1315" s="15">
        <v>14106.6</v>
      </c>
      <c r="J1315" s="13" t="s">
        <v>87</v>
      </c>
      <c r="K1315" s="13" t="s">
        <v>133</v>
      </c>
      <c r="L1315">
        <f>IF(COUNTIF(A$2:A1315, A1315)=1, IF(COUNTIF(A$2:A$2001, A1315)&gt;1, 1, 0), 0)</f>
        <v>0</v>
      </c>
      <c r="M1315" t="b">
        <f>VLOOKUP(D1315, Products!A$2:F$61, 6, FALSE)</f>
        <v>1</v>
      </c>
      <c r="N1315" t="str">
        <f>VLOOKUP(D1315, Products!A$2:C$61, 3, FALSE)</f>
        <v>Beauty</v>
      </c>
      <c r="O1315" t="str">
        <f>VLOOKUP(C1315, Customers!A$2:E$301, 5, FALSE)</f>
        <v>Retail</v>
      </c>
      <c r="P1315">
        <f>VLOOKUP(C1315, Customers!A$2:C$301, 3, FALSE)</f>
        <v>27</v>
      </c>
      <c r="Q1315" t="str">
        <f>VLOOKUP(E1315, Sales_Reps!A$2:C$31, 3, FALSE)</f>
        <v>North</v>
      </c>
      <c r="R1315">
        <f>VLOOKUP(D1315, Products!A$2:D$61, 4, FALSE)</f>
        <v>2237</v>
      </c>
    </row>
    <row r="1316" spans="1:18" x14ac:dyDescent="0.3">
      <c r="A1316" s="13" t="s">
        <v>1802</v>
      </c>
      <c r="B1316" s="14">
        <v>45407</v>
      </c>
      <c r="C1316" s="13" t="s">
        <v>485</v>
      </c>
      <c r="D1316" s="13" t="s">
        <v>282</v>
      </c>
      <c r="E1316" s="13" t="s">
        <v>215</v>
      </c>
      <c r="F1316" s="15">
        <v>9</v>
      </c>
      <c r="G1316" s="15">
        <v>300</v>
      </c>
      <c r="H1316" s="15">
        <v>19</v>
      </c>
      <c r="I1316" s="15">
        <v>2187</v>
      </c>
      <c r="J1316" s="13" t="s">
        <v>87</v>
      </c>
      <c r="K1316" s="13" t="s">
        <v>88</v>
      </c>
      <c r="L1316">
        <f>IF(COUNTIF(A$2:A1316, A1316)=1, IF(COUNTIF(A$2:A$2001, A1316)&gt;1, 1, 0), 0)</f>
        <v>0</v>
      </c>
      <c r="M1316" t="b">
        <f>VLOOKUP(D1316, Products!A$2:F$61, 6, FALSE)</f>
        <v>1</v>
      </c>
      <c r="N1316" t="str">
        <f>VLOOKUP(D1316, Products!A$2:C$61, 3, FALSE)</f>
        <v>Electronics</v>
      </c>
      <c r="O1316" t="str">
        <f>VLOOKUP(C1316, Customers!A$2:E$301, 5, FALSE)</f>
        <v>Retail</v>
      </c>
      <c r="P1316">
        <f>VLOOKUP(C1316, Customers!A$2:C$301, 3, FALSE)</f>
        <v>49</v>
      </c>
      <c r="Q1316" t="str">
        <f>VLOOKUP(E1316, Sales_Reps!A$2:C$31, 3, FALSE)</f>
        <v>North</v>
      </c>
      <c r="R1316">
        <f>VLOOKUP(D1316, Products!A$2:D$61, 4, FALSE)</f>
        <v>128</v>
      </c>
    </row>
    <row r="1317" spans="1:18" x14ac:dyDescent="0.3">
      <c r="A1317" s="13" t="s">
        <v>1803</v>
      </c>
      <c r="B1317" s="14">
        <v>45634</v>
      </c>
      <c r="C1317" s="13" t="s">
        <v>194</v>
      </c>
      <c r="D1317" s="13" t="s">
        <v>386</v>
      </c>
      <c r="E1317" s="13" t="s">
        <v>86</v>
      </c>
      <c r="F1317" s="15">
        <v>10</v>
      </c>
      <c r="G1317" s="15">
        <v>2290</v>
      </c>
      <c r="H1317" s="15">
        <v>27.7</v>
      </c>
      <c r="I1317" s="15">
        <v>16556.7</v>
      </c>
      <c r="J1317" s="13" t="s">
        <v>87</v>
      </c>
      <c r="K1317" s="13" t="s">
        <v>88</v>
      </c>
      <c r="L1317">
        <f>IF(COUNTIF(A$2:A1317, A1317)=1, IF(COUNTIF(A$2:A$2001, A1317)&gt;1, 1, 0), 0)</f>
        <v>0</v>
      </c>
      <c r="M1317" t="b">
        <f>VLOOKUP(D1317, Products!A$2:F$61, 6, FALSE)</f>
        <v>1</v>
      </c>
      <c r="N1317" t="str">
        <f>VLOOKUP(D1317, Products!A$2:C$61, 3, FALSE)</f>
        <v>Beauty</v>
      </c>
      <c r="O1317" t="str">
        <f>VLOOKUP(C1317, Customers!A$2:E$301, 5, FALSE)</f>
        <v>SMB</v>
      </c>
      <c r="P1317">
        <f>VLOOKUP(C1317, Customers!A$2:C$301, 3, FALSE)</f>
        <v>44</v>
      </c>
      <c r="Q1317" t="str">
        <f>VLOOKUP(E1317, Sales_Reps!A$2:C$31, 3, FALSE)</f>
        <v>North</v>
      </c>
      <c r="R1317">
        <f>VLOOKUP(D1317, Products!A$2:D$61, 4, FALSE)</f>
        <v>1219</v>
      </c>
    </row>
    <row r="1318" spans="1:18" x14ac:dyDescent="0.3">
      <c r="A1318" s="13" t="s">
        <v>1804</v>
      </c>
      <c r="B1318" s="14">
        <v>45454</v>
      </c>
      <c r="C1318" s="13" t="s">
        <v>178</v>
      </c>
      <c r="D1318" s="13" t="s">
        <v>237</v>
      </c>
      <c r="E1318" s="13" t="s">
        <v>116</v>
      </c>
      <c r="F1318" s="15">
        <v>9</v>
      </c>
      <c r="G1318" s="15">
        <v>3640</v>
      </c>
      <c r="H1318" s="15">
        <v>20.100000000000001</v>
      </c>
      <c r="I1318" s="15">
        <v>26175.24</v>
      </c>
      <c r="J1318" s="13" t="s">
        <v>87</v>
      </c>
      <c r="K1318" s="13" t="s">
        <v>94</v>
      </c>
      <c r="L1318">
        <f>IF(COUNTIF(A$2:A1318, A1318)=1, IF(COUNTIF(A$2:A$2001, A1318)&gt;1, 1, 0), 0)</f>
        <v>0</v>
      </c>
      <c r="M1318" t="b">
        <f>VLOOKUP(D1318, Products!A$2:F$61, 6, FALSE)</f>
        <v>1</v>
      </c>
      <c r="N1318" t="str">
        <f>VLOOKUP(D1318, Products!A$2:C$61, 3, FALSE)</f>
        <v>Apparel</v>
      </c>
      <c r="O1318" t="str">
        <f>VLOOKUP(C1318, Customers!A$2:E$301, 5, FALSE)</f>
        <v>Corporate</v>
      </c>
      <c r="P1318">
        <f>VLOOKUP(C1318, Customers!A$2:C$301, 3, FALSE)</f>
        <v>55</v>
      </c>
      <c r="Q1318" t="str">
        <f>VLOOKUP(E1318, Sales_Reps!A$2:C$31, 3, FALSE)</f>
        <v>West</v>
      </c>
      <c r="R1318">
        <f>VLOOKUP(D1318, Products!A$2:D$61, 4, FALSE)</f>
        <v>2611</v>
      </c>
    </row>
    <row r="1319" spans="1:18" x14ac:dyDescent="0.3">
      <c r="A1319" s="13" t="s">
        <v>1805</v>
      </c>
      <c r="B1319" s="14">
        <v>45565</v>
      </c>
      <c r="C1319" s="13" t="s">
        <v>606</v>
      </c>
      <c r="D1319" s="13" t="s">
        <v>91</v>
      </c>
      <c r="E1319" s="13" t="s">
        <v>285</v>
      </c>
      <c r="F1319" s="15">
        <v>4</v>
      </c>
      <c r="G1319" s="15">
        <v>820</v>
      </c>
      <c r="H1319" s="15">
        <v>7.6</v>
      </c>
      <c r="I1319" s="15">
        <v>3030.72</v>
      </c>
      <c r="J1319" s="13" t="s">
        <v>87</v>
      </c>
      <c r="K1319" s="13" t="s">
        <v>112</v>
      </c>
      <c r="L1319">
        <f>IF(COUNTIF(A$2:A1319, A1319)=1, IF(COUNTIF(A$2:A$2001, A1319)&gt;1, 1, 0), 0)</f>
        <v>0</v>
      </c>
      <c r="M1319" t="b">
        <f>VLOOKUP(D1319, Products!A$2:F$61, 6, FALSE)</f>
        <v>1</v>
      </c>
      <c r="N1319" t="str">
        <f>VLOOKUP(D1319, Products!A$2:C$61, 3, FALSE)</f>
        <v>Apparel</v>
      </c>
      <c r="O1319" t="str">
        <f>VLOOKUP(C1319, Customers!A$2:E$301, 5, FALSE)</f>
        <v>Retail</v>
      </c>
      <c r="P1319">
        <f>VLOOKUP(C1319, Customers!A$2:C$301, 3, FALSE)</f>
        <v>52</v>
      </c>
      <c r="Q1319" t="str">
        <f>VLOOKUP(E1319, Sales_Reps!A$2:C$31, 3, FALSE)</f>
        <v>East</v>
      </c>
      <c r="R1319">
        <f>VLOOKUP(D1319, Products!A$2:D$61, 4, FALSE)</f>
        <v>391</v>
      </c>
    </row>
    <row r="1320" spans="1:18" x14ac:dyDescent="0.3">
      <c r="A1320" s="13" t="s">
        <v>1806</v>
      </c>
      <c r="B1320" s="14">
        <v>45443</v>
      </c>
      <c r="C1320" s="13" t="s">
        <v>1358</v>
      </c>
      <c r="D1320" s="13" t="s">
        <v>127</v>
      </c>
      <c r="E1320" s="13" t="s">
        <v>98</v>
      </c>
      <c r="F1320" s="15">
        <v>1</v>
      </c>
      <c r="G1320" s="15">
        <v>970</v>
      </c>
      <c r="H1320" s="15">
        <v>1.7</v>
      </c>
      <c r="I1320" s="15">
        <v>953.51</v>
      </c>
      <c r="J1320" s="13" t="s">
        <v>87</v>
      </c>
      <c r="K1320" s="13" t="s">
        <v>112</v>
      </c>
      <c r="L1320">
        <f>IF(COUNTIF(A$2:A1320, A1320)=1, IF(COUNTIF(A$2:A$2001, A1320)&gt;1, 1, 0), 0)</f>
        <v>0</v>
      </c>
      <c r="M1320" t="b">
        <f>VLOOKUP(D1320, Products!A$2:F$61, 6, FALSE)</f>
        <v>1</v>
      </c>
      <c r="N1320" t="str">
        <f>VLOOKUP(D1320, Products!A$2:C$61, 3, FALSE)</f>
        <v>Grocery</v>
      </c>
      <c r="O1320" t="str">
        <f>VLOOKUP(C1320, Customers!A$2:E$301, 5, FALSE)</f>
        <v>Corporate</v>
      </c>
      <c r="P1320">
        <f>VLOOKUP(C1320, Customers!A$2:C$301, 3, FALSE)</f>
        <v>42</v>
      </c>
      <c r="Q1320" t="str">
        <f>VLOOKUP(E1320, Sales_Reps!A$2:C$31, 3, FALSE)</f>
        <v>South</v>
      </c>
      <c r="R1320">
        <f>VLOOKUP(D1320, Products!A$2:D$61, 4, FALSE)</f>
        <v>434</v>
      </c>
    </row>
    <row r="1321" spans="1:18" x14ac:dyDescent="0.3">
      <c r="A1321" s="13" t="s">
        <v>1807</v>
      </c>
      <c r="B1321" s="14">
        <v>45318</v>
      </c>
      <c r="C1321" s="13" t="s">
        <v>130</v>
      </c>
      <c r="D1321" s="13" t="s">
        <v>659</v>
      </c>
      <c r="E1321" s="13" t="s">
        <v>121</v>
      </c>
      <c r="F1321" s="15">
        <v>5</v>
      </c>
      <c r="G1321" s="15">
        <v>3560</v>
      </c>
      <c r="H1321" s="15">
        <v>10.5</v>
      </c>
      <c r="I1321" s="15">
        <v>15931</v>
      </c>
      <c r="J1321" s="13" t="s">
        <v>87</v>
      </c>
      <c r="K1321" s="13" t="s">
        <v>133</v>
      </c>
      <c r="L1321">
        <f>IF(COUNTIF(A$2:A1321, A1321)=1, IF(COUNTIF(A$2:A$2001, A1321)&gt;1, 1, 0), 0)</f>
        <v>0</v>
      </c>
      <c r="M1321" t="b">
        <f>VLOOKUP(D1321, Products!A$2:F$61, 6, FALSE)</f>
        <v>1</v>
      </c>
      <c r="N1321" t="str">
        <f>VLOOKUP(D1321, Products!A$2:C$61, 3, FALSE)</f>
        <v>Apparel</v>
      </c>
      <c r="O1321" t="str">
        <f>VLOOKUP(C1321, Customers!A$2:E$301, 5, FALSE)</f>
        <v>Retail</v>
      </c>
      <c r="P1321">
        <f>VLOOKUP(C1321, Customers!A$2:C$301, 3, FALSE)</f>
        <v>60</v>
      </c>
      <c r="Q1321" t="str">
        <f>VLOOKUP(E1321, Sales_Reps!A$2:C$31, 3, FALSE)</f>
        <v>East</v>
      </c>
      <c r="R1321">
        <f>VLOOKUP(D1321, Products!A$2:D$61, 4, FALSE)</f>
        <v>2629</v>
      </c>
    </row>
    <row r="1322" spans="1:18" x14ac:dyDescent="0.3">
      <c r="A1322" s="13" t="s">
        <v>1808</v>
      </c>
      <c r="B1322" s="14">
        <v>45308</v>
      </c>
      <c r="C1322" s="13" t="s">
        <v>353</v>
      </c>
      <c r="D1322" s="13" t="s">
        <v>502</v>
      </c>
      <c r="E1322" s="13" t="s">
        <v>204</v>
      </c>
      <c r="F1322" s="15">
        <v>6</v>
      </c>
      <c r="G1322" s="15">
        <v>1090</v>
      </c>
      <c r="H1322" s="15">
        <v>2.4</v>
      </c>
      <c r="I1322" s="15">
        <v>6383.04</v>
      </c>
      <c r="J1322" s="13" t="s">
        <v>93</v>
      </c>
      <c r="K1322" s="13" t="s">
        <v>94</v>
      </c>
      <c r="L1322">
        <f>IF(COUNTIF(A$2:A1322, A1322)=1, IF(COUNTIF(A$2:A$2001, A1322)&gt;1, 1, 0), 0)</f>
        <v>0</v>
      </c>
      <c r="M1322" t="b">
        <f>VLOOKUP(D1322, Products!A$2:F$61, 6, FALSE)</f>
        <v>1</v>
      </c>
      <c r="N1322" t="str">
        <f>VLOOKUP(D1322, Products!A$2:C$61, 3, FALSE)</f>
        <v>Home</v>
      </c>
      <c r="O1322" t="str">
        <f>VLOOKUP(C1322, Customers!A$2:E$301, 5, FALSE)</f>
        <v>Retail</v>
      </c>
      <c r="P1322">
        <f>VLOOKUP(C1322, Customers!A$2:C$301, 3, FALSE)</f>
        <v>60</v>
      </c>
      <c r="Q1322" t="str">
        <f>VLOOKUP(E1322, Sales_Reps!A$2:C$31, 3, FALSE)</f>
        <v>South</v>
      </c>
      <c r="R1322">
        <f>VLOOKUP(D1322, Products!A$2:D$61, 4, FALSE)</f>
        <v>464</v>
      </c>
    </row>
    <row r="1323" spans="1:18" x14ac:dyDescent="0.3">
      <c r="A1323" s="13" t="s">
        <v>1809</v>
      </c>
      <c r="B1323" s="14">
        <v>45306</v>
      </c>
      <c r="C1323" s="13" t="s">
        <v>707</v>
      </c>
      <c r="D1323" s="13" t="s">
        <v>279</v>
      </c>
      <c r="E1323" s="13" t="s">
        <v>238</v>
      </c>
      <c r="F1323" s="15">
        <v>6</v>
      </c>
      <c r="G1323" s="15">
        <v>2660</v>
      </c>
      <c r="H1323" s="15">
        <v>6.4</v>
      </c>
      <c r="I1323" s="15">
        <v>14938.56</v>
      </c>
      <c r="J1323" s="13" t="s">
        <v>87</v>
      </c>
      <c r="K1323" s="13" t="s">
        <v>112</v>
      </c>
      <c r="L1323">
        <f>IF(COUNTIF(A$2:A1323, A1323)=1, IF(COUNTIF(A$2:A$2001, A1323)&gt;1, 1, 0), 0)</f>
        <v>0</v>
      </c>
      <c r="M1323" t="b">
        <f>VLOOKUP(D1323, Products!A$2:F$61, 6, FALSE)</f>
        <v>0</v>
      </c>
      <c r="N1323" t="str">
        <f>VLOOKUP(D1323, Products!A$2:C$61, 3, FALSE)</f>
        <v>Electronics</v>
      </c>
      <c r="O1323" t="str">
        <f>VLOOKUP(C1323, Customers!A$2:E$301, 5, FALSE)</f>
        <v>Retail</v>
      </c>
      <c r="P1323">
        <f>VLOOKUP(C1323, Customers!A$2:C$301, 3, FALSE)</f>
        <v>33</v>
      </c>
      <c r="Q1323" t="str">
        <f>VLOOKUP(E1323, Sales_Reps!A$2:C$31, 3, FALSE)</f>
        <v>East</v>
      </c>
      <c r="R1323">
        <f>VLOOKUP(D1323, Products!A$2:D$61, 4, FALSE)</f>
        <v>1259</v>
      </c>
    </row>
    <row r="1324" spans="1:18" x14ac:dyDescent="0.3">
      <c r="A1324" s="13" t="s">
        <v>1810</v>
      </c>
      <c r="B1324" s="14">
        <v>45432</v>
      </c>
      <c r="C1324" s="13" t="s">
        <v>324</v>
      </c>
      <c r="D1324" s="13" t="s">
        <v>408</v>
      </c>
      <c r="E1324" s="13" t="s">
        <v>215</v>
      </c>
      <c r="F1324" s="15">
        <v>5</v>
      </c>
      <c r="G1324" s="15">
        <v>3970</v>
      </c>
      <c r="H1324" s="15">
        <v>18.8</v>
      </c>
      <c r="I1324" s="15">
        <v>16118.2</v>
      </c>
      <c r="J1324" s="13" t="s">
        <v>93</v>
      </c>
      <c r="K1324" s="13" t="s">
        <v>133</v>
      </c>
      <c r="L1324">
        <f>IF(COUNTIF(A$2:A1324, A1324)=1, IF(COUNTIF(A$2:A$2001, A1324)&gt;1, 1, 0), 0)</f>
        <v>0</v>
      </c>
      <c r="M1324" t="b">
        <f>VLOOKUP(D1324, Products!A$2:F$61, 6, FALSE)</f>
        <v>1</v>
      </c>
      <c r="N1324" t="str">
        <f>VLOOKUP(D1324, Products!A$2:C$61, 3, FALSE)</f>
        <v>Electronics</v>
      </c>
      <c r="O1324" t="str">
        <f>VLOOKUP(C1324, Customers!A$2:E$301, 5, FALSE)</f>
        <v>Retail</v>
      </c>
      <c r="P1324">
        <f>VLOOKUP(C1324, Customers!A$2:C$301, 3, FALSE)</f>
        <v>28</v>
      </c>
      <c r="Q1324" t="str">
        <f>VLOOKUP(E1324, Sales_Reps!A$2:C$31, 3, FALSE)</f>
        <v>North</v>
      </c>
      <c r="R1324">
        <f>VLOOKUP(D1324, Products!A$2:D$61, 4, FALSE)</f>
        <v>2865</v>
      </c>
    </row>
    <row r="1325" spans="1:18" x14ac:dyDescent="0.3">
      <c r="A1325" s="13" t="s">
        <v>1811</v>
      </c>
      <c r="B1325" s="14">
        <v>45369</v>
      </c>
      <c r="C1325" s="13" t="s">
        <v>336</v>
      </c>
      <c r="D1325" s="13" t="s">
        <v>515</v>
      </c>
      <c r="E1325" s="13" t="s">
        <v>158</v>
      </c>
      <c r="F1325" s="15">
        <v>7</v>
      </c>
      <c r="G1325" s="15">
        <v>6940</v>
      </c>
      <c r="H1325" s="15">
        <v>23.8</v>
      </c>
      <c r="I1325" s="15">
        <v>37017.96</v>
      </c>
      <c r="J1325" s="13" t="s">
        <v>144</v>
      </c>
      <c r="K1325" s="13" t="s">
        <v>112</v>
      </c>
      <c r="L1325">
        <f>IF(COUNTIF(A$2:A1325, A1325)=1, IF(COUNTIF(A$2:A$2001, A1325)&gt;1, 1, 0), 0)</f>
        <v>0</v>
      </c>
      <c r="M1325" t="b">
        <f>VLOOKUP(D1325, Products!A$2:F$61, 6, FALSE)</f>
        <v>1</v>
      </c>
      <c r="N1325" t="str">
        <f>VLOOKUP(D1325, Products!A$2:C$61, 3, FALSE)</f>
        <v>Sports</v>
      </c>
      <c r="O1325" t="str">
        <f>VLOOKUP(C1325, Customers!A$2:E$301, 5, FALSE)</f>
        <v>Retail</v>
      </c>
      <c r="P1325">
        <f>VLOOKUP(C1325, Customers!A$2:C$301, 3, FALSE)</f>
        <v>49</v>
      </c>
      <c r="Q1325" t="str">
        <f>VLOOKUP(E1325, Sales_Reps!A$2:C$31, 3, FALSE)</f>
        <v>East</v>
      </c>
      <c r="R1325">
        <f>VLOOKUP(D1325, Products!A$2:D$61, 4, FALSE)</f>
        <v>2827</v>
      </c>
    </row>
    <row r="1326" spans="1:18" x14ac:dyDescent="0.3">
      <c r="A1326" s="13" t="s">
        <v>1812</v>
      </c>
      <c r="B1326" s="14">
        <v>45544</v>
      </c>
      <c r="C1326" s="13" t="s">
        <v>643</v>
      </c>
      <c r="D1326" s="13" t="s">
        <v>151</v>
      </c>
      <c r="E1326" s="13" t="s">
        <v>139</v>
      </c>
      <c r="F1326" s="15">
        <v>3</v>
      </c>
      <c r="G1326" s="15">
        <v>2400</v>
      </c>
      <c r="H1326" s="15">
        <v>9.8000000000000007</v>
      </c>
      <c r="I1326" s="15">
        <v>6494.4</v>
      </c>
      <c r="J1326" s="13" t="s">
        <v>87</v>
      </c>
      <c r="K1326" s="13" t="s">
        <v>112</v>
      </c>
      <c r="L1326">
        <f>IF(COUNTIF(A$2:A1326, A1326)=1, IF(COUNTIF(A$2:A$2001, A1326)&gt;1, 1, 0), 0)</f>
        <v>0</v>
      </c>
      <c r="M1326" t="b">
        <f>VLOOKUP(D1326, Products!A$2:F$61, 6, FALSE)</f>
        <v>1</v>
      </c>
      <c r="N1326" t="str">
        <f>VLOOKUP(D1326, Products!A$2:C$61, 3, FALSE)</f>
        <v>Sports</v>
      </c>
      <c r="O1326" t="str">
        <f>VLOOKUP(C1326, Customers!A$2:E$301, 5, FALSE)</f>
        <v>SMB</v>
      </c>
      <c r="P1326">
        <f>VLOOKUP(C1326, Customers!A$2:C$301, 3, FALSE)</f>
        <v>27</v>
      </c>
      <c r="Q1326" t="str">
        <f>VLOOKUP(E1326, Sales_Reps!A$2:C$31, 3, FALSE)</f>
        <v>North</v>
      </c>
      <c r="R1326">
        <f>VLOOKUP(D1326, Products!A$2:D$61, 4, FALSE)</f>
        <v>974</v>
      </c>
    </row>
    <row r="1327" spans="1:18" x14ac:dyDescent="0.3">
      <c r="A1327" s="13" t="s">
        <v>1813</v>
      </c>
      <c r="B1327" s="14">
        <v>45395</v>
      </c>
      <c r="C1327" s="13" t="s">
        <v>1250</v>
      </c>
      <c r="D1327" s="13" t="s">
        <v>161</v>
      </c>
      <c r="E1327" s="13" t="s">
        <v>154</v>
      </c>
      <c r="F1327" s="15">
        <v>8</v>
      </c>
      <c r="G1327" s="15">
        <v>3450</v>
      </c>
      <c r="H1327" s="15">
        <v>26.6</v>
      </c>
      <c r="I1327" s="15">
        <v>20258.400000000001</v>
      </c>
      <c r="J1327" s="13" t="s">
        <v>140</v>
      </c>
      <c r="K1327" s="13" t="s">
        <v>88</v>
      </c>
      <c r="L1327">
        <f>IF(COUNTIF(A$2:A1327, A1327)=1, IF(COUNTIF(A$2:A$2001, A1327)&gt;1, 1, 0), 0)</f>
        <v>0</v>
      </c>
      <c r="M1327" t="b">
        <f>VLOOKUP(D1327, Products!A$2:F$61, 6, FALSE)</f>
        <v>1</v>
      </c>
      <c r="N1327" t="str">
        <f>VLOOKUP(D1327, Products!A$2:C$61, 3, FALSE)</f>
        <v>Sports</v>
      </c>
      <c r="O1327" t="str">
        <f>VLOOKUP(C1327, Customers!A$2:E$301, 5, FALSE)</f>
        <v>Retail</v>
      </c>
      <c r="P1327">
        <f>VLOOKUP(C1327, Customers!A$2:C$301, 3, FALSE)</f>
        <v>44</v>
      </c>
      <c r="Q1327" t="str">
        <f>VLOOKUP(E1327, Sales_Reps!A$2:C$31, 3, FALSE)</f>
        <v>East</v>
      </c>
      <c r="R1327">
        <f>VLOOKUP(D1327, Products!A$2:D$61, 4, FALSE)</f>
        <v>2467</v>
      </c>
    </row>
    <row r="1328" spans="1:18" x14ac:dyDescent="0.3">
      <c r="A1328" s="13" t="s">
        <v>1814</v>
      </c>
      <c r="B1328" s="14">
        <v>45389</v>
      </c>
      <c r="C1328" s="13" t="s">
        <v>440</v>
      </c>
      <c r="D1328" s="13" t="s">
        <v>267</v>
      </c>
      <c r="E1328" s="13" t="s">
        <v>139</v>
      </c>
      <c r="F1328" s="15">
        <v>4</v>
      </c>
      <c r="G1328" s="15">
        <v>1220</v>
      </c>
      <c r="H1328" s="15">
        <v>5.5</v>
      </c>
      <c r="I1328" s="15">
        <v>4611.6000000000004</v>
      </c>
      <c r="J1328" s="13" t="s">
        <v>87</v>
      </c>
      <c r="K1328" s="13" t="s">
        <v>88</v>
      </c>
      <c r="L1328">
        <f>IF(COUNTIF(A$2:A1328, A1328)=1, IF(COUNTIF(A$2:A$2001, A1328)&gt;1, 1, 0), 0)</f>
        <v>0</v>
      </c>
      <c r="M1328" t="b">
        <f>VLOOKUP(D1328, Products!A$2:F$61, 6, FALSE)</f>
        <v>1</v>
      </c>
      <c r="N1328" t="str">
        <f>VLOOKUP(D1328, Products!A$2:C$61, 3, FALSE)</f>
        <v>Electronics</v>
      </c>
      <c r="O1328" t="str">
        <f>VLOOKUP(C1328, Customers!A$2:E$301, 5, FALSE)</f>
        <v>SMB</v>
      </c>
      <c r="P1328">
        <f>VLOOKUP(C1328, Customers!A$2:C$301, 3, FALSE)</f>
        <v>30</v>
      </c>
      <c r="Q1328" t="str">
        <f>VLOOKUP(E1328, Sales_Reps!A$2:C$31, 3, FALSE)</f>
        <v>North</v>
      </c>
      <c r="R1328">
        <f>VLOOKUP(D1328, Products!A$2:D$61, 4, FALSE)</f>
        <v>517</v>
      </c>
    </row>
    <row r="1329" spans="1:18" x14ac:dyDescent="0.3">
      <c r="A1329" s="13" t="s">
        <v>1815</v>
      </c>
      <c r="B1329" s="14">
        <v>45536</v>
      </c>
      <c r="C1329" s="13" t="s">
        <v>1816</v>
      </c>
      <c r="D1329" s="13" t="s">
        <v>292</v>
      </c>
      <c r="E1329" s="13" t="s">
        <v>86</v>
      </c>
      <c r="F1329" s="15">
        <v>1</v>
      </c>
      <c r="G1329" s="15">
        <v>620</v>
      </c>
      <c r="H1329" s="15">
        <v>22.3</v>
      </c>
      <c r="I1329" s="15">
        <v>481.74</v>
      </c>
      <c r="J1329" s="13" t="s">
        <v>93</v>
      </c>
      <c r="K1329" s="13" t="s">
        <v>99</v>
      </c>
      <c r="L1329">
        <f>IF(COUNTIF(A$2:A1329, A1329)=1, IF(COUNTIF(A$2:A$2001, A1329)&gt;1, 1, 0), 0)</f>
        <v>0</v>
      </c>
      <c r="M1329" t="b">
        <f>VLOOKUP(D1329, Products!A$2:F$61, 6, FALSE)</f>
        <v>1</v>
      </c>
      <c r="N1329" t="str">
        <f>VLOOKUP(D1329, Products!A$2:C$61, 3, FALSE)</f>
        <v>Apparel</v>
      </c>
      <c r="O1329" t="str">
        <f>VLOOKUP(C1329, Customers!A$2:E$301, 5, FALSE)</f>
        <v>Retail</v>
      </c>
      <c r="P1329">
        <f>VLOOKUP(C1329, Customers!A$2:C$301, 3, FALSE)</f>
        <v>62</v>
      </c>
      <c r="Q1329" t="str">
        <f>VLOOKUP(E1329, Sales_Reps!A$2:C$31, 3, FALSE)</f>
        <v>North</v>
      </c>
      <c r="R1329">
        <f>VLOOKUP(D1329, Products!A$2:D$61, 4, FALSE)</f>
        <v>396</v>
      </c>
    </row>
    <row r="1330" spans="1:18" x14ac:dyDescent="0.3">
      <c r="A1330" s="13" t="s">
        <v>1817</v>
      </c>
      <c r="B1330" s="14">
        <v>45348</v>
      </c>
      <c r="C1330" s="13" t="s">
        <v>231</v>
      </c>
      <c r="D1330" s="13" t="s">
        <v>282</v>
      </c>
      <c r="E1330" s="13" t="s">
        <v>154</v>
      </c>
      <c r="F1330" s="15">
        <v>1</v>
      </c>
      <c r="G1330" s="15">
        <v>300</v>
      </c>
      <c r="H1330" s="15">
        <v>12.5</v>
      </c>
      <c r="I1330" s="15">
        <v>262.5</v>
      </c>
      <c r="J1330" s="13" t="s">
        <v>87</v>
      </c>
      <c r="K1330" s="13" t="s">
        <v>117</v>
      </c>
      <c r="L1330">
        <f>IF(COUNTIF(A$2:A1330, A1330)=1, IF(COUNTIF(A$2:A$2001, A1330)&gt;1, 1, 0), 0)</f>
        <v>0</v>
      </c>
      <c r="M1330" t="b">
        <f>VLOOKUP(D1330, Products!A$2:F$61, 6, FALSE)</f>
        <v>1</v>
      </c>
      <c r="N1330" t="str">
        <f>VLOOKUP(D1330, Products!A$2:C$61, 3, FALSE)</f>
        <v>Electronics</v>
      </c>
      <c r="O1330" t="str">
        <f>VLOOKUP(C1330, Customers!A$2:E$301, 5, FALSE)</f>
        <v>SMB</v>
      </c>
      <c r="P1330">
        <f>VLOOKUP(C1330, Customers!A$2:C$301, 3, FALSE)</f>
        <v>64</v>
      </c>
      <c r="Q1330" t="str">
        <f>VLOOKUP(E1330, Sales_Reps!A$2:C$31, 3, FALSE)</f>
        <v>East</v>
      </c>
      <c r="R1330">
        <f>VLOOKUP(D1330, Products!A$2:D$61, 4, FALSE)</f>
        <v>128</v>
      </c>
    </row>
    <row r="1331" spans="1:18" x14ac:dyDescent="0.3">
      <c r="A1331" s="13" t="s">
        <v>1818</v>
      </c>
      <c r="B1331" s="14">
        <v>45502</v>
      </c>
      <c r="C1331" s="13" t="s">
        <v>900</v>
      </c>
      <c r="D1331" s="13" t="s">
        <v>182</v>
      </c>
      <c r="E1331" s="13" t="s">
        <v>192</v>
      </c>
      <c r="F1331" s="15">
        <v>3</v>
      </c>
      <c r="G1331" s="15">
        <v>1010</v>
      </c>
      <c r="H1331" s="15">
        <v>14.1</v>
      </c>
      <c r="I1331" s="15">
        <v>2602.77</v>
      </c>
      <c r="J1331" s="13" t="s">
        <v>87</v>
      </c>
      <c r="K1331" s="13" t="s">
        <v>117</v>
      </c>
      <c r="L1331">
        <f>IF(COUNTIF(A$2:A1331, A1331)=1, IF(COUNTIF(A$2:A$2001, A1331)&gt;1, 1, 0), 0)</f>
        <v>0</v>
      </c>
      <c r="M1331" t="b">
        <f>VLOOKUP(D1331, Products!A$2:F$61, 6, FALSE)</f>
        <v>1</v>
      </c>
      <c r="N1331" t="str">
        <f>VLOOKUP(D1331, Products!A$2:C$61, 3, FALSE)</f>
        <v>Sports</v>
      </c>
      <c r="O1331" t="str">
        <f>VLOOKUP(C1331, Customers!A$2:E$301, 5, FALSE)</f>
        <v>Retail</v>
      </c>
      <c r="P1331">
        <f>VLOOKUP(C1331, Customers!A$2:C$301, 3, FALSE)</f>
        <v>35</v>
      </c>
      <c r="Q1331" t="str">
        <f>VLOOKUP(E1331, Sales_Reps!A$2:C$31, 3, FALSE)</f>
        <v>East</v>
      </c>
      <c r="R1331">
        <f>VLOOKUP(D1331, Products!A$2:D$61, 4, FALSE)</f>
        <v>516</v>
      </c>
    </row>
    <row r="1332" spans="1:18" x14ac:dyDescent="0.3">
      <c r="A1332" s="13" t="s">
        <v>1819</v>
      </c>
      <c r="B1332" s="14">
        <v>45600</v>
      </c>
      <c r="C1332" s="13" t="s">
        <v>797</v>
      </c>
      <c r="D1332" s="13" t="s">
        <v>443</v>
      </c>
      <c r="E1332" s="13" t="s">
        <v>343</v>
      </c>
      <c r="F1332" s="15">
        <v>2</v>
      </c>
      <c r="G1332" s="15">
        <v>5080</v>
      </c>
      <c r="H1332" s="15">
        <v>16.8</v>
      </c>
      <c r="I1332" s="15">
        <v>8453.1200000000008</v>
      </c>
      <c r="J1332" s="13" t="s">
        <v>87</v>
      </c>
      <c r="K1332" s="13" t="s">
        <v>99</v>
      </c>
      <c r="L1332">
        <f>IF(COUNTIF(A$2:A1332, A1332)=1, IF(COUNTIF(A$2:A$2001, A1332)&gt;1, 1, 0), 0)</f>
        <v>0</v>
      </c>
      <c r="M1332" t="b">
        <f>VLOOKUP(D1332, Products!A$2:F$61, 6, FALSE)</f>
        <v>1</v>
      </c>
      <c r="N1332" t="str">
        <f>VLOOKUP(D1332, Products!A$2:C$61, 3, FALSE)</f>
        <v>Home</v>
      </c>
      <c r="O1332" t="str">
        <f>VLOOKUP(C1332, Customers!A$2:E$301, 5, FALSE)</f>
        <v>Retail</v>
      </c>
      <c r="P1332">
        <f>VLOOKUP(C1332, Customers!A$2:C$301, 3, FALSE)</f>
        <v>63</v>
      </c>
      <c r="Q1332" t="str">
        <f>VLOOKUP(E1332, Sales_Reps!A$2:C$31, 3, FALSE)</f>
        <v>West</v>
      </c>
      <c r="R1332">
        <f>VLOOKUP(D1332, Products!A$2:D$61, 4, FALSE)</f>
        <v>2459</v>
      </c>
    </row>
    <row r="1333" spans="1:18" x14ac:dyDescent="0.3">
      <c r="A1333" s="13" t="s">
        <v>1820</v>
      </c>
      <c r="B1333" s="14">
        <v>45416</v>
      </c>
      <c r="C1333" s="13" t="s">
        <v>175</v>
      </c>
      <c r="D1333" s="13" t="s">
        <v>106</v>
      </c>
      <c r="E1333" s="13" t="s">
        <v>343</v>
      </c>
      <c r="F1333" s="15">
        <v>2</v>
      </c>
      <c r="G1333" s="15">
        <v>3160</v>
      </c>
      <c r="H1333" s="15">
        <v>21.4</v>
      </c>
      <c r="I1333" s="15">
        <v>4967.5200000000004</v>
      </c>
      <c r="J1333" s="13" t="s">
        <v>87</v>
      </c>
      <c r="K1333" s="13" t="s">
        <v>1821</v>
      </c>
      <c r="L1333">
        <f>IF(COUNTIF(A$2:A1333, A1333)=1, IF(COUNTIF(A$2:A$2001, A1333)&gt;1, 1, 0), 0)</f>
        <v>0</v>
      </c>
      <c r="M1333" t="b">
        <f>VLOOKUP(D1333, Products!A$2:F$61, 6, FALSE)</f>
        <v>1</v>
      </c>
      <c r="N1333" t="str">
        <f>VLOOKUP(D1333, Products!A$2:C$61, 3, FALSE)</f>
        <v>Apparel</v>
      </c>
      <c r="O1333" t="str">
        <f>VLOOKUP(C1333, Customers!A$2:E$301, 5, FALSE)</f>
        <v>SMB</v>
      </c>
      <c r="P1333">
        <f>VLOOKUP(C1333, Customers!A$2:C$301, 3, FALSE)</f>
        <v>40</v>
      </c>
      <c r="Q1333" t="str">
        <f>VLOOKUP(E1333, Sales_Reps!A$2:C$31, 3, FALSE)</f>
        <v>West</v>
      </c>
      <c r="R1333">
        <f>VLOOKUP(D1333, Products!A$2:D$61, 4, FALSE)</f>
        <v>1886</v>
      </c>
    </row>
    <row r="1334" spans="1:18" x14ac:dyDescent="0.3">
      <c r="A1334" s="13" t="s">
        <v>1822</v>
      </c>
      <c r="B1334" s="14">
        <v>45535</v>
      </c>
      <c r="C1334" s="13" t="s">
        <v>1016</v>
      </c>
      <c r="D1334" s="13" t="s">
        <v>157</v>
      </c>
      <c r="E1334" s="13" t="s">
        <v>346</v>
      </c>
      <c r="F1334" s="15">
        <v>7</v>
      </c>
      <c r="G1334" s="15">
        <v>3450</v>
      </c>
      <c r="H1334" s="15">
        <v>21.3</v>
      </c>
      <c r="I1334" s="15">
        <v>19006.05</v>
      </c>
      <c r="J1334" s="13" t="s">
        <v>87</v>
      </c>
      <c r="K1334" s="13" t="s">
        <v>117</v>
      </c>
      <c r="L1334">
        <f>IF(COUNTIF(A$2:A1334, A1334)=1, IF(COUNTIF(A$2:A$2001, A1334)&gt;1, 1, 0), 0)</f>
        <v>0</v>
      </c>
      <c r="M1334" t="b">
        <f>VLOOKUP(D1334, Products!A$2:F$61, 6, FALSE)</f>
        <v>1</v>
      </c>
      <c r="N1334" t="str">
        <f>VLOOKUP(D1334, Products!A$2:C$61, 3, FALSE)</f>
        <v>Beauty</v>
      </c>
      <c r="O1334" t="str">
        <f>VLOOKUP(C1334, Customers!A$2:E$301, 5, FALSE)</f>
        <v>SMB</v>
      </c>
      <c r="P1334">
        <f>VLOOKUP(C1334, Customers!A$2:C$301, 3, FALSE)</f>
        <v>49</v>
      </c>
      <c r="Q1334" t="str">
        <f>VLOOKUP(E1334, Sales_Reps!A$2:C$31, 3, FALSE)</f>
        <v>South</v>
      </c>
      <c r="R1334">
        <f>VLOOKUP(D1334, Products!A$2:D$61, 4, FALSE)</f>
        <v>2420</v>
      </c>
    </row>
    <row r="1335" spans="1:18" x14ac:dyDescent="0.3">
      <c r="A1335" s="13" t="s">
        <v>1823</v>
      </c>
      <c r="B1335" s="14">
        <v>45322</v>
      </c>
      <c r="C1335" s="13" t="s">
        <v>570</v>
      </c>
      <c r="D1335" s="13" t="s">
        <v>364</v>
      </c>
      <c r="E1335" s="13" t="s">
        <v>103</v>
      </c>
      <c r="F1335" s="15">
        <v>2</v>
      </c>
      <c r="G1335" s="15">
        <v>5330</v>
      </c>
      <c r="H1335" s="15">
        <v>4.3</v>
      </c>
      <c r="I1335" s="15">
        <v>10201.620000000001</v>
      </c>
      <c r="J1335" s="13" t="s">
        <v>87</v>
      </c>
      <c r="K1335" s="13" t="s">
        <v>99</v>
      </c>
      <c r="L1335">
        <f>IF(COUNTIF(A$2:A1335, A1335)=1, IF(COUNTIF(A$2:A$2001, A1335)&gt;1, 1, 0), 0)</f>
        <v>0</v>
      </c>
      <c r="M1335" t="b">
        <f>VLOOKUP(D1335, Products!A$2:F$61, 6, FALSE)</f>
        <v>1</v>
      </c>
      <c r="N1335" t="str">
        <f>VLOOKUP(D1335, Products!A$2:C$61, 3, FALSE)</f>
        <v>Electronics</v>
      </c>
      <c r="O1335" t="str">
        <f>VLOOKUP(C1335, Customers!A$2:E$301, 5, FALSE)</f>
        <v>Corporate</v>
      </c>
      <c r="P1335">
        <f>VLOOKUP(C1335, Customers!A$2:C$301, 3, FALSE)</f>
        <v>47</v>
      </c>
      <c r="Q1335" t="str">
        <f>VLOOKUP(E1335, Sales_Reps!A$2:C$31, 3, FALSE)</f>
        <v>North</v>
      </c>
      <c r="R1335">
        <f>VLOOKUP(D1335, Products!A$2:D$61, 4, FALSE)</f>
        <v>2405</v>
      </c>
    </row>
    <row r="1336" spans="1:18" x14ac:dyDescent="0.3">
      <c r="A1336" s="13" t="s">
        <v>1824</v>
      </c>
      <c r="B1336" s="14">
        <v>45626</v>
      </c>
      <c r="C1336" s="13" t="s">
        <v>613</v>
      </c>
      <c r="D1336" s="13" t="s">
        <v>515</v>
      </c>
      <c r="E1336" s="13" t="s">
        <v>98</v>
      </c>
      <c r="F1336" s="15">
        <v>5</v>
      </c>
      <c r="G1336" s="15">
        <v>6940</v>
      </c>
      <c r="H1336" s="15">
        <v>2.9</v>
      </c>
      <c r="I1336" s="15">
        <v>33693.699999999997</v>
      </c>
      <c r="J1336" s="13" t="s">
        <v>87</v>
      </c>
      <c r="K1336" s="13" t="s">
        <v>112</v>
      </c>
      <c r="L1336">
        <f>IF(COUNTIF(A$2:A1336, A1336)=1, IF(COUNTIF(A$2:A$2001, A1336)&gt;1, 1, 0), 0)</f>
        <v>0</v>
      </c>
      <c r="M1336" t="b">
        <f>VLOOKUP(D1336, Products!A$2:F$61, 6, FALSE)</f>
        <v>1</v>
      </c>
      <c r="N1336" t="str">
        <f>VLOOKUP(D1336, Products!A$2:C$61, 3, FALSE)</f>
        <v>Sports</v>
      </c>
      <c r="O1336" t="str">
        <f>VLOOKUP(C1336, Customers!A$2:E$301, 5, FALSE)</f>
        <v>Retail</v>
      </c>
      <c r="P1336">
        <f>VLOOKUP(C1336, Customers!A$2:C$301, 3, FALSE)</f>
        <v>44</v>
      </c>
      <c r="Q1336" t="str">
        <f>VLOOKUP(E1336, Sales_Reps!A$2:C$31, 3, FALSE)</f>
        <v>South</v>
      </c>
      <c r="R1336">
        <f>VLOOKUP(D1336, Products!A$2:D$61, 4, FALSE)</f>
        <v>2827</v>
      </c>
    </row>
    <row r="1337" spans="1:18" x14ac:dyDescent="0.3">
      <c r="A1337" s="13" t="s">
        <v>1825</v>
      </c>
      <c r="B1337" s="14">
        <v>45534</v>
      </c>
      <c r="C1337" s="13" t="s">
        <v>604</v>
      </c>
      <c r="D1337" s="13" t="s">
        <v>203</v>
      </c>
      <c r="E1337" s="13" t="s">
        <v>128</v>
      </c>
      <c r="F1337" s="15">
        <v>5</v>
      </c>
      <c r="G1337" s="15">
        <v>660</v>
      </c>
      <c r="H1337" s="15">
        <v>15.8</v>
      </c>
      <c r="I1337" s="15">
        <v>2778.6</v>
      </c>
      <c r="J1337" s="13" t="s">
        <v>87</v>
      </c>
      <c r="K1337" s="13" t="s">
        <v>117</v>
      </c>
      <c r="L1337">
        <f>IF(COUNTIF(A$2:A1337, A1337)=1, IF(COUNTIF(A$2:A$2001, A1337)&gt;1, 1, 0), 0)</f>
        <v>0</v>
      </c>
      <c r="M1337" t="b">
        <f>VLOOKUP(D1337, Products!A$2:F$61, 6, FALSE)</f>
        <v>1</v>
      </c>
      <c r="N1337" t="str">
        <f>VLOOKUP(D1337, Products!A$2:C$61, 3, FALSE)</f>
        <v>Home</v>
      </c>
      <c r="O1337" t="str">
        <f>VLOOKUP(C1337, Customers!A$2:E$301, 5, FALSE)</f>
        <v>Retail</v>
      </c>
      <c r="P1337">
        <f>VLOOKUP(C1337, Customers!A$2:C$301, 3, FALSE)</f>
        <v>34</v>
      </c>
      <c r="Q1337" t="str">
        <f>VLOOKUP(E1337, Sales_Reps!A$2:C$31, 3, FALSE)</f>
        <v>West</v>
      </c>
      <c r="R1337">
        <f>VLOOKUP(D1337, Products!A$2:D$61, 4, FALSE)</f>
        <v>329</v>
      </c>
    </row>
    <row r="1338" spans="1:18" x14ac:dyDescent="0.3">
      <c r="A1338" s="13" t="s">
        <v>1826</v>
      </c>
      <c r="B1338" s="14">
        <v>45519</v>
      </c>
      <c r="C1338" s="13" t="s">
        <v>986</v>
      </c>
      <c r="D1338" s="13" t="s">
        <v>191</v>
      </c>
      <c r="E1338" s="13" t="s">
        <v>252</v>
      </c>
      <c r="F1338" s="15">
        <v>9</v>
      </c>
      <c r="G1338" s="15">
        <v>5100</v>
      </c>
      <c r="H1338" s="15">
        <v>0.4</v>
      </c>
      <c r="I1338" s="15">
        <v>45716.4</v>
      </c>
      <c r="J1338" s="13" t="s">
        <v>87</v>
      </c>
      <c r="K1338" s="13" t="s">
        <v>94</v>
      </c>
      <c r="L1338">
        <f>IF(COUNTIF(A$2:A1338, A1338)=1, IF(COUNTIF(A$2:A$2001, A1338)&gt;1, 1, 0), 0)</f>
        <v>0</v>
      </c>
      <c r="M1338" t="b">
        <f>VLOOKUP(D1338, Products!A$2:F$61, 6, FALSE)</f>
        <v>1</v>
      </c>
      <c r="N1338" t="str">
        <f>VLOOKUP(D1338, Products!A$2:C$61, 3, FALSE)</f>
        <v>Beauty</v>
      </c>
      <c r="O1338" t="str">
        <f>VLOOKUP(C1338, Customers!A$2:E$301, 5, FALSE)</f>
        <v>Corporate</v>
      </c>
      <c r="P1338">
        <f>VLOOKUP(C1338, Customers!A$2:C$301, 3, FALSE)</f>
        <v>52</v>
      </c>
      <c r="Q1338" t="str">
        <f>VLOOKUP(E1338, Sales_Reps!A$2:C$31, 3, FALSE)</f>
        <v>South</v>
      </c>
      <c r="R1338">
        <f>VLOOKUP(D1338, Products!A$2:D$61, 4, FALSE)</f>
        <v>2237</v>
      </c>
    </row>
    <row r="1339" spans="1:18" x14ac:dyDescent="0.3">
      <c r="A1339" s="13" t="s">
        <v>1827</v>
      </c>
      <c r="B1339" s="14">
        <v>45315</v>
      </c>
      <c r="C1339" s="13" t="s">
        <v>1828</v>
      </c>
      <c r="D1339" s="13" t="s">
        <v>176</v>
      </c>
      <c r="E1339" s="13" t="s">
        <v>98</v>
      </c>
      <c r="F1339" s="15">
        <v>5</v>
      </c>
      <c r="G1339" s="15">
        <v>1650</v>
      </c>
      <c r="H1339" s="15">
        <v>0.8</v>
      </c>
      <c r="I1339" s="15">
        <v>8184</v>
      </c>
      <c r="J1339" s="13" t="s">
        <v>93</v>
      </c>
      <c r="K1339" s="13" t="s">
        <v>94</v>
      </c>
      <c r="L1339">
        <f>IF(COUNTIF(A$2:A1339, A1339)=1, IF(COUNTIF(A$2:A$2001, A1339)&gt;1, 1, 0), 0)</f>
        <v>0</v>
      </c>
      <c r="M1339" t="b">
        <f>VLOOKUP(D1339, Products!A$2:F$61, 6, FALSE)</f>
        <v>1</v>
      </c>
      <c r="N1339" t="str">
        <f>VLOOKUP(D1339, Products!A$2:C$61, 3, FALSE)</f>
        <v>Beauty</v>
      </c>
      <c r="O1339" t="e">
        <f>VLOOKUP(C1339, Customers!A$2:E$301, 5, FALSE)</f>
        <v>#N/A</v>
      </c>
      <c r="P1339" t="e">
        <f>VLOOKUP(C1339, Customers!A$2:C$301, 3, FALSE)</f>
        <v>#N/A</v>
      </c>
      <c r="Q1339" t="str">
        <f>VLOOKUP(E1339, Sales_Reps!A$2:C$31, 3, FALSE)</f>
        <v>South</v>
      </c>
      <c r="R1339">
        <f>VLOOKUP(D1339, Products!A$2:D$61, 4, FALSE)</f>
        <v>1222</v>
      </c>
    </row>
    <row r="1340" spans="1:18" x14ac:dyDescent="0.3">
      <c r="A1340" s="13" t="s">
        <v>1829</v>
      </c>
      <c r="B1340" s="14">
        <v>45566</v>
      </c>
      <c r="C1340" s="13" t="s">
        <v>717</v>
      </c>
      <c r="D1340" s="13" t="s">
        <v>237</v>
      </c>
      <c r="E1340" s="13" t="s">
        <v>303</v>
      </c>
      <c r="F1340" s="15">
        <v>7</v>
      </c>
      <c r="G1340" s="15">
        <v>3640</v>
      </c>
      <c r="H1340" s="15">
        <v>25.5</v>
      </c>
      <c r="I1340" s="15">
        <v>18982.599999999999</v>
      </c>
      <c r="J1340" s="13" t="s">
        <v>87</v>
      </c>
      <c r="K1340" s="13" t="s">
        <v>94</v>
      </c>
      <c r="L1340">
        <f>IF(COUNTIF(A$2:A1340, A1340)=1, IF(COUNTIF(A$2:A$2001, A1340)&gt;1, 1, 0), 0)</f>
        <v>0</v>
      </c>
      <c r="M1340" t="b">
        <f>VLOOKUP(D1340, Products!A$2:F$61, 6, FALSE)</f>
        <v>1</v>
      </c>
      <c r="N1340" t="str">
        <f>VLOOKUP(D1340, Products!A$2:C$61, 3, FALSE)</f>
        <v>Apparel</v>
      </c>
      <c r="O1340" t="str">
        <f>VLOOKUP(C1340, Customers!A$2:E$301, 5, FALSE)</f>
        <v>Retail</v>
      </c>
      <c r="P1340">
        <f>VLOOKUP(C1340, Customers!A$2:C$301, 3, FALSE)</f>
        <v>24</v>
      </c>
      <c r="Q1340" t="str">
        <f>VLOOKUP(E1340, Sales_Reps!A$2:C$31, 3, FALSE)</f>
        <v>East</v>
      </c>
      <c r="R1340">
        <f>VLOOKUP(D1340, Products!A$2:D$61, 4, FALSE)</f>
        <v>2611</v>
      </c>
    </row>
    <row r="1341" spans="1:18" x14ac:dyDescent="0.3">
      <c r="A1341" s="13" t="s">
        <v>1830</v>
      </c>
      <c r="B1341" s="14">
        <v>45643</v>
      </c>
      <c r="C1341" s="13" t="s">
        <v>236</v>
      </c>
      <c r="D1341" s="13" t="s">
        <v>184</v>
      </c>
      <c r="E1341" s="13" t="s">
        <v>229</v>
      </c>
      <c r="F1341" s="15">
        <v>6</v>
      </c>
      <c r="G1341" s="15">
        <v>4880</v>
      </c>
      <c r="H1341" s="15">
        <v>12.6</v>
      </c>
      <c r="I1341" s="15">
        <v>25590.720000000001</v>
      </c>
      <c r="J1341" s="13" t="s">
        <v>140</v>
      </c>
      <c r="K1341" s="13" t="s">
        <v>133</v>
      </c>
      <c r="L1341">
        <f>IF(COUNTIF(A$2:A1341, A1341)=1, IF(COUNTIF(A$2:A$2001, A1341)&gt;1, 1, 0), 0)</f>
        <v>0</v>
      </c>
      <c r="M1341" t="b">
        <f>VLOOKUP(D1341, Products!A$2:F$61, 6, FALSE)</f>
        <v>1</v>
      </c>
      <c r="N1341" t="str">
        <f>VLOOKUP(D1341, Products!A$2:C$61, 3, FALSE)</f>
        <v>Beauty</v>
      </c>
      <c r="O1341" t="str">
        <f>VLOOKUP(C1341, Customers!A$2:E$301, 5, FALSE)</f>
        <v>Retail</v>
      </c>
      <c r="P1341">
        <f>VLOOKUP(C1341, Customers!A$2:C$301, 3, FALSE)</f>
        <v>64</v>
      </c>
      <c r="Q1341" t="str">
        <f>VLOOKUP(E1341, Sales_Reps!A$2:C$31, 3, FALSE)</f>
        <v>West</v>
      </c>
      <c r="R1341">
        <f>VLOOKUP(D1341, Products!A$2:D$61, 4, FALSE)</f>
        <v>2768</v>
      </c>
    </row>
    <row r="1342" spans="1:18" x14ac:dyDescent="0.3">
      <c r="A1342" s="13" t="s">
        <v>1831</v>
      </c>
      <c r="B1342" s="14">
        <v>45422</v>
      </c>
      <c r="C1342" s="13" t="s">
        <v>900</v>
      </c>
      <c r="D1342" s="13" t="s">
        <v>364</v>
      </c>
      <c r="E1342" s="13" t="s">
        <v>128</v>
      </c>
      <c r="F1342" s="15">
        <v>4</v>
      </c>
      <c r="G1342" s="15">
        <v>5330</v>
      </c>
      <c r="H1342" s="15">
        <v>16.2</v>
      </c>
      <c r="I1342" s="15">
        <v>17866.16</v>
      </c>
      <c r="J1342" s="13" t="s">
        <v>87</v>
      </c>
      <c r="K1342" s="13" t="s">
        <v>117</v>
      </c>
      <c r="L1342">
        <f>IF(COUNTIF(A$2:A1342, A1342)=1, IF(COUNTIF(A$2:A$2001, A1342)&gt;1, 1, 0), 0)</f>
        <v>0</v>
      </c>
      <c r="M1342" t="b">
        <f>VLOOKUP(D1342, Products!A$2:F$61, 6, FALSE)</f>
        <v>1</v>
      </c>
      <c r="N1342" t="str">
        <f>VLOOKUP(D1342, Products!A$2:C$61, 3, FALSE)</f>
        <v>Electronics</v>
      </c>
      <c r="O1342" t="str">
        <f>VLOOKUP(C1342, Customers!A$2:E$301, 5, FALSE)</f>
        <v>Retail</v>
      </c>
      <c r="P1342">
        <f>VLOOKUP(C1342, Customers!A$2:C$301, 3, FALSE)</f>
        <v>35</v>
      </c>
      <c r="Q1342" t="str">
        <f>VLOOKUP(E1342, Sales_Reps!A$2:C$31, 3, FALSE)</f>
        <v>West</v>
      </c>
      <c r="R1342">
        <f>VLOOKUP(D1342, Products!A$2:D$61, 4, FALSE)</f>
        <v>2405</v>
      </c>
    </row>
    <row r="1343" spans="1:18" x14ac:dyDescent="0.3">
      <c r="A1343" s="13" t="s">
        <v>1832</v>
      </c>
      <c r="B1343" s="14">
        <v>45400</v>
      </c>
      <c r="C1343" s="13" t="s">
        <v>479</v>
      </c>
      <c r="D1343" s="13" t="s">
        <v>124</v>
      </c>
      <c r="E1343" s="13" t="s">
        <v>154</v>
      </c>
      <c r="F1343" s="15">
        <v>3</v>
      </c>
      <c r="G1343" s="15">
        <v>5490</v>
      </c>
      <c r="H1343" s="15">
        <v>26.7</v>
      </c>
      <c r="I1343" s="15">
        <v>12072.51</v>
      </c>
      <c r="J1343" s="13" t="s">
        <v>87</v>
      </c>
      <c r="K1343" s="13" t="s">
        <v>88</v>
      </c>
      <c r="L1343">
        <f>IF(COUNTIF(A$2:A1343, A1343)=1, IF(COUNTIF(A$2:A$2001, A1343)&gt;1, 1, 0), 0)</f>
        <v>0</v>
      </c>
      <c r="M1343" t="b">
        <f>VLOOKUP(D1343, Products!A$2:F$61, 6, FALSE)</f>
        <v>1</v>
      </c>
      <c r="N1343" t="str">
        <f>VLOOKUP(D1343, Products!A$2:C$61, 3, FALSE)</f>
        <v>Home</v>
      </c>
      <c r="O1343" t="str">
        <f>VLOOKUP(C1343, Customers!A$2:E$301, 5, FALSE)</f>
        <v>SMB</v>
      </c>
      <c r="P1343">
        <f>VLOOKUP(C1343, Customers!A$2:C$301, 3, FALSE)</f>
        <v>49</v>
      </c>
      <c r="Q1343" t="str">
        <f>VLOOKUP(E1343, Sales_Reps!A$2:C$31, 3, FALSE)</f>
        <v>East</v>
      </c>
      <c r="R1343">
        <f>VLOOKUP(D1343, Products!A$2:D$61, 4, FALSE)</f>
        <v>2549</v>
      </c>
    </row>
    <row r="1344" spans="1:18" x14ac:dyDescent="0.3">
      <c r="A1344" s="13" t="s">
        <v>1833</v>
      </c>
      <c r="B1344" s="14">
        <v>45564</v>
      </c>
      <c r="C1344" s="13" t="s">
        <v>178</v>
      </c>
      <c r="D1344" s="13" t="s">
        <v>147</v>
      </c>
      <c r="E1344" s="13" t="s">
        <v>297</v>
      </c>
      <c r="F1344" s="15">
        <v>7</v>
      </c>
      <c r="G1344" s="15">
        <v>190</v>
      </c>
      <c r="H1344" s="15">
        <v>11.6</v>
      </c>
      <c r="I1344" s="15">
        <v>1175.72</v>
      </c>
      <c r="J1344" s="13" t="s">
        <v>87</v>
      </c>
      <c r="K1344" s="13" t="s">
        <v>94</v>
      </c>
      <c r="L1344">
        <f>IF(COUNTIF(A$2:A1344, A1344)=1, IF(COUNTIF(A$2:A$2001, A1344)&gt;1, 1, 0), 0)</f>
        <v>0</v>
      </c>
      <c r="M1344" t="b">
        <f>VLOOKUP(D1344, Products!A$2:F$61, 6, FALSE)</f>
        <v>1</v>
      </c>
      <c r="N1344" t="str">
        <f>VLOOKUP(D1344, Products!A$2:C$61, 3, FALSE)</f>
        <v>Sports</v>
      </c>
      <c r="O1344" t="str">
        <f>VLOOKUP(C1344, Customers!A$2:E$301, 5, FALSE)</f>
        <v>Corporate</v>
      </c>
      <c r="P1344">
        <f>VLOOKUP(C1344, Customers!A$2:C$301, 3, FALSE)</f>
        <v>55</v>
      </c>
      <c r="Q1344" t="str">
        <f>VLOOKUP(E1344, Sales_Reps!A$2:C$31, 3, FALSE)</f>
        <v>North</v>
      </c>
      <c r="R1344">
        <f>VLOOKUP(D1344, Products!A$2:D$61, 4, FALSE)</f>
        <v>147</v>
      </c>
    </row>
    <row r="1345" spans="1:18" x14ac:dyDescent="0.3">
      <c r="A1345" s="13" t="s">
        <v>1834</v>
      </c>
      <c r="B1345" s="14">
        <v>45437</v>
      </c>
      <c r="C1345" s="13" t="s">
        <v>114</v>
      </c>
      <c r="D1345" s="13" t="s">
        <v>106</v>
      </c>
      <c r="E1345" s="13" t="s">
        <v>346</v>
      </c>
      <c r="F1345" s="15">
        <v>5</v>
      </c>
      <c r="G1345" s="15">
        <v>3160</v>
      </c>
      <c r="H1345" s="15">
        <v>24.1</v>
      </c>
      <c r="I1345" s="15">
        <v>11992.2</v>
      </c>
      <c r="J1345" s="13" t="s">
        <v>87</v>
      </c>
      <c r="K1345" s="13" t="s">
        <v>117</v>
      </c>
      <c r="L1345">
        <f>IF(COUNTIF(A$2:A1345, A1345)=1, IF(COUNTIF(A$2:A$2001, A1345)&gt;1, 1, 0), 0)</f>
        <v>0</v>
      </c>
      <c r="M1345" t="b">
        <f>VLOOKUP(D1345, Products!A$2:F$61, 6, FALSE)</f>
        <v>1</v>
      </c>
      <c r="N1345" t="str">
        <f>VLOOKUP(D1345, Products!A$2:C$61, 3, FALSE)</f>
        <v>Apparel</v>
      </c>
      <c r="O1345" t="str">
        <f>VLOOKUP(C1345, Customers!A$2:E$301, 5, FALSE)</f>
        <v>Retail</v>
      </c>
      <c r="P1345">
        <f>VLOOKUP(C1345, Customers!A$2:C$301, 3, FALSE)</f>
        <v>27</v>
      </c>
      <c r="Q1345" t="str">
        <f>VLOOKUP(E1345, Sales_Reps!A$2:C$31, 3, FALSE)</f>
        <v>South</v>
      </c>
      <c r="R1345">
        <f>VLOOKUP(D1345, Products!A$2:D$61, 4, FALSE)</f>
        <v>1886</v>
      </c>
    </row>
    <row r="1346" spans="1:18" x14ac:dyDescent="0.3">
      <c r="A1346" s="13" t="s">
        <v>1835</v>
      </c>
      <c r="B1346" s="14">
        <v>45395</v>
      </c>
      <c r="C1346" s="13" t="s">
        <v>385</v>
      </c>
      <c r="D1346" s="13" t="s">
        <v>502</v>
      </c>
      <c r="E1346" s="13" t="s">
        <v>154</v>
      </c>
      <c r="F1346" s="15">
        <v>1</v>
      </c>
      <c r="G1346" s="15">
        <v>1090</v>
      </c>
      <c r="H1346" s="15">
        <v>9.6</v>
      </c>
      <c r="I1346" s="15">
        <v>985.36</v>
      </c>
      <c r="J1346" s="13" t="s">
        <v>144</v>
      </c>
      <c r="K1346" s="13" t="s">
        <v>117</v>
      </c>
      <c r="L1346">
        <f>IF(COUNTIF(A$2:A1346, A1346)=1, IF(COUNTIF(A$2:A$2001, A1346)&gt;1, 1, 0), 0)</f>
        <v>0</v>
      </c>
      <c r="M1346" t="b">
        <f>VLOOKUP(D1346, Products!A$2:F$61, 6, FALSE)</f>
        <v>1</v>
      </c>
      <c r="N1346" t="str">
        <f>VLOOKUP(D1346, Products!A$2:C$61, 3, FALSE)</f>
        <v>Home</v>
      </c>
      <c r="O1346" t="str">
        <f>VLOOKUP(C1346, Customers!A$2:E$301, 5, FALSE)</f>
        <v>Retail</v>
      </c>
      <c r="P1346">
        <f>VLOOKUP(C1346, Customers!A$2:C$301, 3, FALSE)</f>
        <v>23</v>
      </c>
      <c r="Q1346" t="str">
        <f>VLOOKUP(E1346, Sales_Reps!A$2:C$31, 3, FALSE)</f>
        <v>East</v>
      </c>
      <c r="R1346">
        <f>VLOOKUP(D1346, Products!A$2:D$61, 4, FALSE)</f>
        <v>464</v>
      </c>
    </row>
    <row r="1347" spans="1:18" x14ac:dyDescent="0.3">
      <c r="A1347" s="13" t="s">
        <v>1836</v>
      </c>
      <c r="B1347" s="14">
        <v>45447</v>
      </c>
      <c r="C1347" s="13" t="s">
        <v>382</v>
      </c>
      <c r="D1347" s="13" t="s">
        <v>110</v>
      </c>
      <c r="E1347" s="13" t="s">
        <v>139</v>
      </c>
      <c r="F1347" s="15">
        <v>9</v>
      </c>
      <c r="G1347" s="15">
        <v>370</v>
      </c>
      <c r="H1347" s="15">
        <v>4</v>
      </c>
      <c r="I1347" s="15">
        <v>3196.8</v>
      </c>
      <c r="J1347" s="13" t="s">
        <v>87</v>
      </c>
      <c r="K1347" s="13" t="s">
        <v>99</v>
      </c>
      <c r="L1347">
        <f>IF(COUNTIF(A$2:A1347, A1347)=1, IF(COUNTIF(A$2:A$2001, A1347)&gt;1, 1, 0), 0)</f>
        <v>0</v>
      </c>
      <c r="M1347" t="b">
        <f>VLOOKUP(D1347, Products!A$2:F$61, 6, FALSE)</f>
        <v>1</v>
      </c>
      <c r="N1347" t="str">
        <f>VLOOKUP(D1347, Products!A$2:C$61, 3, FALSE)</f>
        <v>Home</v>
      </c>
      <c r="O1347" t="str">
        <f>VLOOKUP(C1347, Customers!A$2:E$301, 5, FALSE)</f>
        <v>Corporate</v>
      </c>
      <c r="P1347">
        <f>VLOOKUP(C1347, Customers!A$2:C$301, 3, FALSE)</f>
        <v>27</v>
      </c>
      <c r="Q1347" t="str">
        <f>VLOOKUP(E1347, Sales_Reps!A$2:C$31, 3, FALSE)</f>
        <v>North</v>
      </c>
      <c r="R1347">
        <f>VLOOKUP(D1347, Products!A$2:D$61, 4, FALSE)</f>
        <v>288</v>
      </c>
    </row>
    <row r="1348" spans="1:18" x14ac:dyDescent="0.3">
      <c r="A1348" s="13" t="s">
        <v>1837</v>
      </c>
      <c r="B1348" s="14">
        <v>45300</v>
      </c>
      <c r="C1348" s="13" t="s">
        <v>217</v>
      </c>
      <c r="D1348" s="13" t="s">
        <v>279</v>
      </c>
      <c r="E1348" s="13" t="s">
        <v>297</v>
      </c>
      <c r="F1348" s="15">
        <v>5</v>
      </c>
      <c r="G1348" s="15">
        <v>2660</v>
      </c>
      <c r="H1348" s="15">
        <v>24.6</v>
      </c>
      <c r="I1348" s="15">
        <v>10028.200000000001</v>
      </c>
      <c r="J1348" s="13" t="s">
        <v>140</v>
      </c>
      <c r="K1348" s="13" t="s">
        <v>94</v>
      </c>
      <c r="L1348">
        <f>IF(COUNTIF(A$2:A1348, A1348)=1, IF(COUNTIF(A$2:A$2001, A1348)&gt;1, 1, 0), 0)</f>
        <v>0</v>
      </c>
      <c r="M1348" t="b">
        <f>VLOOKUP(D1348, Products!A$2:F$61, 6, FALSE)</f>
        <v>0</v>
      </c>
      <c r="N1348" t="str">
        <f>VLOOKUP(D1348, Products!A$2:C$61, 3, FALSE)</f>
        <v>Electronics</v>
      </c>
      <c r="O1348" t="str">
        <f>VLOOKUP(C1348, Customers!A$2:E$301, 5, FALSE)</f>
        <v>Retail</v>
      </c>
      <c r="P1348">
        <f>VLOOKUP(C1348, Customers!A$2:C$301, 3, FALSE)</f>
        <v>51</v>
      </c>
      <c r="Q1348" t="str">
        <f>VLOOKUP(E1348, Sales_Reps!A$2:C$31, 3, FALSE)</f>
        <v>North</v>
      </c>
      <c r="R1348">
        <f>VLOOKUP(D1348, Products!A$2:D$61, 4, FALSE)</f>
        <v>1259</v>
      </c>
    </row>
    <row r="1349" spans="1:18" x14ac:dyDescent="0.3">
      <c r="A1349" s="13" t="s">
        <v>1838</v>
      </c>
      <c r="B1349" s="14">
        <v>45327</v>
      </c>
      <c r="C1349" s="13" t="s">
        <v>1361</v>
      </c>
      <c r="D1349" s="13" t="s">
        <v>659</v>
      </c>
      <c r="E1349" s="13" t="s">
        <v>303</v>
      </c>
      <c r="F1349" s="15">
        <v>4</v>
      </c>
      <c r="G1349" s="15">
        <v>3560</v>
      </c>
      <c r="H1349" s="15">
        <v>25.7</v>
      </c>
      <c r="I1349" s="15">
        <v>10580.32</v>
      </c>
      <c r="J1349" s="13" t="s">
        <v>87</v>
      </c>
      <c r="K1349" s="13" t="s">
        <v>94</v>
      </c>
      <c r="L1349">
        <f>IF(COUNTIF(A$2:A1349, A1349)=1, IF(COUNTIF(A$2:A$2001, A1349)&gt;1, 1, 0), 0)</f>
        <v>0</v>
      </c>
      <c r="M1349" t="b">
        <f>VLOOKUP(D1349, Products!A$2:F$61, 6, FALSE)</f>
        <v>1</v>
      </c>
      <c r="N1349" t="str">
        <f>VLOOKUP(D1349, Products!A$2:C$61, 3, FALSE)</f>
        <v>Apparel</v>
      </c>
      <c r="O1349" t="str">
        <f>VLOOKUP(C1349, Customers!A$2:E$301, 5, FALSE)</f>
        <v>Retail</v>
      </c>
      <c r="P1349">
        <f>VLOOKUP(C1349, Customers!A$2:C$301, 3, FALSE)</f>
        <v>34</v>
      </c>
      <c r="Q1349" t="str">
        <f>VLOOKUP(E1349, Sales_Reps!A$2:C$31, 3, FALSE)</f>
        <v>East</v>
      </c>
      <c r="R1349">
        <f>VLOOKUP(D1349, Products!A$2:D$61, 4, FALSE)</f>
        <v>2629</v>
      </c>
    </row>
    <row r="1350" spans="1:18" x14ac:dyDescent="0.3">
      <c r="A1350" s="13" t="s">
        <v>1839</v>
      </c>
      <c r="B1350" s="14">
        <v>45410</v>
      </c>
      <c r="C1350" s="13" t="s">
        <v>986</v>
      </c>
      <c r="D1350" s="13" t="s">
        <v>380</v>
      </c>
      <c r="E1350" s="13" t="s">
        <v>92</v>
      </c>
      <c r="F1350" s="15">
        <v>8</v>
      </c>
      <c r="G1350" s="15">
        <v>960</v>
      </c>
      <c r="H1350" s="15">
        <v>0.1</v>
      </c>
      <c r="I1350" s="15">
        <v>7672.32</v>
      </c>
      <c r="J1350" s="13" t="s">
        <v>87</v>
      </c>
      <c r="K1350" s="13" t="s">
        <v>94</v>
      </c>
      <c r="L1350">
        <f>IF(COUNTIF(A$2:A1350, A1350)=1, IF(COUNTIF(A$2:A$2001, A1350)&gt;1, 1, 0), 0)</f>
        <v>0</v>
      </c>
      <c r="M1350" t="b">
        <f>VLOOKUP(D1350, Products!A$2:F$61, 6, FALSE)</f>
        <v>1</v>
      </c>
      <c r="N1350" t="str">
        <f>VLOOKUP(D1350, Products!A$2:C$61, 3, FALSE)</f>
        <v>Beauty</v>
      </c>
      <c r="O1350" t="str">
        <f>VLOOKUP(C1350, Customers!A$2:E$301, 5, FALSE)</f>
        <v>Corporate</v>
      </c>
      <c r="P1350">
        <f>VLOOKUP(C1350, Customers!A$2:C$301, 3, FALSE)</f>
        <v>52</v>
      </c>
      <c r="Q1350" t="str">
        <f>VLOOKUP(E1350, Sales_Reps!A$2:C$31, 3, FALSE)</f>
        <v>North</v>
      </c>
      <c r="R1350">
        <f>VLOOKUP(D1350, Products!A$2:D$61, 4, FALSE)</f>
        <v>675</v>
      </c>
    </row>
    <row r="1351" spans="1:18" x14ac:dyDescent="0.3">
      <c r="A1351" s="13" t="s">
        <v>1840</v>
      </c>
      <c r="B1351" s="14">
        <v>45644</v>
      </c>
      <c r="C1351" s="13" t="s">
        <v>225</v>
      </c>
      <c r="D1351" s="13" t="s">
        <v>110</v>
      </c>
      <c r="E1351" s="13" t="s">
        <v>116</v>
      </c>
      <c r="F1351" s="15">
        <v>10</v>
      </c>
      <c r="G1351" s="15">
        <v>370</v>
      </c>
      <c r="H1351" s="15">
        <v>16.399999999999999</v>
      </c>
      <c r="I1351" s="15">
        <v>3093.2</v>
      </c>
      <c r="J1351" s="13" t="s">
        <v>140</v>
      </c>
      <c r="K1351" s="13" t="s">
        <v>94</v>
      </c>
      <c r="L1351">
        <f>IF(COUNTIF(A$2:A1351, A1351)=1, IF(COUNTIF(A$2:A$2001, A1351)&gt;1, 1, 0), 0)</f>
        <v>0</v>
      </c>
      <c r="M1351" t="b">
        <f>VLOOKUP(D1351, Products!A$2:F$61, 6, FALSE)</f>
        <v>1</v>
      </c>
      <c r="N1351" t="str">
        <f>VLOOKUP(D1351, Products!A$2:C$61, 3, FALSE)</f>
        <v>Home</v>
      </c>
      <c r="O1351" t="str">
        <f>VLOOKUP(C1351, Customers!A$2:E$301, 5, FALSE)</f>
        <v>Retail</v>
      </c>
      <c r="P1351">
        <f>VLOOKUP(C1351, Customers!A$2:C$301, 3, FALSE)</f>
        <v>37</v>
      </c>
      <c r="Q1351" t="str">
        <f>VLOOKUP(E1351, Sales_Reps!A$2:C$31, 3, FALSE)</f>
        <v>West</v>
      </c>
      <c r="R1351">
        <f>VLOOKUP(D1351, Products!A$2:D$61, 4, FALSE)</f>
        <v>288</v>
      </c>
    </row>
    <row r="1352" spans="1:18" x14ac:dyDescent="0.3">
      <c r="A1352" s="13" t="s">
        <v>1841</v>
      </c>
      <c r="B1352" s="14">
        <v>45399</v>
      </c>
      <c r="C1352" s="13" t="s">
        <v>837</v>
      </c>
      <c r="D1352" s="13" t="s">
        <v>173</v>
      </c>
      <c r="E1352" s="13" t="s">
        <v>229</v>
      </c>
      <c r="F1352" s="15">
        <v>4</v>
      </c>
      <c r="G1352" s="15">
        <v>2720</v>
      </c>
      <c r="H1352" s="15">
        <v>3.1</v>
      </c>
      <c r="I1352" s="15">
        <v>10542.72</v>
      </c>
      <c r="J1352" s="13" t="s">
        <v>87</v>
      </c>
      <c r="K1352" s="13" t="s">
        <v>117</v>
      </c>
      <c r="L1352">
        <f>IF(COUNTIF(A$2:A1352, A1352)=1, IF(COUNTIF(A$2:A$2001, A1352)&gt;1, 1, 0), 0)</f>
        <v>0</v>
      </c>
      <c r="M1352" t="b">
        <f>VLOOKUP(D1352, Products!A$2:F$61, 6, FALSE)</f>
        <v>1</v>
      </c>
      <c r="N1352" t="str">
        <f>VLOOKUP(D1352, Products!A$2:C$61, 3, FALSE)</f>
        <v>Apparel</v>
      </c>
      <c r="O1352" t="str">
        <f>VLOOKUP(C1352, Customers!A$2:E$301, 5, FALSE)</f>
        <v>Retail</v>
      </c>
      <c r="P1352">
        <f>VLOOKUP(C1352, Customers!A$2:C$301, 3, FALSE)</f>
        <v>37</v>
      </c>
      <c r="Q1352" t="str">
        <f>VLOOKUP(E1352, Sales_Reps!A$2:C$31, 3, FALSE)</f>
        <v>West</v>
      </c>
      <c r="R1352">
        <f>VLOOKUP(D1352, Products!A$2:D$61, 4, FALSE)</f>
        <v>1962</v>
      </c>
    </row>
    <row r="1353" spans="1:18" x14ac:dyDescent="0.3">
      <c r="A1353" s="13" t="s">
        <v>1842</v>
      </c>
      <c r="B1353" s="14">
        <v>45441</v>
      </c>
      <c r="C1353" s="13" t="s">
        <v>405</v>
      </c>
      <c r="D1353" s="13" t="s">
        <v>443</v>
      </c>
      <c r="E1353" s="13" t="s">
        <v>92</v>
      </c>
      <c r="F1353" s="15">
        <v>10</v>
      </c>
      <c r="G1353" s="15">
        <v>5080</v>
      </c>
      <c r="H1353" s="15">
        <v>6.8</v>
      </c>
      <c r="I1353" s="15">
        <v>47345.599999999999</v>
      </c>
      <c r="J1353" s="13" t="s">
        <v>87</v>
      </c>
      <c r="K1353" s="13" t="s">
        <v>94</v>
      </c>
      <c r="L1353">
        <f>IF(COUNTIF(A$2:A1353, A1353)=1, IF(COUNTIF(A$2:A$2001, A1353)&gt;1, 1, 0), 0)</f>
        <v>0</v>
      </c>
      <c r="M1353" t="b">
        <f>VLOOKUP(D1353, Products!A$2:F$61, 6, FALSE)</f>
        <v>1</v>
      </c>
      <c r="N1353" t="str">
        <f>VLOOKUP(D1353, Products!A$2:C$61, 3, FALSE)</f>
        <v>Home</v>
      </c>
      <c r="O1353" t="str">
        <f>VLOOKUP(C1353, Customers!A$2:E$301, 5, FALSE)</f>
        <v>Corporate</v>
      </c>
      <c r="P1353">
        <f>VLOOKUP(C1353, Customers!A$2:C$301, 3, FALSE)</f>
        <v>24</v>
      </c>
      <c r="Q1353" t="str">
        <f>VLOOKUP(E1353, Sales_Reps!A$2:C$31, 3, FALSE)</f>
        <v>North</v>
      </c>
      <c r="R1353">
        <f>VLOOKUP(D1353, Products!A$2:D$61, 4, FALSE)</f>
        <v>2459</v>
      </c>
    </row>
    <row r="1354" spans="1:18" x14ac:dyDescent="0.3">
      <c r="A1354" s="13" t="s">
        <v>1843</v>
      </c>
      <c r="B1354" s="14">
        <v>45379</v>
      </c>
      <c r="C1354" s="13" t="s">
        <v>1534</v>
      </c>
      <c r="D1354" s="13" t="s">
        <v>386</v>
      </c>
      <c r="E1354" s="13" t="s">
        <v>107</v>
      </c>
      <c r="F1354" s="15">
        <v>6</v>
      </c>
      <c r="G1354" s="15">
        <v>2290</v>
      </c>
      <c r="H1354" s="15">
        <v>22.6</v>
      </c>
      <c r="I1354" s="15">
        <v>10634.76</v>
      </c>
      <c r="J1354" s="13" t="s">
        <v>87</v>
      </c>
      <c r="K1354" s="13" t="s">
        <v>133</v>
      </c>
      <c r="L1354">
        <f>IF(COUNTIF(A$2:A1354, A1354)=1, IF(COUNTIF(A$2:A$2001, A1354)&gt;1, 1, 0), 0)</f>
        <v>0</v>
      </c>
      <c r="M1354" t="b">
        <f>VLOOKUP(D1354, Products!A$2:F$61, 6, FALSE)</f>
        <v>1</v>
      </c>
      <c r="N1354" t="str">
        <f>VLOOKUP(D1354, Products!A$2:C$61, 3, FALSE)</f>
        <v>Beauty</v>
      </c>
      <c r="O1354" t="str">
        <f>VLOOKUP(C1354, Customers!A$2:E$301, 5, FALSE)</f>
        <v>Corporate</v>
      </c>
      <c r="P1354">
        <f>VLOOKUP(C1354, Customers!A$2:C$301, 3, FALSE)</f>
        <v>25</v>
      </c>
      <c r="Q1354" t="str">
        <f>VLOOKUP(E1354, Sales_Reps!A$2:C$31, 3, FALSE)</f>
        <v>North</v>
      </c>
      <c r="R1354">
        <f>VLOOKUP(D1354, Products!A$2:D$61, 4, FALSE)</f>
        <v>1219</v>
      </c>
    </row>
    <row r="1355" spans="1:18" x14ac:dyDescent="0.3">
      <c r="A1355" s="13" t="s">
        <v>1844</v>
      </c>
      <c r="B1355" s="14">
        <v>45502</v>
      </c>
      <c r="C1355" s="13" t="s">
        <v>768</v>
      </c>
      <c r="D1355" s="13" t="s">
        <v>200</v>
      </c>
      <c r="E1355" s="13" t="s">
        <v>103</v>
      </c>
      <c r="F1355" s="15">
        <v>4</v>
      </c>
      <c r="G1355" s="15">
        <v>2760</v>
      </c>
      <c r="H1355" s="15">
        <v>27.2</v>
      </c>
      <c r="I1355" s="15">
        <v>8037.12</v>
      </c>
      <c r="J1355" s="13" t="s">
        <v>144</v>
      </c>
      <c r="K1355" s="13" t="s">
        <v>88</v>
      </c>
      <c r="L1355">
        <f>IF(COUNTIF(A$2:A1355, A1355)=1, IF(COUNTIF(A$2:A$2001, A1355)&gt;1, 1, 0), 0)</f>
        <v>0</v>
      </c>
      <c r="M1355" t="b">
        <f>VLOOKUP(D1355, Products!A$2:F$61, 6, FALSE)</f>
        <v>1</v>
      </c>
      <c r="N1355" t="str">
        <f>VLOOKUP(D1355, Products!A$2:C$61, 3, FALSE)</f>
        <v>Grocery</v>
      </c>
      <c r="O1355" t="str">
        <f>VLOOKUP(C1355, Customers!A$2:E$301, 5, FALSE)</f>
        <v>Corporate</v>
      </c>
      <c r="P1355">
        <f>VLOOKUP(C1355, Customers!A$2:C$301, 3, FALSE)</f>
        <v>42</v>
      </c>
      <c r="Q1355" t="str">
        <f>VLOOKUP(E1355, Sales_Reps!A$2:C$31, 3, FALSE)</f>
        <v>North</v>
      </c>
      <c r="R1355">
        <f>VLOOKUP(D1355, Products!A$2:D$61, 4, FALSE)</f>
        <v>1435</v>
      </c>
    </row>
    <row r="1356" spans="1:18" x14ac:dyDescent="0.3">
      <c r="A1356" s="13" t="s">
        <v>1845</v>
      </c>
      <c r="B1356" s="14">
        <v>45466</v>
      </c>
      <c r="C1356" s="13" t="s">
        <v>442</v>
      </c>
      <c r="D1356" s="13" t="s">
        <v>131</v>
      </c>
      <c r="E1356" s="13" t="s">
        <v>343</v>
      </c>
      <c r="F1356" s="15">
        <v>9</v>
      </c>
      <c r="G1356" s="15">
        <v>2270</v>
      </c>
      <c r="H1356" s="15">
        <v>5.2</v>
      </c>
      <c r="I1356" s="15">
        <v>19367.64</v>
      </c>
      <c r="J1356" s="13" t="s">
        <v>87</v>
      </c>
      <c r="K1356" s="13" t="s">
        <v>88</v>
      </c>
      <c r="L1356">
        <f>IF(COUNTIF(A$2:A1356, A1356)=1, IF(COUNTIF(A$2:A$2001, A1356)&gt;1, 1, 0), 0)</f>
        <v>0</v>
      </c>
      <c r="M1356" t="b">
        <f>VLOOKUP(D1356, Products!A$2:F$61, 6, FALSE)</f>
        <v>1</v>
      </c>
      <c r="N1356" t="str">
        <f>VLOOKUP(D1356, Products!A$2:C$61, 3, FALSE)</f>
        <v>Grocery</v>
      </c>
      <c r="O1356" t="str">
        <f>VLOOKUP(C1356, Customers!A$2:E$301, 5, FALSE)</f>
        <v>Retail</v>
      </c>
      <c r="P1356">
        <f>VLOOKUP(C1356, Customers!A$2:C$301, 3, FALSE)</f>
        <v>65</v>
      </c>
      <c r="Q1356" t="str">
        <f>VLOOKUP(E1356, Sales_Reps!A$2:C$31, 3, FALSE)</f>
        <v>West</v>
      </c>
      <c r="R1356">
        <f>VLOOKUP(D1356, Products!A$2:D$61, 4, FALSE)</f>
        <v>1203</v>
      </c>
    </row>
    <row r="1357" spans="1:18" x14ac:dyDescent="0.3">
      <c r="A1357" s="13" t="s">
        <v>1846</v>
      </c>
      <c r="B1357" s="14">
        <v>45500</v>
      </c>
      <c r="C1357" s="13" t="s">
        <v>378</v>
      </c>
      <c r="D1357" s="13" t="s">
        <v>355</v>
      </c>
      <c r="E1357" s="13" t="s">
        <v>107</v>
      </c>
      <c r="F1357" s="15">
        <v>3</v>
      </c>
      <c r="G1357" s="15">
        <v>2510</v>
      </c>
      <c r="H1357" s="15">
        <v>16.399999999999999</v>
      </c>
      <c r="I1357" s="15">
        <v>6295.08</v>
      </c>
      <c r="J1357" s="13" t="s">
        <v>87</v>
      </c>
      <c r="K1357" s="13" t="s">
        <v>94</v>
      </c>
      <c r="L1357">
        <f>IF(COUNTIF(A$2:A1357, A1357)=1, IF(COUNTIF(A$2:A$2001, A1357)&gt;1, 1, 0), 0)</f>
        <v>0</v>
      </c>
      <c r="M1357" t="b">
        <f>VLOOKUP(D1357, Products!A$2:F$61, 6, FALSE)</f>
        <v>0</v>
      </c>
      <c r="N1357" t="str">
        <f>VLOOKUP(D1357, Products!A$2:C$61, 3, FALSE)</f>
        <v>Apparel</v>
      </c>
      <c r="O1357" t="str">
        <f>VLOOKUP(C1357, Customers!A$2:E$301, 5, FALSE)</f>
        <v>SMB</v>
      </c>
      <c r="P1357">
        <f>VLOOKUP(C1357, Customers!A$2:C$301, 3, FALSE)</f>
        <v>53</v>
      </c>
      <c r="Q1357" t="str">
        <f>VLOOKUP(E1357, Sales_Reps!A$2:C$31, 3, FALSE)</f>
        <v>North</v>
      </c>
      <c r="R1357">
        <f>VLOOKUP(D1357, Products!A$2:D$61, 4, FALSE)</f>
        <v>1075</v>
      </c>
    </row>
    <row r="1358" spans="1:18" x14ac:dyDescent="0.3">
      <c r="A1358" s="13" t="s">
        <v>1847</v>
      </c>
      <c r="B1358" s="14">
        <v>45337</v>
      </c>
      <c r="C1358" s="13" t="s">
        <v>312</v>
      </c>
      <c r="D1358" s="13" t="s">
        <v>367</v>
      </c>
      <c r="E1358" s="13" t="s">
        <v>325</v>
      </c>
      <c r="F1358" s="15">
        <v>1</v>
      </c>
      <c r="G1358" s="15">
        <v>2380</v>
      </c>
      <c r="H1358" s="15">
        <v>23.5</v>
      </c>
      <c r="I1358" s="15">
        <v>1820.7</v>
      </c>
      <c r="J1358" s="13" t="s">
        <v>87</v>
      </c>
      <c r="K1358" s="13" t="s">
        <v>133</v>
      </c>
      <c r="L1358">
        <f>IF(COUNTIF(A$2:A1358, A1358)=1, IF(COUNTIF(A$2:A$2001, A1358)&gt;1, 1, 0), 0)</f>
        <v>0</v>
      </c>
      <c r="M1358" t="b">
        <f>VLOOKUP(D1358, Products!A$2:F$61, 6, FALSE)</f>
        <v>1</v>
      </c>
      <c r="N1358" t="str">
        <f>VLOOKUP(D1358, Products!A$2:C$61, 3, FALSE)</f>
        <v>Grocery</v>
      </c>
      <c r="O1358" t="str">
        <f>VLOOKUP(C1358, Customers!A$2:E$301, 5, FALSE)</f>
        <v>Retail</v>
      </c>
      <c r="P1358">
        <f>VLOOKUP(C1358, Customers!A$2:C$301, 3, FALSE)</f>
        <v>46</v>
      </c>
      <c r="Q1358" t="str">
        <f>VLOOKUP(E1358, Sales_Reps!A$2:C$31, 3, FALSE)</f>
        <v>South</v>
      </c>
      <c r="R1358">
        <f>VLOOKUP(D1358, Products!A$2:D$61, 4, FALSE)</f>
        <v>1182</v>
      </c>
    </row>
    <row r="1359" spans="1:18" x14ac:dyDescent="0.3">
      <c r="A1359" s="13" t="s">
        <v>1848</v>
      </c>
      <c r="B1359" s="14">
        <v>45447</v>
      </c>
      <c r="C1359" s="13" t="s">
        <v>837</v>
      </c>
      <c r="D1359" s="13" t="s">
        <v>461</v>
      </c>
      <c r="E1359" s="13" t="s">
        <v>121</v>
      </c>
      <c r="F1359" s="15">
        <v>2</v>
      </c>
      <c r="G1359" s="15">
        <v>3780</v>
      </c>
      <c r="H1359" s="15">
        <v>29.1</v>
      </c>
      <c r="I1359" s="15">
        <v>5360.04</v>
      </c>
      <c r="J1359" s="13" t="s">
        <v>87</v>
      </c>
      <c r="K1359" s="13" t="s">
        <v>117</v>
      </c>
      <c r="L1359">
        <f>IF(COUNTIF(A$2:A1359, A1359)=1, IF(COUNTIF(A$2:A$2001, A1359)&gt;1, 1, 0), 0)</f>
        <v>0</v>
      </c>
      <c r="M1359" t="b">
        <f>VLOOKUP(D1359, Products!A$2:F$61, 6, FALSE)</f>
        <v>1</v>
      </c>
      <c r="N1359" t="str">
        <f>VLOOKUP(D1359, Products!A$2:C$61, 3, FALSE)</f>
        <v>Sports</v>
      </c>
      <c r="O1359" t="str">
        <f>VLOOKUP(C1359, Customers!A$2:E$301, 5, FALSE)</f>
        <v>Retail</v>
      </c>
      <c r="P1359">
        <f>VLOOKUP(C1359, Customers!A$2:C$301, 3, FALSE)</f>
        <v>37</v>
      </c>
      <c r="Q1359" t="str">
        <f>VLOOKUP(E1359, Sales_Reps!A$2:C$31, 3, FALSE)</f>
        <v>East</v>
      </c>
      <c r="R1359">
        <f>VLOOKUP(D1359, Products!A$2:D$61, 4, FALSE)</f>
        <v>1860</v>
      </c>
    </row>
    <row r="1360" spans="1:18" x14ac:dyDescent="0.3">
      <c r="A1360" s="13" t="s">
        <v>1849</v>
      </c>
      <c r="B1360" s="14">
        <v>45546</v>
      </c>
      <c r="C1360" s="13" t="s">
        <v>952</v>
      </c>
      <c r="D1360" s="13" t="s">
        <v>452</v>
      </c>
      <c r="E1360" s="13" t="s">
        <v>201</v>
      </c>
      <c r="F1360" s="15">
        <v>1</v>
      </c>
      <c r="G1360" s="15">
        <v>3450</v>
      </c>
      <c r="H1360" s="15">
        <v>17.8</v>
      </c>
      <c r="I1360" s="15">
        <v>2835.9</v>
      </c>
      <c r="J1360" s="13" t="s">
        <v>87</v>
      </c>
      <c r="K1360" s="13" t="s">
        <v>133</v>
      </c>
      <c r="L1360">
        <f>IF(COUNTIF(A$2:A1360, A1360)=1, IF(COUNTIF(A$2:A$2001, A1360)&gt;1, 1, 0), 0)</f>
        <v>0</v>
      </c>
      <c r="M1360" t="b">
        <f>VLOOKUP(D1360, Products!A$2:F$61, 6, FALSE)</f>
        <v>1</v>
      </c>
      <c r="N1360" t="str">
        <f>VLOOKUP(D1360, Products!A$2:C$61, 3, FALSE)</f>
        <v>Apparel</v>
      </c>
      <c r="O1360" t="str">
        <f>VLOOKUP(C1360, Customers!A$2:E$301, 5, FALSE)</f>
        <v>Retail</v>
      </c>
      <c r="P1360">
        <f>VLOOKUP(C1360, Customers!A$2:C$301, 3, FALSE)</f>
        <v>35</v>
      </c>
      <c r="Q1360" t="str">
        <f>VLOOKUP(E1360, Sales_Reps!A$2:C$31, 3, FALSE)</f>
        <v>West</v>
      </c>
      <c r="R1360">
        <f>VLOOKUP(D1360, Products!A$2:D$61, 4, FALSE)</f>
        <v>1748</v>
      </c>
    </row>
    <row r="1361" spans="1:18" x14ac:dyDescent="0.3">
      <c r="A1361" s="13" t="s">
        <v>1850</v>
      </c>
      <c r="B1361" s="14">
        <v>45451</v>
      </c>
      <c r="C1361" s="13" t="s">
        <v>388</v>
      </c>
      <c r="D1361" s="13" t="s">
        <v>184</v>
      </c>
      <c r="E1361" s="13" t="s">
        <v>103</v>
      </c>
      <c r="F1361" s="15">
        <v>6</v>
      </c>
      <c r="G1361" s="15">
        <v>4880</v>
      </c>
      <c r="H1361" s="15">
        <v>15.6</v>
      </c>
      <c r="I1361" s="15">
        <v>24712.32</v>
      </c>
      <c r="J1361" s="13" t="s">
        <v>93</v>
      </c>
      <c r="K1361" s="13" t="s">
        <v>133</v>
      </c>
      <c r="L1361">
        <f>IF(COUNTIF(A$2:A1361, A1361)=1, IF(COUNTIF(A$2:A$2001, A1361)&gt;1, 1, 0), 0)</f>
        <v>0</v>
      </c>
      <c r="M1361" t="b">
        <f>VLOOKUP(D1361, Products!A$2:F$61, 6, FALSE)</f>
        <v>1</v>
      </c>
      <c r="N1361" t="str">
        <f>VLOOKUP(D1361, Products!A$2:C$61, 3, FALSE)</f>
        <v>Beauty</v>
      </c>
      <c r="O1361" t="str">
        <f>VLOOKUP(C1361, Customers!A$2:E$301, 5, FALSE)</f>
        <v>Retail</v>
      </c>
      <c r="P1361">
        <f>VLOOKUP(C1361, Customers!A$2:C$301, 3, FALSE)</f>
        <v>44</v>
      </c>
      <c r="Q1361" t="str">
        <f>VLOOKUP(E1361, Sales_Reps!A$2:C$31, 3, FALSE)</f>
        <v>North</v>
      </c>
      <c r="R1361">
        <f>VLOOKUP(D1361, Products!A$2:D$61, 4, FALSE)</f>
        <v>2768</v>
      </c>
    </row>
    <row r="1362" spans="1:18" x14ac:dyDescent="0.3">
      <c r="A1362" s="13" t="s">
        <v>1851</v>
      </c>
      <c r="B1362" s="14">
        <v>45427</v>
      </c>
      <c r="C1362" s="13" t="s">
        <v>175</v>
      </c>
      <c r="D1362" s="13" t="s">
        <v>380</v>
      </c>
      <c r="E1362" s="13" t="s">
        <v>346</v>
      </c>
      <c r="F1362" s="15">
        <v>6</v>
      </c>
      <c r="G1362" s="15">
        <v>960</v>
      </c>
      <c r="H1362" s="15">
        <v>7.5</v>
      </c>
      <c r="I1362" s="15">
        <v>5328</v>
      </c>
      <c r="J1362" s="13" t="s">
        <v>93</v>
      </c>
      <c r="K1362" s="13" t="s">
        <v>133</v>
      </c>
      <c r="L1362">
        <f>IF(COUNTIF(A$2:A1362, A1362)=1, IF(COUNTIF(A$2:A$2001, A1362)&gt;1, 1, 0), 0)</f>
        <v>0</v>
      </c>
      <c r="M1362" t="b">
        <f>VLOOKUP(D1362, Products!A$2:F$61, 6, FALSE)</f>
        <v>1</v>
      </c>
      <c r="N1362" t="str">
        <f>VLOOKUP(D1362, Products!A$2:C$61, 3, FALSE)</f>
        <v>Beauty</v>
      </c>
      <c r="O1362" t="str">
        <f>VLOOKUP(C1362, Customers!A$2:E$301, 5, FALSE)</f>
        <v>SMB</v>
      </c>
      <c r="P1362">
        <f>VLOOKUP(C1362, Customers!A$2:C$301, 3, FALSE)</f>
        <v>40</v>
      </c>
      <c r="Q1362" t="str">
        <f>VLOOKUP(E1362, Sales_Reps!A$2:C$31, 3, FALSE)</f>
        <v>South</v>
      </c>
      <c r="R1362">
        <f>VLOOKUP(D1362, Products!A$2:D$61, 4, FALSE)</f>
        <v>675</v>
      </c>
    </row>
    <row r="1363" spans="1:18" x14ac:dyDescent="0.3">
      <c r="A1363" s="13" t="s">
        <v>1852</v>
      </c>
      <c r="B1363" s="14">
        <v>45532</v>
      </c>
      <c r="C1363" s="13" t="s">
        <v>413</v>
      </c>
      <c r="D1363" s="13" t="s">
        <v>659</v>
      </c>
      <c r="E1363" s="13" t="s">
        <v>154</v>
      </c>
      <c r="F1363" s="15">
        <v>1</v>
      </c>
      <c r="G1363" s="15">
        <v>3560</v>
      </c>
      <c r="H1363" s="15">
        <v>12.9</v>
      </c>
      <c r="I1363" s="15">
        <v>3100.76</v>
      </c>
      <c r="J1363" s="13" t="s">
        <v>87</v>
      </c>
      <c r="K1363" s="13" t="s">
        <v>88</v>
      </c>
      <c r="L1363">
        <f>IF(COUNTIF(A$2:A1363, A1363)=1, IF(COUNTIF(A$2:A$2001, A1363)&gt;1, 1, 0), 0)</f>
        <v>0</v>
      </c>
      <c r="M1363" t="b">
        <f>VLOOKUP(D1363, Products!A$2:F$61, 6, FALSE)</f>
        <v>1</v>
      </c>
      <c r="N1363" t="str">
        <f>VLOOKUP(D1363, Products!A$2:C$61, 3, FALSE)</f>
        <v>Apparel</v>
      </c>
      <c r="O1363" t="str">
        <f>VLOOKUP(C1363, Customers!A$2:E$301, 5, FALSE)</f>
        <v>Retail</v>
      </c>
      <c r="P1363">
        <f>VLOOKUP(C1363, Customers!A$2:C$301, 3, FALSE)</f>
        <v>22</v>
      </c>
      <c r="Q1363" t="str">
        <f>VLOOKUP(E1363, Sales_Reps!A$2:C$31, 3, FALSE)</f>
        <v>East</v>
      </c>
      <c r="R1363">
        <f>VLOOKUP(D1363, Products!A$2:D$61, 4, FALSE)</f>
        <v>2629</v>
      </c>
    </row>
    <row r="1364" spans="1:18" x14ac:dyDescent="0.3">
      <c r="A1364" s="13" t="s">
        <v>1853</v>
      </c>
      <c r="B1364" s="14">
        <v>45466</v>
      </c>
      <c r="C1364" s="13" t="s">
        <v>585</v>
      </c>
      <c r="D1364" s="13" t="s">
        <v>351</v>
      </c>
      <c r="E1364" s="13" t="s">
        <v>92</v>
      </c>
      <c r="F1364" s="15">
        <v>5</v>
      </c>
      <c r="G1364" s="15">
        <v>4060</v>
      </c>
      <c r="H1364" s="15">
        <v>18.100000000000001</v>
      </c>
      <c r="I1364" s="15">
        <v>16625.7</v>
      </c>
      <c r="J1364" s="13" t="s">
        <v>93</v>
      </c>
      <c r="K1364" s="13" t="s">
        <v>94</v>
      </c>
      <c r="L1364">
        <f>IF(COUNTIF(A$2:A1364, A1364)=1, IF(COUNTIF(A$2:A$2001, A1364)&gt;1, 1, 0), 0)</f>
        <v>0</v>
      </c>
      <c r="M1364" t="b">
        <f>VLOOKUP(D1364, Products!A$2:F$61, 6, FALSE)</f>
        <v>1</v>
      </c>
      <c r="N1364" t="str">
        <f>VLOOKUP(D1364, Products!A$2:C$61, 3, FALSE)</f>
        <v>Grocery</v>
      </c>
      <c r="O1364" t="str">
        <f>VLOOKUP(C1364, Customers!A$2:E$301, 5, FALSE)</f>
        <v>Retail</v>
      </c>
      <c r="P1364">
        <f>VLOOKUP(C1364, Customers!A$2:C$301, 3, FALSE)</f>
        <v>26</v>
      </c>
      <c r="Q1364" t="str">
        <f>VLOOKUP(E1364, Sales_Reps!A$2:C$31, 3, FALSE)</f>
        <v>North</v>
      </c>
      <c r="R1364">
        <f>VLOOKUP(D1364, Products!A$2:D$61, 4, FALSE)</f>
        <v>2911</v>
      </c>
    </row>
    <row r="1365" spans="1:18" x14ac:dyDescent="0.3">
      <c r="A1365" s="13" t="s">
        <v>1854</v>
      </c>
      <c r="B1365" s="14">
        <v>45545</v>
      </c>
      <c r="C1365" s="13" t="s">
        <v>101</v>
      </c>
      <c r="D1365" s="13" t="s">
        <v>173</v>
      </c>
      <c r="E1365" s="13" t="s">
        <v>192</v>
      </c>
      <c r="F1365" s="15">
        <v>10</v>
      </c>
      <c r="G1365" s="15">
        <v>2720</v>
      </c>
      <c r="H1365" s="15">
        <v>23.2</v>
      </c>
      <c r="I1365" s="15">
        <v>20889.599999999999</v>
      </c>
      <c r="J1365" s="13" t="s">
        <v>87</v>
      </c>
      <c r="K1365" s="13" t="s">
        <v>99</v>
      </c>
      <c r="L1365">
        <f>IF(COUNTIF(A$2:A1365, A1365)=1, IF(COUNTIF(A$2:A$2001, A1365)&gt;1, 1, 0), 0)</f>
        <v>0</v>
      </c>
      <c r="M1365" t="b">
        <f>VLOOKUP(D1365, Products!A$2:F$61, 6, FALSE)</f>
        <v>1</v>
      </c>
      <c r="N1365" t="str">
        <f>VLOOKUP(D1365, Products!A$2:C$61, 3, FALSE)</f>
        <v>Apparel</v>
      </c>
      <c r="O1365" t="str">
        <f>VLOOKUP(C1365, Customers!A$2:E$301, 5, FALSE)</f>
        <v>Corporate</v>
      </c>
      <c r="P1365">
        <f>VLOOKUP(C1365, Customers!A$2:C$301, 3, FALSE)</f>
        <v>46</v>
      </c>
      <c r="Q1365" t="str">
        <f>VLOOKUP(E1365, Sales_Reps!A$2:C$31, 3, FALSE)</f>
        <v>East</v>
      </c>
      <c r="R1365">
        <f>VLOOKUP(D1365, Products!A$2:D$61, 4, FALSE)</f>
        <v>1962</v>
      </c>
    </row>
    <row r="1366" spans="1:18" x14ac:dyDescent="0.3">
      <c r="A1366" s="13" t="s">
        <v>1728</v>
      </c>
      <c r="B1366" s="14">
        <v>45547</v>
      </c>
      <c r="C1366" s="13" t="s">
        <v>561</v>
      </c>
      <c r="D1366" s="13" t="s">
        <v>338</v>
      </c>
      <c r="E1366" s="13" t="s">
        <v>285</v>
      </c>
      <c r="F1366" s="15">
        <v>1</v>
      </c>
      <c r="G1366" s="15">
        <v>2210</v>
      </c>
      <c r="H1366" s="15">
        <v>5.8</v>
      </c>
      <c r="I1366" s="15">
        <v>2081.8200000000002</v>
      </c>
      <c r="J1366" s="13" t="s">
        <v>93</v>
      </c>
      <c r="K1366" s="13" t="s">
        <v>133</v>
      </c>
      <c r="L1366">
        <f>IF(COUNTIF(A$2:A1366, A1366)=1, IF(COUNTIF(A$2:A$2001, A1366)&gt;1, 1, 0), 0)</f>
        <v>0</v>
      </c>
      <c r="M1366" t="b">
        <f>VLOOKUP(D1366, Products!A$2:F$61, 6, FALSE)</f>
        <v>1</v>
      </c>
      <c r="N1366" t="str">
        <f>VLOOKUP(D1366, Products!A$2:C$61, 3, FALSE)</f>
        <v>Grocery</v>
      </c>
      <c r="O1366" t="str">
        <f>VLOOKUP(C1366, Customers!A$2:E$301, 5, FALSE)</f>
        <v>SMB</v>
      </c>
      <c r="P1366">
        <f>VLOOKUP(C1366, Customers!A$2:C$301, 3, FALSE)</f>
        <v>43</v>
      </c>
      <c r="Q1366" t="str">
        <f>VLOOKUP(E1366, Sales_Reps!A$2:C$31, 3, FALSE)</f>
        <v>East</v>
      </c>
      <c r="R1366">
        <f>VLOOKUP(D1366, Products!A$2:D$61, 4, FALSE)</f>
        <v>1010</v>
      </c>
    </row>
    <row r="1367" spans="1:18" x14ac:dyDescent="0.3">
      <c r="A1367" s="13" t="s">
        <v>1855</v>
      </c>
      <c r="B1367" s="14">
        <v>45547</v>
      </c>
      <c r="C1367" s="13" t="s">
        <v>160</v>
      </c>
      <c r="D1367" s="13" t="s">
        <v>157</v>
      </c>
      <c r="E1367" s="13" t="s">
        <v>252</v>
      </c>
      <c r="F1367" s="15">
        <v>5</v>
      </c>
      <c r="G1367" s="15">
        <v>3450</v>
      </c>
      <c r="H1367" s="15">
        <v>27.9</v>
      </c>
      <c r="I1367" s="15">
        <v>12437.25</v>
      </c>
      <c r="J1367" s="13" t="s">
        <v>93</v>
      </c>
      <c r="K1367" s="13" t="s">
        <v>112</v>
      </c>
      <c r="L1367">
        <f>IF(COUNTIF(A$2:A1367, A1367)=1, IF(COUNTIF(A$2:A$2001, A1367)&gt;1, 1, 0), 0)</f>
        <v>0</v>
      </c>
      <c r="M1367" t="b">
        <f>VLOOKUP(D1367, Products!A$2:F$61, 6, FALSE)</f>
        <v>1</v>
      </c>
      <c r="N1367" t="str">
        <f>VLOOKUP(D1367, Products!A$2:C$61, 3, FALSE)</f>
        <v>Beauty</v>
      </c>
      <c r="O1367" t="str">
        <f>VLOOKUP(C1367, Customers!A$2:E$301, 5, FALSE)</f>
        <v>Retail</v>
      </c>
      <c r="P1367">
        <f>VLOOKUP(C1367, Customers!A$2:C$301, 3, FALSE)</f>
        <v>54</v>
      </c>
      <c r="Q1367" t="str">
        <f>VLOOKUP(E1367, Sales_Reps!A$2:C$31, 3, FALSE)</f>
        <v>South</v>
      </c>
      <c r="R1367">
        <f>VLOOKUP(D1367, Products!A$2:D$61, 4, FALSE)</f>
        <v>2420</v>
      </c>
    </row>
    <row r="1368" spans="1:18" x14ac:dyDescent="0.3">
      <c r="A1368" s="13" t="s">
        <v>1856</v>
      </c>
      <c r="B1368" s="14">
        <v>45550</v>
      </c>
      <c r="C1368" s="13" t="s">
        <v>212</v>
      </c>
      <c r="D1368" s="13" t="s">
        <v>367</v>
      </c>
      <c r="E1368" s="13" t="s">
        <v>154</v>
      </c>
      <c r="F1368" s="15">
        <v>9</v>
      </c>
      <c r="G1368" s="15">
        <v>2380</v>
      </c>
      <c r="H1368" s="15">
        <v>15.2</v>
      </c>
      <c r="I1368" s="15">
        <v>18164.16</v>
      </c>
      <c r="J1368" s="13" t="s">
        <v>144</v>
      </c>
      <c r="K1368" s="13" t="s">
        <v>112</v>
      </c>
      <c r="L1368">
        <f>IF(COUNTIF(A$2:A1368, A1368)=1, IF(COUNTIF(A$2:A$2001, A1368)&gt;1, 1, 0), 0)</f>
        <v>0</v>
      </c>
      <c r="M1368" t="b">
        <f>VLOOKUP(D1368, Products!A$2:F$61, 6, FALSE)</f>
        <v>1</v>
      </c>
      <c r="N1368" t="str">
        <f>VLOOKUP(D1368, Products!A$2:C$61, 3, FALSE)</f>
        <v>Grocery</v>
      </c>
      <c r="O1368" t="str">
        <f>VLOOKUP(C1368, Customers!A$2:E$301, 5, FALSE)</f>
        <v>SMB</v>
      </c>
      <c r="P1368">
        <f>VLOOKUP(C1368, Customers!A$2:C$301, 3, FALSE)</f>
        <v>36</v>
      </c>
      <c r="Q1368" t="str">
        <f>VLOOKUP(E1368, Sales_Reps!A$2:C$31, 3, FALSE)</f>
        <v>East</v>
      </c>
      <c r="R1368">
        <f>VLOOKUP(D1368, Products!A$2:D$61, 4, FALSE)</f>
        <v>1182</v>
      </c>
    </row>
    <row r="1369" spans="1:18" x14ac:dyDescent="0.3">
      <c r="A1369" s="13" t="s">
        <v>1857</v>
      </c>
      <c r="B1369" s="14">
        <v>45551</v>
      </c>
      <c r="C1369" s="13" t="s">
        <v>399</v>
      </c>
      <c r="D1369" s="13" t="s">
        <v>367</v>
      </c>
      <c r="E1369" s="13" t="s">
        <v>297</v>
      </c>
      <c r="F1369" s="15">
        <v>2</v>
      </c>
      <c r="G1369" s="15">
        <v>2380</v>
      </c>
      <c r="H1369" s="15">
        <v>24.3</v>
      </c>
      <c r="I1369" s="15">
        <v>3603.32</v>
      </c>
      <c r="J1369" s="13" t="s">
        <v>87</v>
      </c>
      <c r="K1369" s="13" t="s">
        <v>99</v>
      </c>
      <c r="L1369">
        <f>IF(COUNTIF(A$2:A1369, A1369)=1, IF(COUNTIF(A$2:A$2001, A1369)&gt;1, 1, 0), 0)</f>
        <v>0</v>
      </c>
      <c r="M1369" t="b">
        <f>VLOOKUP(D1369, Products!A$2:F$61, 6, FALSE)</f>
        <v>1</v>
      </c>
      <c r="N1369" t="str">
        <f>VLOOKUP(D1369, Products!A$2:C$61, 3, FALSE)</f>
        <v>Grocery</v>
      </c>
      <c r="O1369" t="str">
        <f>VLOOKUP(C1369, Customers!A$2:E$301, 5, FALSE)</f>
        <v>SMB</v>
      </c>
      <c r="P1369">
        <f>VLOOKUP(C1369, Customers!A$2:C$301, 3, FALSE)</f>
        <v>53</v>
      </c>
      <c r="Q1369" t="str">
        <f>VLOOKUP(E1369, Sales_Reps!A$2:C$31, 3, FALSE)</f>
        <v>North</v>
      </c>
      <c r="R1369">
        <f>VLOOKUP(D1369, Products!A$2:D$61, 4, FALSE)</f>
        <v>1182</v>
      </c>
    </row>
    <row r="1370" spans="1:18" x14ac:dyDescent="0.3">
      <c r="A1370" s="13" t="s">
        <v>1858</v>
      </c>
      <c r="B1370" s="14">
        <v>45560</v>
      </c>
      <c r="C1370" s="13" t="s">
        <v>101</v>
      </c>
      <c r="D1370" s="13" t="s">
        <v>659</v>
      </c>
      <c r="E1370" s="13" t="s">
        <v>325</v>
      </c>
      <c r="F1370" s="15">
        <v>9</v>
      </c>
      <c r="G1370" s="15">
        <v>3560</v>
      </c>
      <c r="H1370" s="15">
        <v>6.6</v>
      </c>
      <c r="I1370" s="15">
        <v>29925.360000000001</v>
      </c>
      <c r="J1370" s="13" t="s">
        <v>144</v>
      </c>
      <c r="K1370" s="13" t="s">
        <v>99</v>
      </c>
      <c r="L1370">
        <f>IF(COUNTIF(A$2:A1370, A1370)=1, IF(COUNTIF(A$2:A$2001, A1370)&gt;1, 1, 0), 0)</f>
        <v>0</v>
      </c>
      <c r="M1370" t="b">
        <f>VLOOKUP(D1370, Products!A$2:F$61, 6, FALSE)</f>
        <v>1</v>
      </c>
      <c r="N1370" t="str">
        <f>VLOOKUP(D1370, Products!A$2:C$61, 3, FALSE)</f>
        <v>Apparel</v>
      </c>
      <c r="O1370" t="str">
        <f>VLOOKUP(C1370, Customers!A$2:E$301, 5, FALSE)</f>
        <v>Corporate</v>
      </c>
      <c r="P1370">
        <f>VLOOKUP(C1370, Customers!A$2:C$301, 3, FALSE)</f>
        <v>46</v>
      </c>
      <c r="Q1370" t="str">
        <f>VLOOKUP(E1370, Sales_Reps!A$2:C$31, 3, FALSE)</f>
        <v>South</v>
      </c>
      <c r="R1370">
        <f>VLOOKUP(D1370, Products!A$2:D$61, 4, FALSE)</f>
        <v>2629</v>
      </c>
    </row>
    <row r="1371" spans="1:18" x14ac:dyDescent="0.3">
      <c r="A1371" s="13" t="s">
        <v>1859</v>
      </c>
      <c r="B1371" s="14">
        <v>45330</v>
      </c>
      <c r="C1371" s="13" t="s">
        <v>472</v>
      </c>
      <c r="D1371" s="13" t="s">
        <v>267</v>
      </c>
      <c r="E1371" s="13" t="s">
        <v>303</v>
      </c>
      <c r="F1371" s="15">
        <v>7</v>
      </c>
      <c r="G1371" s="15">
        <v>1220</v>
      </c>
      <c r="H1371" s="15">
        <v>29.4</v>
      </c>
      <c r="I1371" s="15">
        <v>6029.24</v>
      </c>
      <c r="J1371" s="13" t="s">
        <v>87</v>
      </c>
      <c r="K1371" s="13" t="s">
        <v>94</v>
      </c>
      <c r="L1371">
        <f>IF(COUNTIF(A$2:A1371, A1371)=1, IF(COUNTIF(A$2:A$2001, A1371)&gt;1, 1, 0), 0)</f>
        <v>0</v>
      </c>
      <c r="M1371" t="b">
        <f>VLOOKUP(D1371, Products!A$2:F$61, 6, FALSE)</f>
        <v>1</v>
      </c>
      <c r="N1371" t="str">
        <f>VLOOKUP(D1371, Products!A$2:C$61, 3, FALSE)</f>
        <v>Electronics</v>
      </c>
      <c r="O1371" t="str">
        <f>VLOOKUP(C1371, Customers!A$2:E$301, 5, FALSE)</f>
        <v>Corporate</v>
      </c>
      <c r="P1371">
        <f>VLOOKUP(C1371, Customers!A$2:C$301, 3, FALSE)</f>
        <v>35</v>
      </c>
      <c r="Q1371" t="str">
        <f>VLOOKUP(E1371, Sales_Reps!A$2:C$31, 3, FALSE)</f>
        <v>East</v>
      </c>
      <c r="R1371">
        <f>VLOOKUP(D1371, Products!A$2:D$61, 4, FALSE)</f>
        <v>517</v>
      </c>
    </row>
    <row r="1372" spans="1:18" x14ac:dyDescent="0.3">
      <c r="A1372" s="13" t="s">
        <v>1860</v>
      </c>
      <c r="B1372" s="14">
        <v>45560</v>
      </c>
      <c r="C1372" s="13" t="s">
        <v>555</v>
      </c>
      <c r="D1372" s="13" t="s">
        <v>515</v>
      </c>
      <c r="E1372" s="13" t="s">
        <v>238</v>
      </c>
      <c r="F1372" s="15">
        <v>7</v>
      </c>
      <c r="G1372" s="15">
        <v>6940</v>
      </c>
      <c r="H1372" s="15">
        <v>9.6</v>
      </c>
      <c r="I1372" s="15">
        <v>43916.32</v>
      </c>
      <c r="J1372" s="13" t="s">
        <v>87</v>
      </c>
      <c r="K1372" s="13" t="s">
        <v>112</v>
      </c>
      <c r="L1372">
        <f>IF(COUNTIF(A$2:A1372, A1372)=1, IF(COUNTIF(A$2:A$2001, A1372)&gt;1, 1, 0), 0)</f>
        <v>0</v>
      </c>
      <c r="M1372" t="b">
        <f>VLOOKUP(D1372, Products!A$2:F$61, 6, FALSE)</f>
        <v>1</v>
      </c>
      <c r="N1372" t="str">
        <f>VLOOKUP(D1372, Products!A$2:C$61, 3, FALSE)</f>
        <v>Sports</v>
      </c>
      <c r="O1372" t="str">
        <f>VLOOKUP(C1372, Customers!A$2:E$301, 5, FALSE)</f>
        <v>Retail</v>
      </c>
      <c r="P1372">
        <f>VLOOKUP(C1372, Customers!A$2:C$301, 3, FALSE)</f>
        <v>37</v>
      </c>
      <c r="Q1372" t="str">
        <f>VLOOKUP(E1372, Sales_Reps!A$2:C$31, 3, FALSE)</f>
        <v>East</v>
      </c>
      <c r="R1372">
        <f>VLOOKUP(D1372, Products!A$2:D$61, 4, FALSE)</f>
        <v>2827</v>
      </c>
    </row>
    <row r="1373" spans="1:18" x14ac:dyDescent="0.3">
      <c r="A1373" s="13" t="s">
        <v>1861</v>
      </c>
      <c r="B1373" s="14">
        <v>45395</v>
      </c>
      <c r="C1373" s="13" t="s">
        <v>905</v>
      </c>
      <c r="D1373" s="13" t="s">
        <v>502</v>
      </c>
      <c r="E1373" s="13" t="s">
        <v>285</v>
      </c>
      <c r="F1373" s="15">
        <v>2</v>
      </c>
      <c r="G1373" s="15">
        <v>1090</v>
      </c>
      <c r="H1373" s="15">
        <v>17</v>
      </c>
      <c r="I1373" s="15">
        <v>1809.4</v>
      </c>
      <c r="J1373" s="13" t="s">
        <v>87</v>
      </c>
      <c r="K1373" s="13" t="s">
        <v>112</v>
      </c>
      <c r="L1373">
        <f>IF(COUNTIF(A$2:A1373, A1373)=1, IF(COUNTIF(A$2:A$2001, A1373)&gt;1, 1, 0), 0)</f>
        <v>0</v>
      </c>
      <c r="M1373" t="b">
        <f>VLOOKUP(D1373, Products!A$2:F$61, 6, FALSE)</f>
        <v>1</v>
      </c>
      <c r="N1373" t="str">
        <f>VLOOKUP(D1373, Products!A$2:C$61, 3, FALSE)</f>
        <v>Home</v>
      </c>
      <c r="O1373" t="str">
        <f>VLOOKUP(C1373, Customers!A$2:E$301, 5, FALSE)</f>
        <v>SMB</v>
      </c>
      <c r="P1373">
        <f>VLOOKUP(C1373, Customers!A$2:C$301, 3, FALSE)</f>
        <v>43</v>
      </c>
      <c r="Q1373" t="str">
        <f>VLOOKUP(E1373, Sales_Reps!A$2:C$31, 3, FALSE)</f>
        <v>East</v>
      </c>
      <c r="R1373">
        <f>VLOOKUP(D1373, Products!A$2:D$61, 4, FALSE)</f>
        <v>464</v>
      </c>
    </row>
    <row r="1374" spans="1:18" x14ac:dyDescent="0.3">
      <c r="A1374" s="13" t="s">
        <v>1862</v>
      </c>
      <c r="B1374" s="14">
        <v>45486</v>
      </c>
      <c r="C1374" s="13" t="s">
        <v>785</v>
      </c>
      <c r="D1374" s="13" t="s">
        <v>367</v>
      </c>
      <c r="E1374" s="13" t="s">
        <v>128</v>
      </c>
      <c r="F1374" s="15">
        <v>4</v>
      </c>
      <c r="G1374" s="15">
        <v>2380</v>
      </c>
      <c r="H1374" s="15">
        <v>18.899999999999999</v>
      </c>
      <c r="I1374" s="15">
        <v>7720.72</v>
      </c>
      <c r="J1374" s="13" t="s">
        <v>93</v>
      </c>
      <c r="K1374" s="13" t="s">
        <v>88</v>
      </c>
      <c r="L1374">
        <f>IF(COUNTIF(A$2:A1374, A1374)=1, IF(COUNTIF(A$2:A$2001, A1374)&gt;1, 1, 0), 0)</f>
        <v>0</v>
      </c>
      <c r="M1374" t="b">
        <f>VLOOKUP(D1374, Products!A$2:F$61, 6, FALSE)</f>
        <v>1</v>
      </c>
      <c r="N1374" t="str">
        <f>VLOOKUP(D1374, Products!A$2:C$61, 3, FALSE)</f>
        <v>Grocery</v>
      </c>
      <c r="O1374" t="str">
        <f>VLOOKUP(C1374, Customers!A$2:E$301, 5, FALSE)</f>
        <v>Retail</v>
      </c>
      <c r="P1374">
        <f>VLOOKUP(C1374, Customers!A$2:C$301, 3, FALSE)</f>
        <v>31</v>
      </c>
      <c r="Q1374" t="str">
        <f>VLOOKUP(E1374, Sales_Reps!A$2:C$31, 3, FALSE)</f>
        <v>West</v>
      </c>
      <c r="R1374">
        <f>VLOOKUP(D1374, Products!A$2:D$61, 4, FALSE)</f>
        <v>1182</v>
      </c>
    </row>
    <row r="1375" spans="1:18" x14ac:dyDescent="0.3">
      <c r="A1375" s="13" t="s">
        <v>1863</v>
      </c>
      <c r="B1375" s="14">
        <v>45578</v>
      </c>
      <c r="C1375" s="13" t="s">
        <v>905</v>
      </c>
      <c r="D1375" s="13" t="s">
        <v>131</v>
      </c>
      <c r="E1375" s="13" t="s">
        <v>139</v>
      </c>
      <c r="F1375" s="15">
        <v>6</v>
      </c>
      <c r="G1375" s="15">
        <v>2270</v>
      </c>
      <c r="H1375" s="15">
        <v>20.9</v>
      </c>
      <c r="I1375" s="15">
        <v>10773.42</v>
      </c>
      <c r="J1375" s="13" t="s">
        <v>93</v>
      </c>
      <c r="K1375" s="13" t="s">
        <v>112</v>
      </c>
      <c r="L1375">
        <f>IF(COUNTIF(A$2:A1375, A1375)=1, IF(COUNTIF(A$2:A$2001, A1375)&gt;1, 1, 0), 0)</f>
        <v>0</v>
      </c>
      <c r="M1375" t="b">
        <f>VLOOKUP(D1375, Products!A$2:F$61, 6, FALSE)</f>
        <v>1</v>
      </c>
      <c r="N1375" t="str">
        <f>VLOOKUP(D1375, Products!A$2:C$61, 3, FALSE)</f>
        <v>Grocery</v>
      </c>
      <c r="O1375" t="str">
        <f>VLOOKUP(C1375, Customers!A$2:E$301, 5, FALSE)</f>
        <v>SMB</v>
      </c>
      <c r="P1375">
        <f>VLOOKUP(C1375, Customers!A$2:C$301, 3, FALSE)</f>
        <v>43</v>
      </c>
      <c r="Q1375" t="str">
        <f>VLOOKUP(E1375, Sales_Reps!A$2:C$31, 3, FALSE)</f>
        <v>North</v>
      </c>
      <c r="R1375">
        <f>VLOOKUP(D1375, Products!A$2:D$61, 4, FALSE)</f>
        <v>1203</v>
      </c>
    </row>
    <row r="1376" spans="1:18" x14ac:dyDescent="0.3">
      <c r="A1376" s="13" t="s">
        <v>1864</v>
      </c>
      <c r="B1376" s="14">
        <v>45581</v>
      </c>
      <c r="C1376" s="13" t="s">
        <v>816</v>
      </c>
      <c r="D1376" s="13" t="s">
        <v>295</v>
      </c>
      <c r="E1376" s="13" t="s">
        <v>121</v>
      </c>
      <c r="F1376" s="15">
        <v>10</v>
      </c>
      <c r="G1376" s="15">
        <v>2030</v>
      </c>
      <c r="H1376" s="15">
        <v>25</v>
      </c>
      <c r="I1376" s="15">
        <v>15225</v>
      </c>
      <c r="J1376" s="13" t="s">
        <v>87</v>
      </c>
      <c r="K1376" s="13" t="s">
        <v>88</v>
      </c>
      <c r="L1376">
        <f>IF(COUNTIF(A$2:A1376, A1376)=1, IF(COUNTIF(A$2:A$2001, A1376)&gt;1, 1, 0), 0)</f>
        <v>0</v>
      </c>
      <c r="M1376" t="b">
        <f>VLOOKUP(D1376, Products!A$2:F$61, 6, FALSE)</f>
        <v>1</v>
      </c>
      <c r="N1376" t="str">
        <f>VLOOKUP(D1376, Products!A$2:C$61, 3, FALSE)</f>
        <v>Home</v>
      </c>
      <c r="O1376" t="str">
        <f>VLOOKUP(C1376, Customers!A$2:E$301, 5, FALSE)</f>
        <v>Retail</v>
      </c>
      <c r="P1376">
        <f>VLOOKUP(C1376, Customers!A$2:C$301, 3, FALSE)</f>
        <v>36</v>
      </c>
      <c r="Q1376" t="str">
        <f>VLOOKUP(E1376, Sales_Reps!A$2:C$31, 3, FALSE)</f>
        <v>East</v>
      </c>
      <c r="R1376">
        <f>VLOOKUP(D1376, Products!A$2:D$61, 4, FALSE)</f>
        <v>1143</v>
      </c>
    </row>
    <row r="1377" spans="1:18" x14ac:dyDescent="0.3">
      <c r="A1377" s="13" t="s">
        <v>1865</v>
      </c>
      <c r="B1377" s="14">
        <v>45508</v>
      </c>
      <c r="C1377" s="13" t="s">
        <v>390</v>
      </c>
      <c r="D1377" s="13" t="s">
        <v>502</v>
      </c>
      <c r="E1377" s="13" t="s">
        <v>343</v>
      </c>
      <c r="F1377" s="15">
        <v>3</v>
      </c>
      <c r="G1377" s="15">
        <v>1090</v>
      </c>
      <c r="H1377" s="15">
        <v>12.1</v>
      </c>
      <c r="I1377" s="15">
        <v>2874.33</v>
      </c>
      <c r="J1377" s="13" t="s">
        <v>87</v>
      </c>
      <c r="K1377" s="13" t="s">
        <v>88</v>
      </c>
      <c r="L1377">
        <f>IF(COUNTIF(A$2:A1377, A1377)=1, IF(COUNTIF(A$2:A$2001, A1377)&gt;1, 1, 0), 0)</f>
        <v>0</v>
      </c>
      <c r="M1377" t="b">
        <f>VLOOKUP(D1377, Products!A$2:F$61, 6, FALSE)</f>
        <v>1</v>
      </c>
      <c r="N1377" t="str">
        <f>VLOOKUP(D1377, Products!A$2:C$61, 3, FALSE)</f>
        <v>Home</v>
      </c>
      <c r="O1377" t="str">
        <f>VLOOKUP(C1377, Customers!A$2:E$301, 5, FALSE)</f>
        <v>SMB</v>
      </c>
      <c r="P1377">
        <f>VLOOKUP(C1377, Customers!A$2:C$301, 3, FALSE)</f>
        <v>54</v>
      </c>
      <c r="Q1377" t="str">
        <f>VLOOKUP(E1377, Sales_Reps!A$2:C$31, 3, FALSE)</f>
        <v>West</v>
      </c>
      <c r="R1377">
        <f>VLOOKUP(D1377, Products!A$2:D$61, 4, FALSE)</f>
        <v>464</v>
      </c>
    </row>
    <row r="1378" spans="1:18" x14ac:dyDescent="0.3">
      <c r="A1378" s="13" t="s">
        <v>1866</v>
      </c>
      <c r="B1378" s="14">
        <v>45303</v>
      </c>
      <c r="C1378" s="13" t="s">
        <v>905</v>
      </c>
      <c r="D1378" s="13" t="s">
        <v>355</v>
      </c>
      <c r="E1378" s="13" t="s">
        <v>238</v>
      </c>
      <c r="F1378" s="15">
        <v>3</v>
      </c>
      <c r="G1378" s="15">
        <v>2510</v>
      </c>
      <c r="H1378" s="15">
        <v>28.7</v>
      </c>
      <c r="I1378" s="15">
        <v>5368.89</v>
      </c>
      <c r="J1378" s="13" t="s">
        <v>87</v>
      </c>
      <c r="K1378" s="13" t="s">
        <v>112</v>
      </c>
      <c r="L1378">
        <f>IF(COUNTIF(A$2:A1378, A1378)=1, IF(COUNTIF(A$2:A$2001, A1378)&gt;1, 1, 0), 0)</f>
        <v>0</v>
      </c>
      <c r="M1378" t="b">
        <f>VLOOKUP(D1378, Products!A$2:F$61, 6, FALSE)</f>
        <v>0</v>
      </c>
      <c r="N1378" t="str">
        <f>VLOOKUP(D1378, Products!A$2:C$61, 3, FALSE)</f>
        <v>Apparel</v>
      </c>
      <c r="O1378" t="str">
        <f>VLOOKUP(C1378, Customers!A$2:E$301, 5, FALSE)</f>
        <v>SMB</v>
      </c>
      <c r="P1378">
        <f>VLOOKUP(C1378, Customers!A$2:C$301, 3, FALSE)</f>
        <v>43</v>
      </c>
      <c r="Q1378" t="str">
        <f>VLOOKUP(E1378, Sales_Reps!A$2:C$31, 3, FALSE)</f>
        <v>East</v>
      </c>
      <c r="R1378">
        <f>VLOOKUP(D1378, Products!A$2:D$61, 4, FALSE)</f>
        <v>1075</v>
      </c>
    </row>
    <row r="1379" spans="1:18" x14ac:dyDescent="0.3">
      <c r="A1379" s="13" t="s">
        <v>1867</v>
      </c>
      <c r="B1379" s="14">
        <v>45412</v>
      </c>
      <c r="C1379" s="13" t="s">
        <v>1623</v>
      </c>
      <c r="D1379" s="13" t="s">
        <v>131</v>
      </c>
      <c r="E1379" s="13" t="s">
        <v>201</v>
      </c>
      <c r="F1379" s="15">
        <v>9</v>
      </c>
      <c r="G1379" s="15">
        <v>2270</v>
      </c>
      <c r="H1379" s="15">
        <v>25.4</v>
      </c>
      <c r="I1379" s="15">
        <v>15240.78</v>
      </c>
      <c r="J1379" s="13" t="s">
        <v>93</v>
      </c>
      <c r="K1379" s="13" t="s">
        <v>117</v>
      </c>
      <c r="L1379">
        <f>IF(COUNTIF(A$2:A1379, A1379)=1, IF(COUNTIF(A$2:A$2001, A1379)&gt;1, 1, 0), 0)</f>
        <v>0</v>
      </c>
      <c r="M1379" t="b">
        <f>VLOOKUP(D1379, Products!A$2:F$61, 6, FALSE)</f>
        <v>1</v>
      </c>
      <c r="N1379" t="str">
        <f>VLOOKUP(D1379, Products!A$2:C$61, 3, FALSE)</f>
        <v>Grocery</v>
      </c>
      <c r="O1379" t="str">
        <f>VLOOKUP(C1379, Customers!A$2:E$301, 5, FALSE)</f>
        <v>Retail</v>
      </c>
      <c r="P1379">
        <f>VLOOKUP(C1379, Customers!A$2:C$301, 3, FALSE)</f>
        <v>53</v>
      </c>
      <c r="Q1379" t="str">
        <f>VLOOKUP(E1379, Sales_Reps!A$2:C$31, 3, FALSE)</f>
        <v>West</v>
      </c>
      <c r="R1379">
        <f>VLOOKUP(D1379, Products!A$2:D$61, 4, FALSE)</f>
        <v>1203</v>
      </c>
    </row>
    <row r="1380" spans="1:18" x14ac:dyDescent="0.3">
      <c r="A1380" s="13" t="s">
        <v>1868</v>
      </c>
      <c r="B1380" s="14">
        <v>45400</v>
      </c>
      <c r="C1380" s="13" t="s">
        <v>101</v>
      </c>
      <c r="D1380" s="13" t="s">
        <v>408</v>
      </c>
      <c r="E1380" s="13" t="s">
        <v>229</v>
      </c>
      <c r="F1380" s="15">
        <v>9</v>
      </c>
      <c r="G1380" s="15">
        <v>3970</v>
      </c>
      <c r="H1380" s="15">
        <v>10.1</v>
      </c>
      <c r="I1380" s="15">
        <v>32121.27</v>
      </c>
      <c r="J1380" s="13" t="s">
        <v>140</v>
      </c>
      <c r="K1380" s="13" t="s">
        <v>99</v>
      </c>
      <c r="L1380">
        <f>IF(COUNTIF(A$2:A1380, A1380)=1, IF(COUNTIF(A$2:A$2001, A1380)&gt;1, 1, 0), 0)</f>
        <v>0</v>
      </c>
      <c r="M1380" t="b">
        <f>VLOOKUP(D1380, Products!A$2:F$61, 6, FALSE)</f>
        <v>1</v>
      </c>
      <c r="N1380" t="str">
        <f>VLOOKUP(D1380, Products!A$2:C$61, 3, FALSE)</f>
        <v>Electronics</v>
      </c>
      <c r="O1380" t="str">
        <f>VLOOKUP(C1380, Customers!A$2:E$301, 5, FALSE)</f>
        <v>Corporate</v>
      </c>
      <c r="P1380">
        <f>VLOOKUP(C1380, Customers!A$2:C$301, 3, FALSE)</f>
        <v>46</v>
      </c>
      <c r="Q1380" t="str">
        <f>VLOOKUP(E1380, Sales_Reps!A$2:C$31, 3, FALSE)</f>
        <v>West</v>
      </c>
      <c r="R1380">
        <f>VLOOKUP(D1380, Products!A$2:D$61, 4, FALSE)</f>
        <v>2865</v>
      </c>
    </row>
    <row r="1381" spans="1:18" x14ac:dyDescent="0.3">
      <c r="A1381" s="13" t="s">
        <v>1869</v>
      </c>
      <c r="B1381" s="14">
        <v>45570</v>
      </c>
      <c r="C1381" s="13" t="s">
        <v>617</v>
      </c>
      <c r="D1381" s="13" t="s">
        <v>338</v>
      </c>
      <c r="E1381" s="13" t="s">
        <v>98</v>
      </c>
      <c r="F1381" s="15">
        <v>6</v>
      </c>
      <c r="G1381" s="15">
        <v>2210</v>
      </c>
      <c r="H1381" s="15">
        <v>7.4</v>
      </c>
      <c r="I1381" s="15">
        <v>12278.76</v>
      </c>
      <c r="J1381" s="13" t="s">
        <v>87</v>
      </c>
      <c r="K1381" s="13" t="s">
        <v>112</v>
      </c>
      <c r="L1381">
        <f>IF(COUNTIF(A$2:A1381, A1381)=1, IF(COUNTIF(A$2:A$2001, A1381)&gt;1, 1, 0), 0)</f>
        <v>0</v>
      </c>
      <c r="M1381" t="b">
        <f>VLOOKUP(D1381, Products!A$2:F$61, 6, FALSE)</f>
        <v>1</v>
      </c>
      <c r="N1381" t="str">
        <f>VLOOKUP(D1381, Products!A$2:C$61, 3, FALSE)</f>
        <v>Grocery</v>
      </c>
      <c r="O1381" t="str">
        <f>VLOOKUP(C1381, Customers!A$2:E$301, 5, FALSE)</f>
        <v>SMB</v>
      </c>
      <c r="P1381">
        <f>VLOOKUP(C1381, Customers!A$2:C$301, 3, FALSE)</f>
        <v>65</v>
      </c>
      <c r="Q1381" t="str">
        <f>VLOOKUP(E1381, Sales_Reps!A$2:C$31, 3, FALSE)</f>
        <v>South</v>
      </c>
      <c r="R1381">
        <f>VLOOKUP(D1381, Products!A$2:D$61, 4, FALSE)</f>
        <v>1010</v>
      </c>
    </row>
    <row r="1382" spans="1:18" x14ac:dyDescent="0.3">
      <c r="A1382" s="13" t="s">
        <v>1870</v>
      </c>
      <c r="B1382" s="14">
        <v>45360</v>
      </c>
      <c r="C1382" s="13" t="s">
        <v>275</v>
      </c>
      <c r="D1382" s="13" t="s">
        <v>259</v>
      </c>
      <c r="E1382" s="13" t="s">
        <v>238</v>
      </c>
      <c r="F1382" s="15">
        <v>7</v>
      </c>
      <c r="G1382" s="15">
        <v>1540</v>
      </c>
      <c r="H1382" s="15">
        <v>20.6</v>
      </c>
      <c r="I1382" s="15">
        <v>8559.32</v>
      </c>
      <c r="J1382" s="13" t="s">
        <v>87</v>
      </c>
      <c r="K1382" s="13" t="s">
        <v>88</v>
      </c>
      <c r="L1382">
        <f>IF(COUNTIF(A$2:A1382, A1382)=1, IF(COUNTIF(A$2:A$2001, A1382)&gt;1, 1, 0), 0)</f>
        <v>0</v>
      </c>
      <c r="M1382" t="b">
        <f>VLOOKUP(D1382, Products!A$2:F$61, 6, FALSE)</f>
        <v>0</v>
      </c>
      <c r="N1382" t="str">
        <f>VLOOKUP(D1382, Products!A$2:C$61, 3, FALSE)</f>
        <v>Beauty</v>
      </c>
      <c r="O1382" t="str">
        <f>VLOOKUP(C1382, Customers!A$2:E$301, 5, FALSE)</f>
        <v>Retail</v>
      </c>
      <c r="P1382">
        <f>VLOOKUP(C1382, Customers!A$2:C$301, 3, FALSE)</f>
        <v>44</v>
      </c>
      <c r="Q1382" t="str">
        <f>VLOOKUP(E1382, Sales_Reps!A$2:C$31, 3, FALSE)</f>
        <v>East</v>
      </c>
      <c r="R1382">
        <f>VLOOKUP(D1382, Products!A$2:D$61, 4, FALSE)</f>
        <v>647</v>
      </c>
    </row>
    <row r="1383" spans="1:18" x14ac:dyDescent="0.3">
      <c r="A1383" s="13" t="s">
        <v>1871</v>
      </c>
      <c r="B1383" s="14">
        <v>45334</v>
      </c>
      <c r="C1383" s="13" t="s">
        <v>797</v>
      </c>
      <c r="D1383" s="13" t="s">
        <v>270</v>
      </c>
      <c r="E1383" s="13" t="s">
        <v>343</v>
      </c>
      <c r="F1383" s="15">
        <v>9</v>
      </c>
      <c r="G1383" s="15">
        <v>4610</v>
      </c>
      <c r="H1383" s="15">
        <v>2.1</v>
      </c>
      <c r="I1383" s="15">
        <v>40618.71</v>
      </c>
      <c r="J1383" s="13" t="s">
        <v>87</v>
      </c>
      <c r="K1383" s="13" t="s">
        <v>99</v>
      </c>
      <c r="L1383">
        <f>IF(COUNTIF(A$2:A1383, A1383)=1, IF(COUNTIF(A$2:A$2001, A1383)&gt;1, 1, 0), 0)</f>
        <v>0</v>
      </c>
      <c r="M1383" t="b">
        <f>VLOOKUP(D1383, Products!A$2:F$61, 6, FALSE)</f>
        <v>1</v>
      </c>
      <c r="N1383" t="str">
        <f>VLOOKUP(D1383, Products!A$2:C$61, 3, FALSE)</f>
        <v>Home</v>
      </c>
      <c r="O1383" t="str">
        <f>VLOOKUP(C1383, Customers!A$2:E$301, 5, FALSE)</f>
        <v>Retail</v>
      </c>
      <c r="P1383">
        <f>VLOOKUP(C1383, Customers!A$2:C$301, 3, FALSE)</f>
        <v>63</v>
      </c>
      <c r="Q1383" t="str">
        <f>VLOOKUP(E1383, Sales_Reps!A$2:C$31, 3, FALSE)</f>
        <v>West</v>
      </c>
      <c r="R1383">
        <f>VLOOKUP(D1383, Products!A$2:D$61, 4, FALSE)</f>
        <v>1850</v>
      </c>
    </row>
    <row r="1384" spans="1:18" x14ac:dyDescent="0.3">
      <c r="A1384" s="13" t="s">
        <v>1872</v>
      </c>
      <c r="B1384" s="14">
        <v>45527</v>
      </c>
      <c r="C1384" s="13" t="s">
        <v>729</v>
      </c>
      <c r="D1384" s="13" t="s">
        <v>408</v>
      </c>
      <c r="E1384" s="13" t="s">
        <v>297</v>
      </c>
      <c r="F1384" s="15">
        <v>10</v>
      </c>
      <c r="G1384" s="15">
        <v>3970</v>
      </c>
      <c r="H1384" s="15">
        <v>13.3</v>
      </c>
      <c r="I1384" s="15">
        <v>34419.9</v>
      </c>
      <c r="J1384" s="13" t="s">
        <v>93</v>
      </c>
      <c r="K1384" s="13" t="s">
        <v>112</v>
      </c>
      <c r="L1384">
        <f>IF(COUNTIF(A$2:A1384, A1384)=1, IF(COUNTIF(A$2:A$2001, A1384)&gt;1, 1, 0), 0)</f>
        <v>0</v>
      </c>
      <c r="M1384" t="b">
        <f>VLOOKUP(D1384, Products!A$2:F$61, 6, FALSE)</f>
        <v>1</v>
      </c>
      <c r="N1384" t="str">
        <f>VLOOKUP(D1384, Products!A$2:C$61, 3, FALSE)</f>
        <v>Electronics</v>
      </c>
      <c r="O1384" t="str">
        <f>VLOOKUP(C1384, Customers!A$2:E$301, 5, FALSE)</f>
        <v>Retail</v>
      </c>
      <c r="P1384">
        <f>VLOOKUP(C1384, Customers!A$2:C$301, 3, FALSE)</f>
        <v>56</v>
      </c>
      <c r="Q1384" t="str">
        <f>VLOOKUP(E1384, Sales_Reps!A$2:C$31, 3, FALSE)</f>
        <v>North</v>
      </c>
      <c r="R1384">
        <f>VLOOKUP(D1384, Products!A$2:D$61, 4, FALSE)</f>
        <v>2865</v>
      </c>
    </row>
    <row r="1385" spans="1:18" x14ac:dyDescent="0.3">
      <c r="A1385" s="13" t="s">
        <v>1873</v>
      </c>
      <c r="B1385" s="14">
        <v>45534</v>
      </c>
      <c r="C1385" s="13" t="s">
        <v>684</v>
      </c>
      <c r="D1385" s="13" t="s">
        <v>279</v>
      </c>
      <c r="E1385" s="13" t="s">
        <v>107</v>
      </c>
      <c r="F1385" s="15">
        <v>8</v>
      </c>
      <c r="G1385" s="15">
        <v>2660</v>
      </c>
      <c r="H1385" s="15">
        <v>16.8</v>
      </c>
      <c r="I1385" s="15">
        <v>17704.96</v>
      </c>
      <c r="J1385" s="13" t="s">
        <v>87</v>
      </c>
      <c r="K1385" s="13" t="s">
        <v>99</v>
      </c>
      <c r="L1385">
        <f>IF(COUNTIF(A$2:A1385, A1385)=1, IF(COUNTIF(A$2:A$2001, A1385)&gt;1, 1, 0), 0)</f>
        <v>0</v>
      </c>
      <c r="M1385" t="b">
        <f>VLOOKUP(D1385, Products!A$2:F$61, 6, FALSE)</f>
        <v>0</v>
      </c>
      <c r="N1385" t="str">
        <f>VLOOKUP(D1385, Products!A$2:C$61, 3, FALSE)</f>
        <v>Electronics</v>
      </c>
      <c r="O1385" t="str">
        <f>VLOOKUP(C1385, Customers!A$2:E$301, 5, FALSE)</f>
        <v>Retail</v>
      </c>
      <c r="P1385">
        <f>VLOOKUP(C1385, Customers!A$2:C$301, 3, FALSE)</f>
        <v>41</v>
      </c>
      <c r="Q1385" t="str">
        <f>VLOOKUP(E1385, Sales_Reps!A$2:C$31, 3, FALSE)</f>
        <v>North</v>
      </c>
      <c r="R1385">
        <f>VLOOKUP(D1385, Products!A$2:D$61, 4, FALSE)</f>
        <v>1259</v>
      </c>
    </row>
    <row r="1386" spans="1:18" x14ac:dyDescent="0.3">
      <c r="A1386" s="13" t="s">
        <v>1874</v>
      </c>
      <c r="B1386" s="14">
        <v>45329</v>
      </c>
      <c r="C1386" s="13" t="s">
        <v>1875</v>
      </c>
      <c r="D1386" s="13" t="s">
        <v>157</v>
      </c>
      <c r="E1386" s="13" t="s">
        <v>158</v>
      </c>
      <c r="F1386" s="15">
        <v>6</v>
      </c>
      <c r="G1386" s="15">
        <v>3450</v>
      </c>
      <c r="H1386" s="15">
        <v>23.4</v>
      </c>
      <c r="I1386" s="15">
        <v>15856.2</v>
      </c>
      <c r="J1386" s="13" t="s">
        <v>87</v>
      </c>
      <c r="K1386" s="13" t="s">
        <v>94</v>
      </c>
      <c r="L1386">
        <f>IF(COUNTIF(A$2:A1386, A1386)=1, IF(COUNTIF(A$2:A$2001, A1386)&gt;1, 1, 0), 0)</f>
        <v>0</v>
      </c>
      <c r="M1386" t="b">
        <f>VLOOKUP(D1386, Products!A$2:F$61, 6, FALSE)</f>
        <v>1</v>
      </c>
      <c r="N1386" t="str">
        <f>VLOOKUP(D1386, Products!A$2:C$61, 3, FALSE)</f>
        <v>Beauty</v>
      </c>
      <c r="O1386" t="str">
        <f>VLOOKUP(C1386, Customers!A$2:E$301, 5, FALSE)</f>
        <v>Corporate</v>
      </c>
      <c r="P1386">
        <f>VLOOKUP(C1386, Customers!A$2:C$301, 3, FALSE)</f>
        <v>54</v>
      </c>
      <c r="Q1386" t="str">
        <f>VLOOKUP(E1386, Sales_Reps!A$2:C$31, 3, FALSE)</f>
        <v>East</v>
      </c>
      <c r="R1386">
        <f>VLOOKUP(D1386, Products!A$2:D$61, 4, FALSE)</f>
        <v>2420</v>
      </c>
    </row>
    <row r="1387" spans="1:18" x14ac:dyDescent="0.3">
      <c r="A1387" s="13" t="s">
        <v>1876</v>
      </c>
      <c r="B1387" s="14">
        <v>45621</v>
      </c>
      <c r="C1387" s="13" t="s">
        <v>595</v>
      </c>
      <c r="D1387" s="13" t="s">
        <v>97</v>
      </c>
      <c r="E1387" s="13" t="s">
        <v>86</v>
      </c>
      <c r="F1387" s="15">
        <v>10</v>
      </c>
      <c r="G1387" s="15">
        <v>470</v>
      </c>
      <c r="H1387" s="15">
        <v>21.2</v>
      </c>
      <c r="I1387" s="15">
        <v>3703.6</v>
      </c>
      <c r="J1387" s="13" t="s">
        <v>87</v>
      </c>
      <c r="K1387" s="13" t="s">
        <v>99</v>
      </c>
      <c r="L1387">
        <f>IF(COUNTIF(A$2:A1387, A1387)=1, IF(COUNTIF(A$2:A$2001, A1387)&gt;1, 1, 0), 0)</f>
        <v>0</v>
      </c>
      <c r="M1387" t="b">
        <f>VLOOKUP(D1387, Products!A$2:F$61, 6, FALSE)</f>
        <v>0</v>
      </c>
      <c r="N1387" t="str">
        <f>VLOOKUP(D1387, Products!A$2:C$61, 3, FALSE)</f>
        <v>Sports</v>
      </c>
      <c r="O1387" t="str">
        <f>VLOOKUP(C1387, Customers!A$2:E$301, 5, FALSE)</f>
        <v>SMB</v>
      </c>
      <c r="P1387">
        <f>VLOOKUP(C1387, Customers!A$2:C$301, 3, FALSE)</f>
        <v>48</v>
      </c>
      <c r="Q1387" t="str">
        <f>VLOOKUP(E1387, Sales_Reps!A$2:C$31, 3, FALSE)</f>
        <v>North</v>
      </c>
      <c r="R1387">
        <f>VLOOKUP(D1387, Products!A$2:D$61, 4, FALSE)</f>
        <v>302</v>
      </c>
    </row>
    <row r="1388" spans="1:18" x14ac:dyDescent="0.3">
      <c r="A1388" s="13" t="s">
        <v>476</v>
      </c>
      <c r="B1388" s="14">
        <v>45334</v>
      </c>
      <c r="C1388" s="13" t="s">
        <v>413</v>
      </c>
      <c r="D1388" s="13" t="s">
        <v>461</v>
      </c>
      <c r="E1388" s="13" t="s">
        <v>285</v>
      </c>
      <c r="F1388" s="15">
        <v>7</v>
      </c>
      <c r="G1388" s="15">
        <v>3780</v>
      </c>
      <c r="H1388" s="15">
        <v>10.1</v>
      </c>
      <c r="I1388" s="15">
        <v>23787.54</v>
      </c>
      <c r="J1388" s="13" t="s">
        <v>87</v>
      </c>
      <c r="K1388" s="13" t="s">
        <v>88</v>
      </c>
      <c r="L1388">
        <f>IF(COUNTIF(A$2:A1388, A1388)=1, IF(COUNTIF(A$2:A$2001, A1388)&gt;1, 1, 0), 0)</f>
        <v>0</v>
      </c>
      <c r="M1388" t="b">
        <f>VLOOKUP(D1388, Products!A$2:F$61, 6, FALSE)</f>
        <v>1</v>
      </c>
      <c r="N1388" t="str">
        <f>VLOOKUP(D1388, Products!A$2:C$61, 3, FALSE)</f>
        <v>Sports</v>
      </c>
      <c r="O1388" t="str">
        <f>VLOOKUP(C1388, Customers!A$2:E$301, 5, FALSE)</f>
        <v>Retail</v>
      </c>
      <c r="P1388">
        <f>VLOOKUP(C1388, Customers!A$2:C$301, 3, FALSE)</f>
        <v>22</v>
      </c>
      <c r="Q1388" t="str">
        <f>VLOOKUP(E1388, Sales_Reps!A$2:C$31, 3, FALSE)</f>
        <v>East</v>
      </c>
      <c r="R1388">
        <f>VLOOKUP(D1388, Products!A$2:D$61, 4, FALSE)</f>
        <v>1860</v>
      </c>
    </row>
    <row r="1389" spans="1:18" x14ac:dyDescent="0.3">
      <c r="A1389" s="13" t="s">
        <v>1877</v>
      </c>
      <c r="B1389" s="14">
        <v>45324</v>
      </c>
      <c r="C1389" s="13" t="s">
        <v>983</v>
      </c>
      <c r="D1389" s="13" t="s">
        <v>85</v>
      </c>
      <c r="E1389" s="13" t="s">
        <v>343</v>
      </c>
      <c r="F1389" s="15">
        <v>3</v>
      </c>
      <c r="G1389" s="15">
        <v>3620</v>
      </c>
      <c r="H1389" s="15">
        <v>4.2</v>
      </c>
      <c r="I1389" s="15">
        <v>10403.879999999999</v>
      </c>
      <c r="J1389" s="13" t="s">
        <v>87</v>
      </c>
      <c r="K1389" s="13" t="s">
        <v>117</v>
      </c>
      <c r="L1389">
        <f>IF(COUNTIF(A$2:A1389, A1389)=1, IF(COUNTIF(A$2:A$2001, A1389)&gt;1, 1, 0), 0)</f>
        <v>0</v>
      </c>
      <c r="M1389" t="b">
        <f>VLOOKUP(D1389, Products!A$2:F$61, 6, FALSE)</f>
        <v>1</v>
      </c>
      <c r="N1389" t="str">
        <f>VLOOKUP(D1389, Products!A$2:C$61, 3, FALSE)</f>
        <v>Apparel</v>
      </c>
      <c r="O1389" t="str">
        <f>VLOOKUP(C1389, Customers!A$2:E$301, 5, FALSE)</f>
        <v>SMB</v>
      </c>
      <c r="P1389">
        <f>VLOOKUP(C1389, Customers!A$2:C$301, 3, FALSE)</f>
        <v>36</v>
      </c>
      <c r="Q1389" t="str">
        <f>VLOOKUP(E1389, Sales_Reps!A$2:C$31, 3, FALSE)</f>
        <v>West</v>
      </c>
      <c r="R1389">
        <f>VLOOKUP(D1389, Products!A$2:D$61, 4, FALSE)</f>
        <v>2509</v>
      </c>
    </row>
    <row r="1390" spans="1:18" x14ac:dyDescent="0.3">
      <c r="A1390" s="13" t="s">
        <v>1878</v>
      </c>
      <c r="B1390" s="14">
        <v>45541</v>
      </c>
      <c r="C1390" s="13" t="s">
        <v>263</v>
      </c>
      <c r="D1390" s="13" t="s">
        <v>380</v>
      </c>
      <c r="E1390" s="13" t="s">
        <v>128</v>
      </c>
      <c r="F1390" s="15">
        <v>7</v>
      </c>
      <c r="G1390" s="15">
        <v>960</v>
      </c>
      <c r="H1390" s="15">
        <v>9</v>
      </c>
      <c r="I1390" s="15">
        <v>6115.2</v>
      </c>
      <c r="J1390" s="13" t="s">
        <v>87</v>
      </c>
      <c r="K1390" s="13" t="s">
        <v>133</v>
      </c>
      <c r="L1390">
        <f>IF(COUNTIF(A$2:A1390, A1390)=1, IF(COUNTIF(A$2:A$2001, A1390)&gt;1, 1, 0), 0)</f>
        <v>0</v>
      </c>
      <c r="M1390" t="b">
        <f>VLOOKUP(D1390, Products!A$2:F$61, 6, FALSE)</f>
        <v>1</v>
      </c>
      <c r="N1390" t="str">
        <f>VLOOKUP(D1390, Products!A$2:C$61, 3, FALSE)</f>
        <v>Beauty</v>
      </c>
      <c r="O1390" t="str">
        <f>VLOOKUP(C1390, Customers!A$2:E$301, 5, FALSE)</f>
        <v>Retail</v>
      </c>
      <c r="P1390">
        <f>VLOOKUP(C1390, Customers!A$2:C$301, 3, FALSE)</f>
        <v>53</v>
      </c>
      <c r="Q1390" t="str">
        <f>VLOOKUP(E1390, Sales_Reps!A$2:C$31, 3, FALSE)</f>
        <v>West</v>
      </c>
      <c r="R1390">
        <f>VLOOKUP(D1390, Products!A$2:D$61, 4, FALSE)</f>
        <v>675</v>
      </c>
    </row>
    <row r="1391" spans="1:18" x14ac:dyDescent="0.3">
      <c r="A1391" s="13" t="s">
        <v>1879</v>
      </c>
      <c r="B1391" s="14">
        <v>45344</v>
      </c>
      <c r="C1391" s="13" t="s">
        <v>689</v>
      </c>
      <c r="D1391" s="13" t="s">
        <v>179</v>
      </c>
      <c r="E1391" s="13" t="s">
        <v>86</v>
      </c>
      <c r="F1391" s="15">
        <v>10</v>
      </c>
      <c r="G1391" s="15">
        <v>3350</v>
      </c>
      <c r="H1391" s="15">
        <v>1.2</v>
      </c>
      <c r="I1391" s="15">
        <v>33098</v>
      </c>
      <c r="J1391" s="13" t="s">
        <v>140</v>
      </c>
      <c r="K1391" s="13" t="s">
        <v>133</v>
      </c>
      <c r="L1391">
        <f>IF(COUNTIF(A$2:A1391, A1391)=1, IF(COUNTIF(A$2:A$2001, A1391)&gt;1, 1, 0), 0)</f>
        <v>0</v>
      </c>
      <c r="M1391" t="b">
        <f>VLOOKUP(D1391, Products!A$2:F$61, 6, FALSE)</f>
        <v>1</v>
      </c>
      <c r="N1391" t="str">
        <f>VLOOKUP(D1391, Products!A$2:C$61, 3, FALSE)</f>
        <v>Beauty</v>
      </c>
      <c r="O1391" t="str">
        <f>VLOOKUP(C1391, Customers!A$2:E$301, 5, FALSE)</f>
        <v>Retail</v>
      </c>
      <c r="P1391">
        <f>VLOOKUP(C1391, Customers!A$2:C$301, 3, FALSE)</f>
        <v>28</v>
      </c>
      <c r="Q1391" t="str">
        <f>VLOOKUP(E1391, Sales_Reps!A$2:C$31, 3, FALSE)</f>
        <v>North</v>
      </c>
      <c r="R1391">
        <f>VLOOKUP(D1391, Products!A$2:D$61, 4, FALSE)</f>
        <v>1728</v>
      </c>
    </row>
    <row r="1392" spans="1:18" x14ac:dyDescent="0.3">
      <c r="A1392" s="13" t="s">
        <v>1880</v>
      </c>
      <c r="B1392" s="14">
        <v>45388</v>
      </c>
      <c r="C1392" s="13" t="s">
        <v>359</v>
      </c>
      <c r="D1392" s="13" t="s">
        <v>151</v>
      </c>
      <c r="E1392" s="13" t="s">
        <v>170</v>
      </c>
      <c r="F1392" s="15">
        <v>3</v>
      </c>
      <c r="G1392" s="15">
        <v>2400</v>
      </c>
      <c r="H1392" s="15">
        <v>15.4</v>
      </c>
      <c r="I1392" s="15">
        <v>6091.2</v>
      </c>
      <c r="J1392" s="13" t="s">
        <v>87</v>
      </c>
      <c r="K1392" s="13" t="s">
        <v>99</v>
      </c>
      <c r="L1392">
        <f>IF(COUNTIF(A$2:A1392, A1392)=1, IF(COUNTIF(A$2:A$2001, A1392)&gt;1, 1, 0), 0)</f>
        <v>0</v>
      </c>
      <c r="M1392" t="b">
        <f>VLOOKUP(D1392, Products!A$2:F$61, 6, FALSE)</f>
        <v>1</v>
      </c>
      <c r="N1392" t="str">
        <f>VLOOKUP(D1392, Products!A$2:C$61, 3, FALSE)</f>
        <v>Sports</v>
      </c>
      <c r="O1392" t="str">
        <f>VLOOKUP(C1392, Customers!A$2:E$301, 5, FALSE)</f>
        <v>SMB</v>
      </c>
      <c r="P1392">
        <f>VLOOKUP(C1392, Customers!A$2:C$301, 3, FALSE)</f>
        <v>28</v>
      </c>
      <c r="Q1392" t="str">
        <f>VLOOKUP(E1392, Sales_Reps!A$2:C$31, 3, FALSE)</f>
        <v>West</v>
      </c>
      <c r="R1392">
        <f>VLOOKUP(D1392, Products!A$2:D$61, 4, FALSE)</f>
        <v>974</v>
      </c>
    </row>
    <row r="1393" spans="1:18" x14ac:dyDescent="0.3">
      <c r="A1393" s="13" t="s">
        <v>1881</v>
      </c>
      <c r="B1393" s="14">
        <v>45407</v>
      </c>
      <c r="C1393" s="13" t="s">
        <v>759</v>
      </c>
      <c r="D1393" s="13" t="s">
        <v>195</v>
      </c>
      <c r="E1393" s="13" t="s">
        <v>297</v>
      </c>
      <c r="F1393" s="15">
        <v>2</v>
      </c>
      <c r="G1393" s="15">
        <v>2860</v>
      </c>
      <c r="H1393" s="15">
        <v>10.5</v>
      </c>
      <c r="I1393" s="15">
        <v>5119.3999999999996</v>
      </c>
      <c r="J1393" s="13" t="s">
        <v>87</v>
      </c>
      <c r="K1393" s="13" t="s">
        <v>117</v>
      </c>
      <c r="L1393">
        <f>IF(COUNTIF(A$2:A1393, A1393)=1, IF(COUNTIF(A$2:A$2001, A1393)&gt;1, 1, 0), 0)</f>
        <v>0</v>
      </c>
      <c r="M1393" t="b">
        <f>VLOOKUP(D1393, Products!A$2:F$61, 6, FALSE)</f>
        <v>1</v>
      </c>
      <c r="N1393" t="str">
        <f>VLOOKUP(D1393, Products!A$2:C$61, 3, FALSE)</f>
        <v>Sports</v>
      </c>
      <c r="O1393" t="str">
        <f>VLOOKUP(C1393, Customers!A$2:E$301, 5, FALSE)</f>
        <v>Retail</v>
      </c>
      <c r="P1393">
        <f>VLOOKUP(C1393, Customers!A$2:C$301, 3, FALSE)</f>
        <v>29</v>
      </c>
      <c r="Q1393" t="str">
        <f>VLOOKUP(E1393, Sales_Reps!A$2:C$31, 3, FALSE)</f>
        <v>North</v>
      </c>
      <c r="R1393">
        <f>VLOOKUP(D1393, Products!A$2:D$61, 4, FALSE)</f>
        <v>2028</v>
      </c>
    </row>
    <row r="1394" spans="1:18" x14ac:dyDescent="0.3">
      <c r="A1394" s="13" t="s">
        <v>1882</v>
      </c>
      <c r="B1394" s="14">
        <v>45620</v>
      </c>
      <c r="C1394" s="13" t="s">
        <v>700</v>
      </c>
      <c r="D1394" s="13" t="s">
        <v>386</v>
      </c>
      <c r="E1394" s="13" t="s">
        <v>107</v>
      </c>
      <c r="F1394" s="15">
        <v>4</v>
      </c>
      <c r="G1394" s="15">
        <v>2290</v>
      </c>
      <c r="H1394" s="15">
        <v>5.9</v>
      </c>
      <c r="I1394" s="15">
        <v>8619.56</v>
      </c>
      <c r="J1394" s="13" t="s">
        <v>87</v>
      </c>
      <c r="K1394" s="13" t="s">
        <v>94</v>
      </c>
      <c r="L1394">
        <f>IF(COUNTIF(A$2:A1394, A1394)=1, IF(COUNTIF(A$2:A$2001, A1394)&gt;1, 1, 0), 0)</f>
        <v>0</v>
      </c>
      <c r="M1394" t="b">
        <f>VLOOKUP(D1394, Products!A$2:F$61, 6, FALSE)</f>
        <v>1</v>
      </c>
      <c r="N1394" t="str">
        <f>VLOOKUP(D1394, Products!A$2:C$61, 3, FALSE)</f>
        <v>Beauty</v>
      </c>
      <c r="O1394" t="str">
        <f>VLOOKUP(C1394, Customers!A$2:E$301, 5, FALSE)</f>
        <v>SMB</v>
      </c>
      <c r="P1394">
        <f>VLOOKUP(C1394, Customers!A$2:C$301, 3, FALSE)</f>
        <v>46</v>
      </c>
      <c r="Q1394" t="str">
        <f>VLOOKUP(E1394, Sales_Reps!A$2:C$31, 3, FALSE)</f>
        <v>North</v>
      </c>
      <c r="R1394">
        <f>VLOOKUP(D1394, Products!A$2:D$61, 4, FALSE)</f>
        <v>1219</v>
      </c>
    </row>
    <row r="1395" spans="1:18" x14ac:dyDescent="0.3">
      <c r="A1395" s="13" t="s">
        <v>1883</v>
      </c>
      <c r="B1395" s="14">
        <v>45499</v>
      </c>
      <c r="C1395" s="13" t="s">
        <v>392</v>
      </c>
      <c r="D1395" s="13" t="s">
        <v>364</v>
      </c>
      <c r="E1395" s="13" t="s">
        <v>154</v>
      </c>
      <c r="F1395" s="15">
        <v>7</v>
      </c>
      <c r="G1395" s="15">
        <v>5330</v>
      </c>
      <c r="H1395" s="15">
        <v>3.5</v>
      </c>
      <c r="I1395" s="15">
        <v>36004.15</v>
      </c>
      <c r="J1395" s="13" t="s">
        <v>140</v>
      </c>
      <c r="K1395" s="13" t="s">
        <v>112</v>
      </c>
      <c r="L1395">
        <f>IF(COUNTIF(A$2:A1395, A1395)=1, IF(COUNTIF(A$2:A$2001, A1395)&gt;1, 1, 0), 0)</f>
        <v>0</v>
      </c>
      <c r="M1395" t="b">
        <f>VLOOKUP(D1395, Products!A$2:F$61, 6, FALSE)</f>
        <v>1</v>
      </c>
      <c r="N1395" t="str">
        <f>VLOOKUP(D1395, Products!A$2:C$61, 3, FALSE)</f>
        <v>Electronics</v>
      </c>
      <c r="O1395" t="str">
        <f>VLOOKUP(C1395, Customers!A$2:E$301, 5, FALSE)</f>
        <v>Retail</v>
      </c>
      <c r="P1395">
        <f>VLOOKUP(C1395, Customers!A$2:C$301, 3, FALSE)</f>
        <v>50</v>
      </c>
      <c r="Q1395" t="str">
        <f>VLOOKUP(E1395, Sales_Reps!A$2:C$31, 3, FALSE)</f>
        <v>East</v>
      </c>
      <c r="R1395">
        <f>VLOOKUP(D1395, Products!A$2:D$61, 4, FALSE)</f>
        <v>2405</v>
      </c>
    </row>
    <row r="1396" spans="1:18" x14ac:dyDescent="0.3">
      <c r="A1396" s="13" t="s">
        <v>1884</v>
      </c>
      <c r="B1396" s="14">
        <v>45585</v>
      </c>
      <c r="C1396" s="13" t="s">
        <v>301</v>
      </c>
      <c r="D1396" s="13" t="s">
        <v>237</v>
      </c>
      <c r="E1396" s="13" t="s">
        <v>303</v>
      </c>
      <c r="F1396" s="15">
        <v>10</v>
      </c>
      <c r="G1396" s="15">
        <v>3640</v>
      </c>
      <c r="H1396" s="15">
        <v>20.100000000000001</v>
      </c>
      <c r="I1396" s="15">
        <v>29083.599999999999</v>
      </c>
      <c r="J1396" s="13" t="s">
        <v>87</v>
      </c>
      <c r="K1396" s="13" t="s">
        <v>94</v>
      </c>
      <c r="L1396">
        <f>IF(COUNTIF(A$2:A1396, A1396)=1, IF(COUNTIF(A$2:A$2001, A1396)&gt;1, 1, 0), 0)</f>
        <v>0</v>
      </c>
      <c r="M1396" t="b">
        <f>VLOOKUP(D1396, Products!A$2:F$61, 6, FALSE)</f>
        <v>1</v>
      </c>
      <c r="N1396" t="str">
        <f>VLOOKUP(D1396, Products!A$2:C$61, 3, FALSE)</f>
        <v>Apparel</v>
      </c>
      <c r="O1396" t="str">
        <f>VLOOKUP(C1396, Customers!A$2:E$301, 5, FALSE)</f>
        <v>Retail</v>
      </c>
      <c r="P1396">
        <f>VLOOKUP(C1396, Customers!A$2:C$301, 3, FALSE)</f>
        <v>41</v>
      </c>
      <c r="Q1396" t="str">
        <f>VLOOKUP(E1396, Sales_Reps!A$2:C$31, 3, FALSE)</f>
        <v>East</v>
      </c>
      <c r="R1396">
        <f>VLOOKUP(D1396, Products!A$2:D$61, 4, FALSE)</f>
        <v>2611</v>
      </c>
    </row>
    <row r="1397" spans="1:18" x14ac:dyDescent="0.3">
      <c r="A1397" s="13" t="s">
        <v>1885</v>
      </c>
      <c r="B1397" s="14">
        <v>45633</v>
      </c>
      <c r="C1397" s="13" t="s">
        <v>206</v>
      </c>
      <c r="D1397" s="13" t="s">
        <v>443</v>
      </c>
      <c r="E1397" s="13" t="s">
        <v>116</v>
      </c>
      <c r="F1397" s="15">
        <v>10</v>
      </c>
      <c r="G1397" s="15">
        <v>5080</v>
      </c>
      <c r="H1397" s="15">
        <v>2.1</v>
      </c>
      <c r="I1397" s="15">
        <v>49733.2</v>
      </c>
      <c r="J1397" s="13" t="s">
        <v>87</v>
      </c>
      <c r="K1397" s="13" t="s">
        <v>133</v>
      </c>
      <c r="L1397">
        <f>IF(COUNTIF(A$2:A1397, A1397)=1, IF(COUNTIF(A$2:A$2001, A1397)&gt;1, 1, 0), 0)</f>
        <v>0</v>
      </c>
      <c r="M1397" t="b">
        <f>VLOOKUP(D1397, Products!A$2:F$61, 6, FALSE)</f>
        <v>1</v>
      </c>
      <c r="N1397" t="str">
        <f>VLOOKUP(D1397, Products!A$2:C$61, 3, FALSE)</f>
        <v>Home</v>
      </c>
      <c r="O1397" t="str">
        <f>VLOOKUP(C1397, Customers!A$2:E$301, 5, FALSE)</f>
        <v>SMB</v>
      </c>
      <c r="P1397">
        <f>VLOOKUP(C1397, Customers!A$2:C$301, 3, FALSE)</f>
        <v>40</v>
      </c>
      <c r="Q1397" t="str">
        <f>VLOOKUP(E1397, Sales_Reps!A$2:C$31, 3, FALSE)</f>
        <v>West</v>
      </c>
      <c r="R1397">
        <f>VLOOKUP(D1397, Products!A$2:D$61, 4, FALSE)</f>
        <v>2459</v>
      </c>
    </row>
    <row r="1398" spans="1:18" x14ac:dyDescent="0.3">
      <c r="A1398" s="13" t="s">
        <v>1886</v>
      </c>
      <c r="B1398" s="14">
        <v>45517</v>
      </c>
      <c r="C1398" s="13" t="s">
        <v>725</v>
      </c>
      <c r="D1398" s="13" t="s">
        <v>502</v>
      </c>
      <c r="E1398" s="13" t="s">
        <v>303</v>
      </c>
      <c r="F1398" s="15">
        <v>4</v>
      </c>
      <c r="G1398" s="15">
        <v>1090</v>
      </c>
      <c r="H1398" s="15">
        <v>18.5</v>
      </c>
      <c r="I1398" s="15">
        <v>3553.4</v>
      </c>
      <c r="J1398" s="13" t="s">
        <v>144</v>
      </c>
      <c r="K1398" s="13" t="s">
        <v>99</v>
      </c>
      <c r="L1398">
        <f>IF(COUNTIF(A$2:A1398, A1398)=1, IF(COUNTIF(A$2:A$2001, A1398)&gt;1, 1, 0), 0)</f>
        <v>0</v>
      </c>
      <c r="M1398" t="b">
        <f>VLOOKUP(D1398, Products!A$2:F$61, 6, FALSE)</f>
        <v>1</v>
      </c>
      <c r="N1398" t="str">
        <f>VLOOKUP(D1398, Products!A$2:C$61, 3, FALSE)</f>
        <v>Home</v>
      </c>
      <c r="O1398" t="str">
        <f>VLOOKUP(C1398, Customers!A$2:E$301, 5, FALSE)</f>
        <v>SMB</v>
      </c>
      <c r="P1398">
        <f>VLOOKUP(C1398, Customers!A$2:C$301, 3, FALSE)</f>
        <v>26</v>
      </c>
      <c r="Q1398" t="str">
        <f>VLOOKUP(E1398, Sales_Reps!A$2:C$31, 3, FALSE)</f>
        <v>East</v>
      </c>
      <c r="R1398">
        <f>VLOOKUP(D1398, Products!A$2:D$61, 4, FALSE)</f>
        <v>464</v>
      </c>
    </row>
    <row r="1399" spans="1:18" x14ac:dyDescent="0.3">
      <c r="A1399" s="13" t="s">
        <v>1887</v>
      </c>
      <c r="B1399" s="14">
        <v>45645</v>
      </c>
      <c r="C1399" s="13" t="s">
        <v>570</v>
      </c>
      <c r="D1399" s="13" t="s">
        <v>157</v>
      </c>
      <c r="E1399" s="13" t="s">
        <v>170</v>
      </c>
      <c r="F1399" s="15">
        <v>10</v>
      </c>
      <c r="G1399" s="15">
        <v>3450</v>
      </c>
      <c r="H1399" s="15">
        <v>26.5</v>
      </c>
      <c r="I1399" s="15">
        <v>25357.5</v>
      </c>
      <c r="J1399" s="13" t="s">
        <v>144</v>
      </c>
      <c r="K1399" s="13" t="s">
        <v>99</v>
      </c>
      <c r="L1399">
        <f>IF(COUNTIF(A$2:A1399, A1399)=1, IF(COUNTIF(A$2:A$2001, A1399)&gt;1, 1, 0), 0)</f>
        <v>0</v>
      </c>
      <c r="M1399" t="b">
        <f>VLOOKUP(D1399, Products!A$2:F$61, 6, FALSE)</f>
        <v>1</v>
      </c>
      <c r="N1399" t="str">
        <f>VLOOKUP(D1399, Products!A$2:C$61, 3, FALSE)</f>
        <v>Beauty</v>
      </c>
      <c r="O1399" t="str">
        <f>VLOOKUP(C1399, Customers!A$2:E$301, 5, FALSE)</f>
        <v>Corporate</v>
      </c>
      <c r="P1399">
        <f>VLOOKUP(C1399, Customers!A$2:C$301, 3, FALSE)</f>
        <v>47</v>
      </c>
      <c r="Q1399" t="str">
        <f>VLOOKUP(E1399, Sales_Reps!A$2:C$31, 3, FALSE)</f>
        <v>West</v>
      </c>
      <c r="R1399">
        <f>VLOOKUP(D1399, Products!A$2:D$61, 4, FALSE)</f>
        <v>2420</v>
      </c>
    </row>
    <row r="1400" spans="1:18" x14ac:dyDescent="0.3">
      <c r="A1400" s="13" t="s">
        <v>1888</v>
      </c>
      <c r="B1400" s="14">
        <v>45483</v>
      </c>
      <c r="C1400" s="13" t="s">
        <v>263</v>
      </c>
      <c r="D1400" s="13" t="s">
        <v>360</v>
      </c>
      <c r="E1400" s="13" t="s">
        <v>204</v>
      </c>
      <c r="F1400" s="15">
        <v>9</v>
      </c>
      <c r="G1400" s="15">
        <v>5410</v>
      </c>
      <c r="H1400" s="15">
        <v>11.5</v>
      </c>
      <c r="I1400" s="15">
        <v>43090.65</v>
      </c>
      <c r="J1400" s="13" t="s">
        <v>87</v>
      </c>
      <c r="K1400" s="13" t="s">
        <v>133</v>
      </c>
      <c r="L1400">
        <f>IF(COUNTIF(A$2:A1400, A1400)=1, IF(COUNTIF(A$2:A$2001, A1400)&gt;1, 1, 0), 0)</f>
        <v>0</v>
      </c>
      <c r="M1400" t="b">
        <f>VLOOKUP(D1400, Products!A$2:F$61, 6, FALSE)</f>
        <v>1</v>
      </c>
      <c r="N1400" t="str">
        <f>VLOOKUP(D1400, Products!A$2:C$61, 3, FALSE)</f>
        <v>Sports</v>
      </c>
      <c r="O1400" t="str">
        <f>VLOOKUP(C1400, Customers!A$2:E$301, 5, FALSE)</f>
        <v>Retail</v>
      </c>
      <c r="P1400">
        <f>VLOOKUP(C1400, Customers!A$2:C$301, 3, FALSE)</f>
        <v>53</v>
      </c>
      <c r="Q1400" t="str">
        <f>VLOOKUP(E1400, Sales_Reps!A$2:C$31, 3, FALSE)</f>
        <v>South</v>
      </c>
      <c r="R1400">
        <f>VLOOKUP(D1400, Products!A$2:D$61, 4, FALSE)</f>
        <v>2265</v>
      </c>
    </row>
    <row r="1401" spans="1:18" x14ac:dyDescent="0.3">
      <c r="A1401" s="13" t="s">
        <v>1889</v>
      </c>
      <c r="B1401" s="14">
        <v>45445</v>
      </c>
      <c r="C1401" s="13" t="s">
        <v>1890</v>
      </c>
      <c r="D1401" s="13" t="s">
        <v>452</v>
      </c>
      <c r="E1401" s="13" t="s">
        <v>170</v>
      </c>
      <c r="F1401" s="15">
        <v>9</v>
      </c>
      <c r="G1401" s="15">
        <v>3450</v>
      </c>
      <c r="H1401" s="15">
        <v>0.3</v>
      </c>
      <c r="I1401" s="15">
        <v>30956.85</v>
      </c>
      <c r="J1401" s="13" t="s">
        <v>144</v>
      </c>
      <c r="K1401" s="13" t="s">
        <v>133</v>
      </c>
      <c r="L1401">
        <f>IF(COUNTIF(A$2:A1401, A1401)=1, IF(COUNTIF(A$2:A$2001, A1401)&gt;1, 1, 0), 0)</f>
        <v>0</v>
      </c>
      <c r="M1401" t="b">
        <f>VLOOKUP(D1401, Products!A$2:F$61, 6, FALSE)</f>
        <v>1</v>
      </c>
      <c r="N1401" t="str">
        <f>VLOOKUP(D1401, Products!A$2:C$61, 3, FALSE)</f>
        <v>Apparel</v>
      </c>
      <c r="O1401" t="str">
        <f>VLOOKUP(C1401, Customers!A$2:E$301, 5, FALSE)</f>
        <v>SMB</v>
      </c>
      <c r="P1401">
        <f>VLOOKUP(C1401, Customers!A$2:C$301, 3, FALSE)</f>
        <v>34</v>
      </c>
      <c r="Q1401" t="str">
        <f>VLOOKUP(E1401, Sales_Reps!A$2:C$31, 3, FALSE)</f>
        <v>West</v>
      </c>
      <c r="R1401">
        <f>VLOOKUP(D1401, Products!A$2:D$61, 4, FALSE)</f>
        <v>1748</v>
      </c>
    </row>
    <row r="1402" spans="1:18" x14ac:dyDescent="0.3">
      <c r="A1402" s="13" t="s">
        <v>1891</v>
      </c>
      <c r="B1402" s="14">
        <v>45614</v>
      </c>
      <c r="C1402" s="13" t="s">
        <v>457</v>
      </c>
      <c r="D1402" s="13" t="s">
        <v>106</v>
      </c>
      <c r="E1402" s="13" t="s">
        <v>111</v>
      </c>
      <c r="F1402" s="15">
        <v>10</v>
      </c>
      <c r="G1402" s="15">
        <v>3160</v>
      </c>
      <c r="H1402" s="15">
        <v>13.6</v>
      </c>
      <c r="I1402" s="15">
        <v>27302.400000000001</v>
      </c>
      <c r="J1402" s="13" t="s">
        <v>87</v>
      </c>
      <c r="K1402" s="13" t="s">
        <v>88</v>
      </c>
      <c r="L1402">
        <f>IF(COUNTIF(A$2:A1402, A1402)=1, IF(COUNTIF(A$2:A$2001, A1402)&gt;1, 1, 0), 0)</f>
        <v>0</v>
      </c>
      <c r="M1402" t="b">
        <f>VLOOKUP(D1402, Products!A$2:F$61, 6, FALSE)</f>
        <v>1</v>
      </c>
      <c r="N1402" t="str">
        <f>VLOOKUP(D1402, Products!A$2:C$61, 3, FALSE)</f>
        <v>Apparel</v>
      </c>
      <c r="O1402" t="str">
        <f>VLOOKUP(C1402, Customers!A$2:E$301, 5, FALSE)</f>
        <v>Retail</v>
      </c>
      <c r="P1402">
        <f>VLOOKUP(C1402, Customers!A$2:C$301, 3, FALSE)</f>
        <v>29</v>
      </c>
      <c r="Q1402" t="str">
        <f>VLOOKUP(E1402, Sales_Reps!A$2:C$31, 3, FALSE)</f>
        <v>West</v>
      </c>
      <c r="R1402">
        <f>VLOOKUP(D1402, Products!A$2:D$61, 4, FALSE)</f>
        <v>1886</v>
      </c>
    </row>
    <row r="1403" spans="1:18" x14ac:dyDescent="0.3">
      <c r="A1403" s="13" t="s">
        <v>1892</v>
      </c>
      <c r="B1403" s="14">
        <v>45433</v>
      </c>
      <c r="C1403" s="13" t="s">
        <v>119</v>
      </c>
      <c r="D1403" s="13" t="s">
        <v>259</v>
      </c>
      <c r="E1403" s="13" t="s">
        <v>201</v>
      </c>
      <c r="F1403" s="15">
        <v>3</v>
      </c>
      <c r="G1403" s="15">
        <v>1540</v>
      </c>
      <c r="H1403" s="15">
        <v>21.2</v>
      </c>
      <c r="I1403" s="15">
        <v>3640.56</v>
      </c>
      <c r="J1403" s="13" t="s">
        <v>87</v>
      </c>
      <c r="K1403" s="13" t="s">
        <v>117</v>
      </c>
      <c r="L1403">
        <f>IF(COUNTIF(A$2:A1403, A1403)=1, IF(COUNTIF(A$2:A$2001, A1403)&gt;1, 1, 0), 0)</f>
        <v>0</v>
      </c>
      <c r="M1403" t="b">
        <f>VLOOKUP(D1403, Products!A$2:F$61, 6, FALSE)</f>
        <v>0</v>
      </c>
      <c r="N1403" t="str">
        <f>VLOOKUP(D1403, Products!A$2:C$61, 3, FALSE)</f>
        <v>Beauty</v>
      </c>
      <c r="O1403" t="str">
        <f>VLOOKUP(C1403, Customers!A$2:E$301, 5, FALSE)</f>
        <v>Corporate</v>
      </c>
      <c r="P1403">
        <f>VLOOKUP(C1403, Customers!A$2:C$301, 3, FALSE)</f>
        <v>57</v>
      </c>
      <c r="Q1403" t="str">
        <f>VLOOKUP(E1403, Sales_Reps!A$2:C$31, 3, FALSE)</f>
        <v>West</v>
      </c>
      <c r="R1403">
        <f>VLOOKUP(D1403, Products!A$2:D$61, 4, FALSE)</f>
        <v>647</v>
      </c>
    </row>
    <row r="1404" spans="1:18" x14ac:dyDescent="0.3">
      <c r="A1404" s="13" t="s">
        <v>1893</v>
      </c>
      <c r="B1404" s="14">
        <v>45402</v>
      </c>
      <c r="C1404" s="13" t="s">
        <v>390</v>
      </c>
      <c r="D1404" s="13" t="s">
        <v>237</v>
      </c>
      <c r="E1404" s="13" t="s">
        <v>285</v>
      </c>
      <c r="F1404" s="15">
        <v>5</v>
      </c>
      <c r="G1404" s="15">
        <v>3640</v>
      </c>
      <c r="H1404" s="15">
        <v>17.5</v>
      </c>
      <c r="I1404" s="15">
        <v>15015</v>
      </c>
      <c r="J1404" s="13" t="s">
        <v>87</v>
      </c>
      <c r="K1404" s="13" t="s">
        <v>88</v>
      </c>
      <c r="L1404">
        <f>IF(COUNTIF(A$2:A1404, A1404)=1, IF(COUNTIF(A$2:A$2001, A1404)&gt;1, 1, 0), 0)</f>
        <v>0</v>
      </c>
      <c r="M1404" t="b">
        <f>VLOOKUP(D1404, Products!A$2:F$61, 6, FALSE)</f>
        <v>1</v>
      </c>
      <c r="N1404" t="str">
        <f>VLOOKUP(D1404, Products!A$2:C$61, 3, FALSE)</f>
        <v>Apparel</v>
      </c>
      <c r="O1404" t="str">
        <f>VLOOKUP(C1404, Customers!A$2:E$301, 5, FALSE)</f>
        <v>SMB</v>
      </c>
      <c r="P1404">
        <f>VLOOKUP(C1404, Customers!A$2:C$301, 3, FALSE)</f>
        <v>54</v>
      </c>
      <c r="Q1404" t="str">
        <f>VLOOKUP(E1404, Sales_Reps!A$2:C$31, 3, FALSE)</f>
        <v>East</v>
      </c>
      <c r="R1404">
        <f>VLOOKUP(D1404, Products!A$2:D$61, 4, FALSE)</f>
        <v>2611</v>
      </c>
    </row>
    <row r="1405" spans="1:18" x14ac:dyDescent="0.3">
      <c r="A1405" s="13" t="s">
        <v>1894</v>
      </c>
      <c r="B1405" s="14">
        <v>45302</v>
      </c>
      <c r="C1405" s="13" t="s">
        <v>130</v>
      </c>
      <c r="D1405" s="13" t="s">
        <v>461</v>
      </c>
      <c r="E1405" s="13" t="s">
        <v>297</v>
      </c>
      <c r="F1405" s="15">
        <v>4</v>
      </c>
      <c r="G1405" s="15">
        <v>3780</v>
      </c>
      <c r="H1405" s="15">
        <v>9</v>
      </c>
      <c r="I1405" s="15">
        <v>13759.2</v>
      </c>
      <c r="J1405" s="13" t="s">
        <v>93</v>
      </c>
      <c r="K1405" s="13" t="s">
        <v>133</v>
      </c>
      <c r="L1405">
        <f>IF(COUNTIF(A$2:A1405, A1405)=1, IF(COUNTIF(A$2:A$2001, A1405)&gt;1, 1, 0), 0)</f>
        <v>0</v>
      </c>
      <c r="M1405" t="b">
        <f>VLOOKUP(D1405, Products!A$2:F$61, 6, FALSE)</f>
        <v>1</v>
      </c>
      <c r="N1405" t="str">
        <f>VLOOKUP(D1405, Products!A$2:C$61, 3, FALSE)</f>
        <v>Sports</v>
      </c>
      <c r="O1405" t="str">
        <f>VLOOKUP(C1405, Customers!A$2:E$301, 5, FALSE)</f>
        <v>Retail</v>
      </c>
      <c r="P1405">
        <f>VLOOKUP(C1405, Customers!A$2:C$301, 3, FALSE)</f>
        <v>60</v>
      </c>
      <c r="Q1405" t="str">
        <f>VLOOKUP(E1405, Sales_Reps!A$2:C$31, 3, FALSE)</f>
        <v>North</v>
      </c>
      <c r="R1405">
        <f>VLOOKUP(D1405, Products!A$2:D$61, 4, FALSE)</f>
        <v>1860</v>
      </c>
    </row>
    <row r="1406" spans="1:18" x14ac:dyDescent="0.3">
      <c r="A1406" s="13" t="s">
        <v>1895</v>
      </c>
      <c r="B1406" s="14">
        <v>45526</v>
      </c>
      <c r="C1406" s="13" t="s">
        <v>403</v>
      </c>
      <c r="D1406" s="13" t="s">
        <v>173</v>
      </c>
      <c r="E1406" s="13" t="s">
        <v>111</v>
      </c>
      <c r="F1406" s="15">
        <v>9</v>
      </c>
      <c r="G1406" s="15">
        <v>2720</v>
      </c>
      <c r="H1406" s="15">
        <v>8.9</v>
      </c>
      <c r="I1406" s="15">
        <v>22301.279999999999</v>
      </c>
      <c r="J1406" s="13" t="s">
        <v>87</v>
      </c>
      <c r="K1406" s="13" t="s">
        <v>117</v>
      </c>
      <c r="L1406">
        <f>IF(COUNTIF(A$2:A1406, A1406)=1, IF(COUNTIF(A$2:A$2001, A1406)&gt;1, 1, 0), 0)</f>
        <v>0</v>
      </c>
      <c r="M1406" t="b">
        <f>VLOOKUP(D1406, Products!A$2:F$61, 6, FALSE)</f>
        <v>1</v>
      </c>
      <c r="N1406" t="str">
        <f>VLOOKUP(D1406, Products!A$2:C$61, 3, FALSE)</f>
        <v>Apparel</v>
      </c>
      <c r="O1406" t="str">
        <f>VLOOKUP(C1406, Customers!A$2:E$301, 5, FALSE)</f>
        <v>Retail</v>
      </c>
      <c r="P1406">
        <f>VLOOKUP(C1406, Customers!A$2:C$301, 3, FALSE)</f>
        <v>59</v>
      </c>
      <c r="Q1406" t="str">
        <f>VLOOKUP(E1406, Sales_Reps!A$2:C$31, 3, FALSE)</f>
        <v>West</v>
      </c>
      <c r="R1406">
        <f>VLOOKUP(D1406, Products!A$2:D$61, 4, FALSE)</f>
        <v>1962</v>
      </c>
    </row>
    <row r="1407" spans="1:18" x14ac:dyDescent="0.3">
      <c r="A1407" s="13" t="s">
        <v>1896</v>
      </c>
      <c r="B1407" s="14">
        <v>45648</v>
      </c>
      <c r="C1407" s="13" t="s">
        <v>1065</v>
      </c>
      <c r="D1407" s="13" t="s">
        <v>85</v>
      </c>
      <c r="E1407" s="13" t="s">
        <v>139</v>
      </c>
      <c r="F1407" s="15">
        <v>4</v>
      </c>
      <c r="G1407" s="15">
        <v>3620</v>
      </c>
      <c r="H1407" s="15">
        <v>8</v>
      </c>
      <c r="I1407" s="15">
        <v>13321.6</v>
      </c>
      <c r="J1407" s="13" t="s">
        <v>93</v>
      </c>
      <c r="K1407" s="13" t="s">
        <v>94</v>
      </c>
      <c r="L1407">
        <f>IF(COUNTIF(A$2:A1407, A1407)=1, IF(COUNTIF(A$2:A$2001, A1407)&gt;1, 1, 0), 0)</f>
        <v>0</v>
      </c>
      <c r="M1407" t="b">
        <f>VLOOKUP(D1407, Products!A$2:F$61, 6, FALSE)</f>
        <v>1</v>
      </c>
      <c r="N1407" t="str">
        <f>VLOOKUP(D1407, Products!A$2:C$61, 3, FALSE)</f>
        <v>Apparel</v>
      </c>
      <c r="O1407" t="str">
        <f>VLOOKUP(C1407, Customers!A$2:E$301, 5, FALSE)</f>
        <v>Retail</v>
      </c>
      <c r="P1407">
        <f>VLOOKUP(C1407, Customers!A$2:C$301, 3, FALSE)</f>
        <v>49</v>
      </c>
      <c r="Q1407" t="str">
        <f>VLOOKUP(E1407, Sales_Reps!A$2:C$31, 3, FALSE)</f>
        <v>North</v>
      </c>
      <c r="R1407">
        <f>VLOOKUP(D1407, Products!A$2:D$61, 4, FALSE)</f>
        <v>2509</v>
      </c>
    </row>
    <row r="1408" spans="1:18" x14ac:dyDescent="0.3">
      <c r="A1408" s="13" t="s">
        <v>1897</v>
      </c>
      <c r="B1408" s="14">
        <v>45325</v>
      </c>
      <c r="C1408" s="13" t="s">
        <v>512</v>
      </c>
      <c r="D1408" s="13" t="s">
        <v>452</v>
      </c>
      <c r="E1408" s="13" t="s">
        <v>139</v>
      </c>
      <c r="F1408" s="15">
        <v>1</v>
      </c>
      <c r="G1408" s="15">
        <v>3450</v>
      </c>
      <c r="H1408" s="15">
        <v>0.2</v>
      </c>
      <c r="I1408" s="15">
        <v>3443.1</v>
      </c>
      <c r="J1408" s="13" t="s">
        <v>87</v>
      </c>
      <c r="K1408" s="13" t="s">
        <v>133</v>
      </c>
      <c r="L1408">
        <f>IF(COUNTIF(A$2:A1408, A1408)=1, IF(COUNTIF(A$2:A$2001, A1408)&gt;1, 1, 0), 0)</f>
        <v>0</v>
      </c>
      <c r="M1408" t="b">
        <f>VLOOKUP(D1408, Products!A$2:F$61, 6, FALSE)</f>
        <v>1</v>
      </c>
      <c r="N1408" t="str">
        <f>VLOOKUP(D1408, Products!A$2:C$61, 3, FALSE)</f>
        <v>Apparel</v>
      </c>
      <c r="O1408" t="str">
        <f>VLOOKUP(C1408, Customers!A$2:E$301, 5, FALSE)</f>
        <v>Retail</v>
      </c>
      <c r="P1408">
        <f>VLOOKUP(C1408, Customers!A$2:C$301, 3, FALSE)</f>
        <v>61</v>
      </c>
      <c r="Q1408" t="str">
        <f>VLOOKUP(E1408, Sales_Reps!A$2:C$31, 3, FALSE)</f>
        <v>North</v>
      </c>
      <c r="R1408">
        <f>VLOOKUP(D1408, Products!A$2:D$61, 4, FALSE)</f>
        <v>1748</v>
      </c>
    </row>
    <row r="1409" spans="1:18" x14ac:dyDescent="0.3">
      <c r="A1409" s="13" t="s">
        <v>1898</v>
      </c>
      <c r="B1409" s="14">
        <v>45640</v>
      </c>
      <c r="C1409" s="13" t="s">
        <v>546</v>
      </c>
      <c r="D1409" s="13" t="s">
        <v>237</v>
      </c>
      <c r="E1409" s="13" t="s">
        <v>98</v>
      </c>
      <c r="F1409" s="15">
        <v>7</v>
      </c>
      <c r="G1409" s="15">
        <v>3640</v>
      </c>
      <c r="H1409" s="15">
        <v>4.5999999999999996</v>
      </c>
      <c r="I1409" s="15">
        <v>24307.919999999998</v>
      </c>
      <c r="J1409" s="13" t="s">
        <v>87</v>
      </c>
      <c r="K1409" s="13" t="s">
        <v>99</v>
      </c>
      <c r="L1409">
        <f>IF(COUNTIF(A$2:A1409, A1409)=1, IF(COUNTIF(A$2:A$2001, A1409)&gt;1, 1, 0), 0)</f>
        <v>0</v>
      </c>
      <c r="M1409" t="b">
        <f>VLOOKUP(D1409, Products!A$2:F$61, 6, FALSE)</f>
        <v>1</v>
      </c>
      <c r="N1409" t="str">
        <f>VLOOKUP(D1409, Products!A$2:C$61, 3, FALSE)</f>
        <v>Apparel</v>
      </c>
      <c r="O1409" t="str">
        <f>VLOOKUP(C1409, Customers!A$2:E$301, 5, FALSE)</f>
        <v>SMB</v>
      </c>
      <c r="P1409">
        <f>VLOOKUP(C1409, Customers!A$2:C$301, 3, FALSE)</f>
        <v>29</v>
      </c>
      <c r="Q1409" t="str">
        <f>VLOOKUP(E1409, Sales_Reps!A$2:C$31, 3, FALSE)</f>
        <v>South</v>
      </c>
      <c r="R1409">
        <f>VLOOKUP(D1409, Products!A$2:D$61, 4, FALSE)</f>
        <v>2611</v>
      </c>
    </row>
    <row r="1410" spans="1:18" x14ac:dyDescent="0.3">
      <c r="A1410" s="13" t="s">
        <v>1899</v>
      </c>
      <c r="B1410" s="14">
        <v>45423</v>
      </c>
      <c r="C1410" s="13" t="s">
        <v>1036</v>
      </c>
      <c r="D1410" s="13" t="s">
        <v>292</v>
      </c>
      <c r="E1410" s="13" t="s">
        <v>154</v>
      </c>
      <c r="F1410" s="15">
        <v>9</v>
      </c>
      <c r="G1410" s="15">
        <v>620</v>
      </c>
      <c r="H1410" s="15">
        <v>8.5</v>
      </c>
      <c r="I1410" s="15">
        <v>5105.7</v>
      </c>
      <c r="J1410" s="13" t="s">
        <v>87</v>
      </c>
      <c r="K1410" s="13" t="s">
        <v>112</v>
      </c>
      <c r="L1410">
        <f>IF(COUNTIF(A$2:A1410, A1410)=1, IF(COUNTIF(A$2:A$2001, A1410)&gt;1, 1, 0), 0)</f>
        <v>0</v>
      </c>
      <c r="M1410" t="b">
        <f>VLOOKUP(D1410, Products!A$2:F$61, 6, FALSE)</f>
        <v>1</v>
      </c>
      <c r="N1410" t="str">
        <f>VLOOKUP(D1410, Products!A$2:C$61, 3, FALSE)</f>
        <v>Apparel</v>
      </c>
      <c r="O1410" t="str">
        <f>VLOOKUP(C1410, Customers!A$2:E$301, 5, FALSE)</f>
        <v>Retail</v>
      </c>
      <c r="P1410">
        <f>VLOOKUP(C1410, Customers!A$2:C$301, 3, FALSE)</f>
        <v>33</v>
      </c>
      <c r="Q1410" t="str">
        <f>VLOOKUP(E1410, Sales_Reps!A$2:C$31, 3, FALSE)</f>
        <v>East</v>
      </c>
      <c r="R1410">
        <f>VLOOKUP(D1410, Products!A$2:D$61, 4, FALSE)</f>
        <v>396</v>
      </c>
    </row>
    <row r="1411" spans="1:18" x14ac:dyDescent="0.3">
      <c r="A1411" s="13" t="s">
        <v>1900</v>
      </c>
      <c r="B1411" s="14">
        <v>45423</v>
      </c>
      <c r="C1411" s="13" t="s">
        <v>714</v>
      </c>
      <c r="D1411" s="13" t="s">
        <v>461</v>
      </c>
      <c r="E1411" s="13" t="s">
        <v>346</v>
      </c>
      <c r="F1411" s="15">
        <v>10</v>
      </c>
      <c r="G1411" s="15">
        <v>3780</v>
      </c>
      <c r="H1411" s="15">
        <v>5.8</v>
      </c>
      <c r="I1411" s="15">
        <v>35607.599999999999</v>
      </c>
      <c r="J1411" s="13" t="s">
        <v>87</v>
      </c>
      <c r="K1411" s="13" t="s">
        <v>99</v>
      </c>
      <c r="L1411">
        <f>IF(COUNTIF(A$2:A1411, A1411)=1, IF(COUNTIF(A$2:A$2001, A1411)&gt;1, 1, 0), 0)</f>
        <v>0</v>
      </c>
      <c r="M1411" t="b">
        <f>VLOOKUP(D1411, Products!A$2:F$61, 6, FALSE)</f>
        <v>1</v>
      </c>
      <c r="N1411" t="str">
        <f>VLOOKUP(D1411, Products!A$2:C$61, 3, FALSE)</f>
        <v>Sports</v>
      </c>
      <c r="O1411" t="str">
        <f>VLOOKUP(C1411, Customers!A$2:E$301, 5, FALSE)</f>
        <v>Retail</v>
      </c>
      <c r="P1411">
        <f>VLOOKUP(C1411, Customers!A$2:C$301, 3, FALSE)</f>
        <v>24</v>
      </c>
      <c r="Q1411" t="str">
        <f>VLOOKUP(E1411, Sales_Reps!A$2:C$31, 3, FALSE)</f>
        <v>South</v>
      </c>
      <c r="R1411">
        <f>VLOOKUP(D1411, Products!A$2:D$61, 4, FALSE)</f>
        <v>1860</v>
      </c>
    </row>
    <row r="1412" spans="1:18" x14ac:dyDescent="0.3">
      <c r="A1412" s="13" t="s">
        <v>1901</v>
      </c>
      <c r="B1412" s="14">
        <v>45518</v>
      </c>
      <c r="C1412" s="13" t="s">
        <v>522</v>
      </c>
      <c r="D1412" s="13" t="s">
        <v>187</v>
      </c>
      <c r="E1412" s="13" t="s">
        <v>204</v>
      </c>
      <c r="F1412" s="15">
        <v>7</v>
      </c>
      <c r="G1412" s="15">
        <v>3570</v>
      </c>
      <c r="H1412" s="15">
        <v>26.1</v>
      </c>
      <c r="I1412" s="15">
        <v>18467.61</v>
      </c>
      <c r="J1412" s="13" t="s">
        <v>87</v>
      </c>
      <c r="K1412" s="13" t="s">
        <v>99</v>
      </c>
      <c r="L1412">
        <f>IF(COUNTIF(A$2:A1412, A1412)=1, IF(COUNTIF(A$2:A$2001, A1412)&gt;1, 1, 0), 0)</f>
        <v>0</v>
      </c>
      <c r="M1412" t="b">
        <f>VLOOKUP(D1412, Products!A$2:F$61, 6, FALSE)</f>
        <v>1</v>
      </c>
      <c r="N1412" t="str">
        <f>VLOOKUP(D1412, Products!A$2:C$61, 3, FALSE)</f>
        <v>Electronics</v>
      </c>
      <c r="O1412" t="str">
        <f>VLOOKUP(C1412, Customers!A$2:E$301, 5, FALSE)</f>
        <v>SMB</v>
      </c>
      <c r="P1412">
        <f>VLOOKUP(C1412, Customers!A$2:C$301, 3, FALSE)</f>
        <v>55</v>
      </c>
      <c r="Q1412" t="str">
        <f>VLOOKUP(E1412, Sales_Reps!A$2:C$31, 3, FALSE)</f>
        <v>South</v>
      </c>
      <c r="R1412">
        <f>VLOOKUP(D1412, Products!A$2:D$61, 4, FALSE)</f>
        <v>1665</v>
      </c>
    </row>
    <row r="1413" spans="1:18" x14ac:dyDescent="0.3">
      <c r="A1413" s="13" t="s">
        <v>1902</v>
      </c>
      <c r="B1413" s="14">
        <v>45306</v>
      </c>
      <c r="C1413" s="13" t="s">
        <v>714</v>
      </c>
      <c r="D1413" s="13" t="s">
        <v>176</v>
      </c>
      <c r="E1413" s="13" t="s">
        <v>297</v>
      </c>
      <c r="F1413" s="15">
        <v>2</v>
      </c>
      <c r="G1413" s="15">
        <v>1650</v>
      </c>
      <c r="H1413" s="15">
        <v>3.8</v>
      </c>
      <c r="I1413" s="15">
        <v>3174.6</v>
      </c>
      <c r="J1413" s="13" t="s">
        <v>87</v>
      </c>
      <c r="K1413" s="13" t="s">
        <v>99</v>
      </c>
      <c r="L1413">
        <f>IF(COUNTIF(A$2:A1413, A1413)=1, IF(COUNTIF(A$2:A$2001, A1413)&gt;1, 1, 0), 0)</f>
        <v>0</v>
      </c>
      <c r="M1413" t="b">
        <f>VLOOKUP(D1413, Products!A$2:F$61, 6, FALSE)</f>
        <v>1</v>
      </c>
      <c r="N1413" t="str">
        <f>VLOOKUP(D1413, Products!A$2:C$61, 3, FALSE)</f>
        <v>Beauty</v>
      </c>
      <c r="O1413" t="str">
        <f>VLOOKUP(C1413, Customers!A$2:E$301, 5, FALSE)</f>
        <v>Retail</v>
      </c>
      <c r="P1413">
        <f>VLOOKUP(C1413, Customers!A$2:C$301, 3, FALSE)</f>
        <v>24</v>
      </c>
      <c r="Q1413" t="str">
        <f>VLOOKUP(E1413, Sales_Reps!A$2:C$31, 3, FALSE)</f>
        <v>North</v>
      </c>
      <c r="R1413">
        <f>VLOOKUP(D1413, Products!A$2:D$61, 4, FALSE)</f>
        <v>1222</v>
      </c>
    </row>
    <row r="1414" spans="1:18" x14ac:dyDescent="0.3">
      <c r="A1414" s="13" t="s">
        <v>1903</v>
      </c>
      <c r="B1414" s="14">
        <v>45346</v>
      </c>
      <c r="C1414" s="13" t="s">
        <v>1724</v>
      </c>
      <c r="D1414" s="13" t="s">
        <v>380</v>
      </c>
      <c r="E1414" s="13" t="s">
        <v>325</v>
      </c>
      <c r="F1414" s="15">
        <v>2</v>
      </c>
      <c r="G1414" s="15">
        <v>960</v>
      </c>
      <c r="H1414" s="15">
        <v>6.8</v>
      </c>
      <c r="I1414" s="15">
        <v>1789.44</v>
      </c>
      <c r="J1414" s="13" t="s">
        <v>87</v>
      </c>
      <c r="K1414" s="13" t="s">
        <v>117</v>
      </c>
      <c r="L1414">
        <f>IF(COUNTIF(A$2:A1414, A1414)=1, IF(COUNTIF(A$2:A$2001, A1414)&gt;1, 1, 0), 0)</f>
        <v>0</v>
      </c>
      <c r="M1414" t="b">
        <f>VLOOKUP(D1414, Products!A$2:F$61, 6, FALSE)</f>
        <v>1</v>
      </c>
      <c r="N1414" t="str">
        <f>VLOOKUP(D1414, Products!A$2:C$61, 3, FALSE)</f>
        <v>Beauty</v>
      </c>
      <c r="O1414" t="str">
        <f>VLOOKUP(C1414, Customers!A$2:E$301, 5, FALSE)</f>
        <v>SMB</v>
      </c>
      <c r="P1414">
        <f>VLOOKUP(C1414, Customers!A$2:C$301, 3, FALSE)</f>
        <v>54</v>
      </c>
      <c r="Q1414" t="str">
        <f>VLOOKUP(E1414, Sales_Reps!A$2:C$31, 3, FALSE)</f>
        <v>South</v>
      </c>
      <c r="R1414">
        <f>VLOOKUP(D1414, Products!A$2:D$61, 4, FALSE)</f>
        <v>675</v>
      </c>
    </row>
    <row r="1415" spans="1:18" x14ac:dyDescent="0.3">
      <c r="A1415" s="13" t="s">
        <v>1904</v>
      </c>
      <c r="B1415" s="14">
        <v>45376</v>
      </c>
      <c r="C1415" s="13" t="s">
        <v>872</v>
      </c>
      <c r="D1415" s="13" t="s">
        <v>282</v>
      </c>
      <c r="E1415" s="13" t="s">
        <v>103</v>
      </c>
      <c r="F1415" s="15">
        <v>2</v>
      </c>
      <c r="G1415" s="15">
        <v>300</v>
      </c>
      <c r="H1415" s="15">
        <v>2.8</v>
      </c>
      <c r="I1415" s="15">
        <v>583.20000000000005</v>
      </c>
      <c r="J1415" s="13" t="s">
        <v>87</v>
      </c>
      <c r="K1415" s="13" t="s">
        <v>112</v>
      </c>
      <c r="L1415">
        <f>IF(COUNTIF(A$2:A1415, A1415)=1, IF(COUNTIF(A$2:A$2001, A1415)&gt;1, 1, 0), 0)</f>
        <v>0</v>
      </c>
      <c r="M1415" t="b">
        <f>VLOOKUP(D1415, Products!A$2:F$61, 6, FALSE)</f>
        <v>1</v>
      </c>
      <c r="N1415" t="str">
        <f>VLOOKUP(D1415, Products!A$2:C$61, 3, FALSE)</f>
        <v>Electronics</v>
      </c>
      <c r="O1415" t="str">
        <f>VLOOKUP(C1415, Customers!A$2:E$301, 5, FALSE)</f>
        <v>Corporate</v>
      </c>
      <c r="P1415">
        <f>VLOOKUP(C1415, Customers!A$2:C$301, 3, FALSE)</f>
        <v>62</v>
      </c>
      <c r="Q1415" t="str">
        <f>VLOOKUP(E1415, Sales_Reps!A$2:C$31, 3, FALSE)</f>
        <v>North</v>
      </c>
      <c r="R1415">
        <f>VLOOKUP(D1415, Products!A$2:D$61, 4, FALSE)</f>
        <v>128</v>
      </c>
    </row>
    <row r="1416" spans="1:18" x14ac:dyDescent="0.3">
      <c r="A1416" s="13" t="s">
        <v>1905</v>
      </c>
      <c r="B1416" s="14">
        <v>45561</v>
      </c>
      <c r="C1416" s="13" t="s">
        <v>493</v>
      </c>
      <c r="D1416" s="13" t="s">
        <v>351</v>
      </c>
      <c r="E1416" s="13" t="s">
        <v>343</v>
      </c>
      <c r="F1416" s="15">
        <v>10</v>
      </c>
      <c r="G1416" s="15">
        <v>4060</v>
      </c>
      <c r="H1416" s="15">
        <v>15.1</v>
      </c>
      <c r="I1416" s="15">
        <v>34469.4</v>
      </c>
      <c r="J1416" s="13" t="s">
        <v>87</v>
      </c>
      <c r="K1416" s="13" t="s">
        <v>88</v>
      </c>
      <c r="L1416">
        <f>IF(COUNTIF(A$2:A1416, A1416)=1, IF(COUNTIF(A$2:A$2001, A1416)&gt;1, 1, 0), 0)</f>
        <v>0</v>
      </c>
      <c r="M1416" t="b">
        <f>VLOOKUP(D1416, Products!A$2:F$61, 6, FALSE)</f>
        <v>1</v>
      </c>
      <c r="N1416" t="str">
        <f>VLOOKUP(D1416, Products!A$2:C$61, 3, FALSE)</f>
        <v>Grocery</v>
      </c>
      <c r="O1416" t="str">
        <f>VLOOKUP(C1416, Customers!A$2:E$301, 5, FALSE)</f>
        <v>Retail</v>
      </c>
      <c r="P1416">
        <f>VLOOKUP(C1416, Customers!A$2:C$301, 3, FALSE)</f>
        <v>57</v>
      </c>
      <c r="Q1416" t="str">
        <f>VLOOKUP(E1416, Sales_Reps!A$2:C$31, 3, FALSE)</f>
        <v>West</v>
      </c>
      <c r="R1416">
        <f>VLOOKUP(D1416, Products!A$2:D$61, 4, FALSE)</f>
        <v>2911</v>
      </c>
    </row>
    <row r="1417" spans="1:18" x14ac:dyDescent="0.3">
      <c r="A1417" s="13" t="s">
        <v>1906</v>
      </c>
      <c r="B1417" s="14">
        <v>45320</v>
      </c>
      <c r="C1417" s="13" t="s">
        <v>1191</v>
      </c>
      <c r="D1417" s="13" t="s">
        <v>364</v>
      </c>
      <c r="E1417" s="13" t="s">
        <v>285</v>
      </c>
      <c r="F1417" s="15">
        <v>6</v>
      </c>
      <c r="G1417" s="15">
        <v>5330</v>
      </c>
      <c r="H1417" s="15">
        <v>2</v>
      </c>
      <c r="I1417" s="15">
        <v>31340.400000000001</v>
      </c>
      <c r="J1417" s="13" t="s">
        <v>87</v>
      </c>
      <c r="K1417" s="13" t="s">
        <v>117</v>
      </c>
      <c r="L1417">
        <f>IF(COUNTIF(A$2:A1417, A1417)=1, IF(COUNTIF(A$2:A$2001, A1417)&gt;1, 1, 0), 0)</f>
        <v>0</v>
      </c>
      <c r="M1417" t="b">
        <f>VLOOKUP(D1417, Products!A$2:F$61, 6, FALSE)</f>
        <v>1</v>
      </c>
      <c r="N1417" t="str">
        <f>VLOOKUP(D1417, Products!A$2:C$61, 3, FALSE)</f>
        <v>Electronics</v>
      </c>
      <c r="O1417" t="str">
        <f>VLOOKUP(C1417, Customers!A$2:E$301, 5, FALSE)</f>
        <v>Retail</v>
      </c>
      <c r="P1417">
        <f>VLOOKUP(C1417, Customers!A$2:C$301, 3, FALSE)</f>
        <v>36</v>
      </c>
      <c r="Q1417" t="str">
        <f>VLOOKUP(E1417, Sales_Reps!A$2:C$31, 3, FALSE)</f>
        <v>East</v>
      </c>
      <c r="R1417">
        <f>VLOOKUP(D1417, Products!A$2:D$61, 4, FALSE)</f>
        <v>2405</v>
      </c>
    </row>
    <row r="1418" spans="1:18" x14ac:dyDescent="0.3">
      <c r="A1418" s="13" t="s">
        <v>1907</v>
      </c>
      <c r="B1418" s="14">
        <v>45572</v>
      </c>
      <c r="C1418" s="13" t="s">
        <v>420</v>
      </c>
      <c r="D1418" s="13" t="s">
        <v>226</v>
      </c>
      <c r="E1418" s="13" t="s">
        <v>158</v>
      </c>
      <c r="F1418" s="15">
        <v>9</v>
      </c>
      <c r="G1418" s="15">
        <v>3730</v>
      </c>
      <c r="H1418" s="15">
        <v>24.5</v>
      </c>
      <c r="I1418" s="15">
        <v>25345.35</v>
      </c>
      <c r="J1418" s="13" t="s">
        <v>144</v>
      </c>
      <c r="K1418" s="13" t="s">
        <v>99</v>
      </c>
      <c r="L1418">
        <f>IF(COUNTIF(A$2:A1418, A1418)=1, IF(COUNTIF(A$2:A$2001, A1418)&gt;1, 1, 0), 0)</f>
        <v>0</v>
      </c>
      <c r="M1418" t="b">
        <f>VLOOKUP(D1418, Products!A$2:F$61, 6, FALSE)</f>
        <v>1</v>
      </c>
      <c r="N1418" t="str">
        <f>VLOOKUP(D1418, Products!A$2:C$61, 3, FALSE)</f>
        <v>Home</v>
      </c>
      <c r="O1418" t="str">
        <f>VLOOKUP(C1418, Customers!A$2:E$301, 5, FALSE)</f>
        <v>Retail</v>
      </c>
      <c r="P1418">
        <f>VLOOKUP(C1418, Customers!A$2:C$301, 3, FALSE)</f>
        <v>44</v>
      </c>
      <c r="Q1418" t="str">
        <f>VLOOKUP(E1418, Sales_Reps!A$2:C$31, 3, FALSE)</f>
        <v>East</v>
      </c>
      <c r="R1418">
        <f>VLOOKUP(D1418, Products!A$2:D$61, 4, FALSE)</f>
        <v>2135</v>
      </c>
    </row>
    <row r="1419" spans="1:18" x14ac:dyDescent="0.3">
      <c r="A1419" s="13" t="s">
        <v>1908</v>
      </c>
      <c r="B1419" s="14">
        <v>45611</v>
      </c>
      <c r="C1419" s="13" t="s">
        <v>353</v>
      </c>
      <c r="D1419" s="13" t="s">
        <v>241</v>
      </c>
      <c r="E1419" s="13" t="s">
        <v>170</v>
      </c>
      <c r="F1419" s="15">
        <v>1</v>
      </c>
      <c r="G1419" s="15">
        <v>6080</v>
      </c>
      <c r="H1419" s="15">
        <v>4.4000000000000004</v>
      </c>
      <c r="I1419" s="15">
        <v>5812.48</v>
      </c>
      <c r="J1419" s="13" t="s">
        <v>140</v>
      </c>
      <c r="K1419" s="13" t="s">
        <v>94</v>
      </c>
      <c r="L1419">
        <f>IF(COUNTIF(A$2:A1419, A1419)=1, IF(COUNTIF(A$2:A$2001, A1419)&gt;1, 1, 0), 0)</f>
        <v>0</v>
      </c>
      <c r="M1419" t="b">
        <f>VLOOKUP(D1419, Products!A$2:F$61, 6, FALSE)</f>
        <v>1</v>
      </c>
      <c r="N1419" t="str">
        <f>VLOOKUP(D1419, Products!A$2:C$61, 3, FALSE)</f>
        <v>Beauty</v>
      </c>
      <c r="O1419" t="str">
        <f>VLOOKUP(C1419, Customers!A$2:E$301, 5, FALSE)</f>
        <v>Retail</v>
      </c>
      <c r="P1419">
        <f>VLOOKUP(C1419, Customers!A$2:C$301, 3, FALSE)</f>
        <v>60</v>
      </c>
      <c r="Q1419" t="str">
        <f>VLOOKUP(E1419, Sales_Reps!A$2:C$31, 3, FALSE)</f>
        <v>West</v>
      </c>
      <c r="R1419">
        <f>VLOOKUP(D1419, Products!A$2:D$61, 4, FALSE)</f>
        <v>2617</v>
      </c>
    </row>
    <row r="1420" spans="1:18" x14ac:dyDescent="0.3">
      <c r="A1420" s="13" t="s">
        <v>1909</v>
      </c>
      <c r="B1420" s="14">
        <v>45524</v>
      </c>
      <c r="C1420" s="13" t="s">
        <v>707</v>
      </c>
      <c r="D1420" s="13" t="s">
        <v>173</v>
      </c>
      <c r="E1420" s="13" t="s">
        <v>111</v>
      </c>
      <c r="F1420" s="15">
        <v>5</v>
      </c>
      <c r="G1420" s="15">
        <v>2720</v>
      </c>
      <c r="H1420" s="15">
        <v>9.1999999999999993</v>
      </c>
      <c r="I1420" s="15">
        <v>12348.8</v>
      </c>
      <c r="J1420" s="13" t="s">
        <v>87</v>
      </c>
      <c r="K1420" s="13" t="s">
        <v>112</v>
      </c>
      <c r="L1420">
        <f>IF(COUNTIF(A$2:A1420, A1420)=1, IF(COUNTIF(A$2:A$2001, A1420)&gt;1, 1, 0), 0)</f>
        <v>0</v>
      </c>
      <c r="M1420" t="b">
        <f>VLOOKUP(D1420, Products!A$2:F$61, 6, FALSE)</f>
        <v>1</v>
      </c>
      <c r="N1420" t="str">
        <f>VLOOKUP(D1420, Products!A$2:C$61, 3, FALSE)</f>
        <v>Apparel</v>
      </c>
      <c r="O1420" t="str">
        <f>VLOOKUP(C1420, Customers!A$2:E$301, 5, FALSE)</f>
        <v>Retail</v>
      </c>
      <c r="P1420">
        <f>VLOOKUP(C1420, Customers!A$2:C$301, 3, FALSE)</f>
        <v>33</v>
      </c>
      <c r="Q1420" t="str">
        <f>VLOOKUP(E1420, Sales_Reps!A$2:C$31, 3, FALSE)</f>
        <v>West</v>
      </c>
      <c r="R1420">
        <f>VLOOKUP(D1420, Products!A$2:D$61, 4, FALSE)</f>
        <v>1962</v>
      </c>
    </row>
    <row r="1421" spans="1:18" x14ac:dyDescent="0.3">
      <c r="A1421" s="13" t="s">
        <v>1910</v>
      </c>
      <c r="B1421" s="14">
        <v>45438</v>
      </c>
      <c r="C1421" s="13" t="s">
        <v>411</v>
      </c>
      <c r="D1421" s="13" t="s">
        <v>452</v>
      </c>
      <c r="E1421" s="13" t="s">
        <v>154</v>
      </c>
      <c r="F1421" s="15">
        <v>1</v>
      </c>
      <c r="G1421" s="15">
        <v>3450</v>
      </c>
      <c r="H1421" s="15">
        <v>15.6</v>
      </c>
      <c r="I1421" s="15">
        <v>2911.8</v>
      </c>
      <c r="J1421" s="13" t="s">
        <v>87</v>
      </c>
      <c r="K1421" s="13" t="s">
        <v>112</v>
      </c>
      <c r="L1421">
        <f>IF(COUNTIF(A$2:A1421, A1421)=1, IF(COUNTIF(A$2:A$2001, A1421)&gt;1, 1, 0), 0)</f>
        <v>0</v>
      </c>
      <c r="M1421" t="b">
        <f>VLOOKUP(D1421, Products!A$2:F$61, 6, FALSE)</f>
        <v>1</v>
      </c>
      <c r="N1421" t="str">
        <f>VLOOKUP(D1421, Products!A$2:C$61, 3, FALSE)</f>
        <v>Apparel</v>
      </c>
      <c r="O1421" t="str">
        <f>VLOOKUP(C1421, Customers!A$2:E$301, 5, FALSE)</f>
        <v>Retail</v>
      </c>
      <c r="P1421">
        <f>VLOOKUP(C1421, Customers!A$2:C$301, 3, FALSE)</f>
        <v>61</v>
      </c>
      <c r="Q1421" t="str">
        <f>VLOOKUP(E1421, Sales_Reps!A$2:C$31, 3, FALSE)</f>
        <v>East</v>
      </c>
      <c r="R1421">
        <f>VLOOKUP(D1421, Products!A$2:D$61, 4, FALSE)</f>
        <v>1748</v>
      </c>
    </row>
    <row r="1422" spans="1:18" x14ac:dyDescent="0.3">
      <c r="A1422" s="13" t="s">
        <v>1911</v>
      </c>
      <c r="B1422" s="14">
        <v>45484</v>
      </c>
      <c r="C1422" s="13" t="s">
        <v>1623</v>
      </c>
      <c r="D1422" s="13" t="s">
        <v>502</v>
      </c>
      <c r="E1422" s="13" t="s">
        <v>285</v>
      </c>
      <c r="F1422" s="15">
        <v>2</v>
      </c>
      <c r="G1422" s="15">
        <v>1090</v>
      </c>
      <c r="H1422" s="15">
        <v>0.4</v>
      </c>
      <c r="I1422" s="15">
        <v>2171.2800000000002</v>
      </c>
      <c r="J1422" s="13" t="s">
        <v>144</v>
      </c>
      <c r="K1422" s="13" t="s">
        <v>117</v>
      </c>
      <c r="L1422">
        <f>IF(COUNTIF(A$2:A1422, A1422)=1, IF(COUNTIF(A$2:A$2001, A1422)&gt;1, 1, 0), 0)</f>
        <v>0</v>
      </c>
      <c r="M1422" t="b">
        <f>VLOOKUP(D1422, Products!A$2:F$61, 6, FALSE)</f>
        <v>1</v>
      </c>
      <c r="N1422" t="str">
        <f>VLOOKUP(D1422, Products!A$2:C$61, 3, FALSE)</f>
        <v>Home</v>
      </c>
      <c r="O1422" t="str">
        <f>VLOOKUP(C1422, Customers!A$2:E$301, 5, FALSE)</f>
        <v>Retail</v>
      </c>
      <c r="P1422">
        <f>VLOOKUP(C1422, Customers!A$2:C$301, 3, FALSE)</f>
        <v>53</v>
      </c>
      <c r="Q1422" t="str">
        <f>VLOOKUP(E1422, Sales_Reps!A$2:C$31, 3, FALSE)</f>
        <v>East</v>
      </c>
      <c r="R1422">
        <f>VLOOKUP(D1422, Products!A$2:D$61, 4, FALSE)</f>
        <v>464</v>
      </c>
    </row>
    <row r="1423" spans="1:18" x14ac:dyDescent="0.3">
      <c r="A1423" s="13" t="s">
        <v>1912</v>
      </c>
      <c r="B1423" s="14">
        <v>45643</v>
      </c>
      <c r="C1423" s="13" t="s">
        <v>539</v>
      </c>
      <c r="D1423" s="13" t="s">
        <v>187</v>
      </c>
      <c r="E1423" s="13" t="s">
        <v>238</v>
      </c>
      <c r="F1423" s="15">
        <v>2</v>
      </c>
      <c r="G1423" s="15">
        <v>3570</v>
      </c>
      <c r="H1423" s="15">
        <v>9</v>
      </c>
      <c r="I1423" s="15">
        <v>6497.4</v>
      </c>
      <c r="J1423" s="13" t="s">
        <v>87</v>
      </c>
      <c r="K1423" s="13" t="s">
        <v>133</v>
      </c>
      <c r="L1423">
        <f>IF(COUNTIF(A$2:A1423, A1423)=1, IF(COUNTIF(A$2:A$2001, A1423)&gt;1, 1, 0), 0)</f>
        <v>0</v>
      </c>
      <c r="M1423" t="b">
        <f>VLOOKUP(D1423, Products!A$2:F$61, 6, FALSE)</f>
        <v>1</v>
      </c>
      <c r="N1423" t="str">
        <f>VLOOKUP(D1423, Products!A$2:C$61, 3, FALSE)</f>
        <v>Electronics</v>
      </c>
      <c r="O1423" t="str">
        <f>VLOOKUP(C1423, Customers!A$2:E$301, 5, FALSE)</f>
        <v>Retail</v>
      </c>
      <c r="P1423">
        <f>VLOOKUP(C1423, Customers!A$2:C$301, 3, FALSE)</f>
        <v>38</v>
      </c>
      <c r="Q1423" t="str">
        <f>VLOOKUP(E1423, Sales_Reps!A$2:C$31, 3, FALSE)</f>
        <v>East</v>
      </c>
      <c r="R1423">
        <f>VLOOKUP(D1423, Products!A$2:D$61, 4, FALSE)</f>
        <v>1665</v>
      </c>
    </row>
    <row r="1424" spans="1:18" x14ac:dyDescent="0.3">
      <c r="A1424" s="13" t="s">
        <v>1913</v>
      </c>
      <c r="B1424" s="14">
        <v>45437</v>
      </c>
      <c r="C1424" s="13" t="s">
        <v>522</v>
      </c>
      <c r="D1424" s="13" t="s">
        <v>167</v>
      </c>
      <c r="E1424" s="13" t="s">
        <v>98</v>
      </c>
      <c r="F1424" s="15">
        <v>9</v>
      </c>
      <c r="G1424" s="15">
        <v>2480</v>
      </c>
      <c r="H1424" s="15">
        <v>3.6</v>
      </c>
      <c r="I1424" s="15">
        <v>21516.48</v>
      </c>
      <c r="J1424" s="13" t="s">
        <v>93</v>
      </c>
      <c r="K1424" s="13" t="s">
        <v>99</v>
      </c>
      <c r="L1424">
        <f>IF(COUNTIF(A$2:A1424, A1424)=1, IF(COUNTIF(A$2:A$2001, A1424)&gt;1, 1, 0), 0)</f>
        <v>0</v>
      </c>
      <c r="M1424" t="b">
        <f>VLOOKUP(D1424, Products!A$2:F$61, 6, FALSE)</f>
        <v>1</v>
      </c>
      <c r="N1424" t="str">
        <f>VLOOKUP(D1424, Products!A$2:C$61, 3, FALSE)</f>
        <v>Apparel</v>
      </c>
      <c r="O1424" t="str">
        <f>VLOOKUP(C1424, Customers!A$2:E$301, 5, FALSE)</f>
        <v>SMB</v>
      </c>
      <c r="P1424">
        <f>VLOOKUP(C1424, Customers!A$2:C$301, 3, FALSE)</f>
        <v>55</v>
      </c>
      <c r="Q1424" t="str">
        <f>VLOOKUP(E1424, Sales_Reps!A$2:C$31, 3, FALSE)</f>
        <v>South</v>
      </c>
      <c r="R1424">
        <f>VLOOKUP(D1424, Products!A$2:D$61, 4, FALSE)</f>
        <v>1173</v>
      </c>
    </row>
    <row r="1425" spans="1:18" x14ac:dyDescent="0.3">
      <c r="A1425" s="13" t="s">
        <v>1914</v>
      </c>
      <c r="B1425" s="14">
        <v>45303</v>
      </c>
      <c r="C1425" s="13" t="s">
        <v>544</v>
      </c>
      <c r="D1425" s="13" t="s">
        <v>234</v>
      </c>
      <c r="E1425" s="13" t="s">
        <v>285</v>
      </c>
      <c r="F1425" s="15">
        <v>9</v>
      </c>
      <c r="G1425" s="15">
        <v>3780</v>
      </c>
      <c r="H1425" s="15">
        <v>4.5</v>
      </c>
      <c r="I1425" s="15">
        <v>32489.1</v>
      </c>
      <c r="J1425" s="13" t="s">
        <v>87</v>
      </c>
      <c r="K1425" s="13" t="s">
        <v>133</v>
      </c>
      <c r="L1425">
        <f>IF(COUNTIF(A$2:A1425, A1425)=1, IF(COUNTIF(A$2:A$2001, A1425)&gt;1, 1, 0), 0)</f>
        <v>0</v>
      </c>
      <c r="M1425" t="b">
        <f>VLOOKUP(D1425, Products!A$2:F$61, 6, FALSE)</f>
        <v>1</v>
      </c>
      <c r="N1425" t="str">
        <f>VLOOKUP(D1425, Products!A$2:C$61, 3, FALSE)</f>
        <v>Grocery</v>
      </c>
      <c r="O1425" t="str">
        <f>VLOOKUP(C1425, Customers!A$2:E$301, 5, FALSE)</f>
        <v>Retail</v>
      </c>
      <c r="P1425">
        <f>VLOOKUP(C1425, Customers!A$2:C$301, 3, FALSE)</f>
        <v>25</v>
      </c>
      <c r="Q1425" t="str">
        <f>VLOOKUP(E1425, Sales_Reps!A$2:C$31, 3, FALSE)</f>
        <v>East</v>
      </c>
      <c r="R1425">
        <f>VLOOKUP(D1425, Products!A$2:D$61, 4, FALSE)</f>
        <v>2436</v>
      </c>
    </row>
    <row r="1426" spans="1:18" x14ac:dyDescent="0.3">
      <c r="A1426" s="13" t="s">
        <v>1915</v>
      </c>
      <c r="B1426" s="14">
        <v>45631</v>
      </c>
      <c r="C1426" s="13" t="s">
        <v>359</v>
      </c>
      <c r="D1426" s="13" t="s">
        <v>351</v>
      </c>
      <c r="E1426" s="13" t="s">
        <v>132</v>
      </c>
      <c r="F1426" s="15">
        <v>5</v>
      </c>
      <c r="G1426" s="15">
        <v>4060</v>
      </c>
      <c r="H1426" s="15">
        <v>2.7</v>
      </c>
      <c r="I1426" s="15">
        <v>19751.900000000001</v>
      </c>
      <c r="J1426" s="13" t="s">
        <v>87</v>
      </c>
      <c r="K1426" s="13" t="s">
        <v>99</v>
      </c>
      <c r="L1426">
        <f>IF(COUNTIF(A$2:A1426, A1426)=1, IF(COUNTIF(A$2:A$2001, A1426)&gt;1, 1, 0), 0)</f>
        <v>0</v>
      </c>
      <c r="M1426" t="b">
        <f>VLOOKUP(D1426, Products!A$2:F$61, 6, FALSE)</f>
        <v>1</v>
      </c>
      <c r="N1426" t="str">
        <f>VLOOKUP(D1426, Products!A$2:C$61, 3, FALSE)</f>
        <v>Grocery</v>
      </c>
      <c r="O1426" t="str">
        <f>VLOOKUP(C1426, Customers!A$2:E$301, 5, FALSE)</f>
        <v>SMB</v>
      </c>
      <c r="P1426">
        <f>VLOOKUP(C1426, Customers!A$2:C$301, 3, FALSE)</f>
        <v>28</v>
      </c>
      <c r="Q1426" t="str">
        <f>VLOOKUP(E1426, Sales_Reps!A$2:C$31, 3, FALSE)</f>
        <v>South</v>
      </c>
      <c r="R1426">
        <f>VLOOKUP(D1426, Products!A$2:D$61, 4, FALSE)</f>
        <v>2911</v>
      </c>
    </row>
    <row r="1427" spans="1:18" x14ac:dyDescent="0.3">
      <c r="A1427" s="13" t="s">
        <v>1916</v>
      </c>
      <c r="B1427" s="14">
        <v>45564</v>
      </c>
      <c r="C1427" s="13" t="s">
        <v>608</v>
      </c>
      <c r="D1427" s="13" t="s">
        <v>282</v>
      </c>
      <c r="E1427" s="13" t="s">
        <v>297</v>
      </c>
      <c r="F1427" s="15">
        <v>8</v>
      </c>
      <c r="G1427" s="15">
        <v>300</v>
      </c>
      <c r="H1427" s="15">
        <v>19.8</v>
      </c>
      <c r="I1427" s="15">
        <v>1924.8</v>
      </c>
      <c r="J1427" s="13" t="s">
        <v>140</v>
      </c>
      <c r="K1427" s="13" t="s">
        <v>88</v>
      </c>
      <c r="L1427">
        <f>IF(COUNTIF(A$2:A1427, A1427)=1, IF(COUNTIF(A$2:A$2001, A1427)&gt;1, 1, 0), 0)</f>
        <v>0</v>
      </c>
      <c r="M1427" t="b">
        <f>VLOOKUP(D1427, Products!A$2:F$61, 6, FALSE)</f>
        <v>1</v>
      </c>
      <c r="N1427" t="str">
        <f>VLOOKUP(D1427, Products!A$2:C$61, 3, FALSE)</f>
        <v>Electronics</v>
      </c>
      <c r="O1427" t="str">
        <f>VLOOKUP(C1427, Customers!A$2:E$301, 5, FALSE)</f>
        <v>Corporate</v>
      </c>
      <c r="P1427">
        <f>VLOOKUP(C1427, Customers!A$2:C$301, 3, FALSE)</f>
        <v>40</v>
      </c>
      <c r="Q1427" t="str">
        <f>VLOOKUP(E1427, Sales_Reps!A$2:C$31, 3, FALSE)</f>
        <v>North</v>
      </c>
      <c r="R1427">
        <f>VLOOKUP(D1427, Products!A$2:D$61, 4, FALSE)</f>
        <v>128</v>
      </c>
    </row>
    <row r="1428" spans="1:18" x14ac:dyDescent="0.3">
      <c r="A1428" s="13" t="s">
        <v>1917</v>
      </c>
      <c r="B1428" s="14">
        <v>45454</v>
      </c>
      <c r="C1428" s="13" t="s">
        <v>350</v>
      </c>
      <c r="D1428" s="13" t="s">
        <v>143</v>
      </c>
      <c r="E1428" s="13" t="s">
        <v>297</v>
      </c>
      <c r="F1428" s="15">
        <v>10</v>
      </c>
      <c r="G1428" s="15">
        <v>3250</v>
      </c>
      <c r="H1428" s="15">
        <v>21.3</v>
      </c>
      <c r="I1428" s="15">
        <v>25577.5</v>
      </c>
      <c r="J1428" s="13" t="s">
        <v>140</v>
      </c>
      <c r="K1428" s="13" t="s">
        <v>112</v>
      </c>
      <c r="L1428">
        <f>IF(COUNTIF(A$2:A1428, A1428)=1, IF(COUNTIF(A$2:A$2001, A1428)&gt;1, 1, 0), 0)</f>
        <v>0</v>
      </c>
      <c r="M1428" t="b">
        <f>VLOOKUP(D1428, Products!A$2:F$61, 6, FALSE)</f>
        <v>1</v>
      </c>
      <c r="N1428" t="str">
        <f>VLOOKUP(D1428, Products!A$2:C$61, 3, FALSE)</f>
        <v>Home</v>
      </c>
      <c r="O1428" t="str">
        <f>VLOOKUP(C1428, Customers!A$2:E$301, 5, FALSE)</f>
        <v>SMB</v>
      </c>
      <c r="P1428">
        <f>VLOOKUP(C1428, Customers!A$2:C$301, 3, FALSE)</f>
        <v>22</v>
      </c>
      <c r="Q1428" t="str">
        <f>VLOOKUP(E1428, Sales_Reps!A$2:C$31, 3, FALSE)</f>
        <v>North</v>
      </c>
      <c r="R1428">
        <f>VLOOKUP(D1428, Products!A$2:D$61, 4, FALSE)</f>
        <v>1556</v>
      </c>
    </row>
    <row r="1429" spans="1:18" x14ac:dyDescent="0.3">
      <c r="A1429" s="13" t="s">
        <v>1918</v>
      </c>
      <c r="B1429" s="14">
        <v>45616</v>
      </c>
      <c r="C1429" s="13" t="s">
        <v>105</v>
      </c>
      <c r="D1429" s="13" t="s">
        <v>195</v>
      </c>
      <c r="E1429" s="13" t="s">
        <v>204</v>
      </c>
      <c r="F1429" s="15">
        <v>2</v>
      </c>
      <c r="G1429" s="15">
        <v>2860</v>
      </c>
      <c r="H1429" s="15">
        <v>13.7</v>
      </c>
      <c r="I1429" s="15">
        <v>4936.3599999999997</v>
      </c>
      <c r="J1429" s="13" t="s">
        <v>87</v>
      </c>
      <c r="K1429" s="13" t="s">
        <v>94</v>
      </c>
      <c r="L1429">
        <f>IF(COUNTIF(A$2:A1429, A1429)=1, IF(COUNTIF(A$2:A$2001, A1429)&gt;1, 1, 0), 0)</f>
        <v>0</v>
      </c>
      <c r="M1429" t="b">
        <f>VLOOKUP(D1429, Products!A$2:F$61, 6, FALSE)</f>
        <v>1</v>
      </c>
      <c r="N1429" t="str">
        <f>VLOOKUP(D1429, Products!A$2:C$61, 3, FALSE)</f>
        <v>Sports</v>
      </c>
      <c r="O1429" t="str">
        <f>VLOOKUP(C1429, Customers!A$2:E$301, 5, FALSE)</f>
        <v>Retail</v>
      </c>
      <c r="P1429">
        <f>VLOOKUP(C1429, Customers!A$2:C$301, 3, FALSE)</f>
        <v>36</v>
      </c>
      <c r="Q1429" t="str">
        <f>VLOOKUP(E1429, Sales_Reps!A$2:C$31, 3, FALSE)</f>
        <v>South</v>
      </c>
      <c r="R1429">
        <f>VLOOKUP(D1429, Products!A$2:D$61, 4, FALSE)</f>
        <v>2028</v>
      </c>
    </row>
    <row r="1430" spans="1:18" x14ac:dyDescent="0.3">
      <c r="A1430" s="13" t="s">
        <v>1919</v>
      </c>
      <c r="B1430" s="14">
        <v>45523</v>
      </c>
      <c r="C1430" s="13" t="s">
        <v>714</v>
      </c>
      <c r="D1430" s="13" t="s">
        <v>267</v>
      </c>
      <c r="E1430" s="13" t="s">
        <v>238</v>
      </c>
      <c r="F1430" s="15">
        <v>10</v>
      </c>
      <c r="G1430" s="15">
        <v>1220</v>
      </c>
      <c r="H1430" s="15">
        <v>15.4</v>
      </c>
      <c r="I1430" s="15">
        <v>10321.200000000001</v>
      </c>
      <c r="J1430" s="13" t="s">
        <v>87</v>
      </c>
      <c r="K1430" s="13" t="s">
        <v>99</v>
      </c>
      <c r="L1430">
        <f>IF(COUNTIF(A$2:A1430, A1430)=1, IF(COUNTIF(A$2:A$2001, A1430)&gt;1, 1, 0), 0)</f>
        <v>0</v>
      </c>
      <c r="M1430" t="b">
        <f>VLOOKUP(D1430, Products!A$2:F$61, 6, FALSE)</f>
        <v>1</v>
      </c>
      <c r="N1430" t="str">
        <f>VLOOKUP(D1430, Products!A$2:C$61, 3, FALSE)</f>
        <v>Electronics</v>
      </c>
      <c r="O1430" t="str">
        <f>VLOOKUP(C1430, Customers!A$2:E$301, 5, FALSE)</f>
        <v>Retail</v>
      </c>
      <c r="P1430">
        <f>VLOOKUP(C1430, Customers!A$2:C$301, 3, FALSE)</f>
        <v>24</v>
      </c>
      <c r="Q1430" t="str">
        <f>VLOOKUP(E1430, Sales_Reps!A$2:C$31, 3, FALSE)</f>
        <v>East</v>
      </c>
      <c r="R1430">
        <f>VLOOKUP(D1430, Products!A$2:D$61, 4, FALSE)</f>
        <v>517</v>
      </c>
    </row>
    <row r="1431" spans="1:18" x14ac:dyDescent="0.3">
      <c r="A1431" s="13" t="s">
        <v>1920</v>
      </c>
      <c r="B1431" s="14">
        <v>45439</v>
      </c>
      <c r="C1431" s="13" t="s">
        <v>256</v>
      </c>
      <c r="D1431" s="13" t="s">
        <v>234</v>
      </c>
      <c r="E1431" s="13" t="s">
        <v>132</v>
      </c>
      <c r="F1431" s="15">
        <v>3</v>
      </c>
      <c r="G1431" s="15">
        <v>3780</v>
      </c>
      <c r="H1431" s="15">
        <v>1.9</v>
      </c>
      <c r="I1431" s="15">
        <v>11124.54</v>
      </c>
      <c r="J1431" s="13" t="s">
        <v>87</v>
      </c>
      <c r="K1431" s="13" t="s">
        <v>133</v>
      </c>
      <c r="L1431">
        <f>IF(COUNTIF(A$2:A1431, A1431)=1, IF(COUNTIF(A$2:A$2001, A1431)&gt;1, 1, 0), 0)</f>
        <v>0</v>
      </c>
      <c r="M1431" t="b">
        <f>VLOOKUP(D1431, Products!A$2:F$61, 6, FALSE)</f>
        <v>1</v>
      </c>
      <c r="N1431" t="str">
        <f>VLOOKUP(D1431, Products!A$2:C$61, 3, FALSE)</f>
        <v>Grocery</v>
      </c>
      <c r="O1431" t="str">
        <f>VLOOKUP(C1431, Customers!A$2:E$301, 5, FALSE)</f>
        <v>Retail</v>
      </c>
      <c r="P1431">
        <f>VLOOKUP(C1431, Customers!A$2:C$301, 3, FALSE)</f>
        <v>27</v>
      </c>
      <c r="Q1431" t="str">
        <f>VLOOKUP(E1431, Sales_Reps!A$2:C$31, 3, FALSE)</f>
        <v>South</v>
      </c>
      <c r="R1431">
        <f>VLOOKUP(D1431, Products!A$2:D$61, 4, FALSE)</f>
        <v>2436</v>
      </c>
    </row>
    <row r="1432" spans="1:18" x14ac:dyDescent="0.3">
      <c r="A1432" s="13" t="s">
        <v>1921</v>
      </c>
      <c r="B1432" s="14">
        <v>45579</v>
      </c>
      <c r="C1432" s="13" t="s">
        <v>968</v>
      </c>
      <c r="D1432" s="13" t="s">
        <v>124</v>
      </c>
      <c r="E1432" s="13" t="s">
        <v>303</v>
      </c>
      <c r="F1432" s="15">
        <v>6</v>
      </c>
      <c r="G1432" s="15">
        <v>5490</v>
      </c>
      <c r="H1432" s="15">
        <v>0.5</v>
      </c>
      <c r="I1432" s="15">
        <v>32775.300000000003</v>
      </c>
      <c r="J1432" s="13" t="s">
        <v>93</v>
      </c>
      <c r="K1432" s="13" t="s">
        <v>99</v>
      </c>
      <c r="L1432">
        <f>IF(COUNTIF(A$2:A1432, A1432)=1, IF(COUNTIF(A$2:A$2001, A1432)&gt;1, 1, 0), 0)</f>
        <v>0</v>
      </c>
      <c r="M1432" t="b">
        <f>VLOOKUP(D1432, Products!A$2:F$61, 6, FALSE)</f>
        <v>1</v>
      </c>
      <c r="N1432" t="str">
        <f>VLOOKUP(D1432, Products!A$2:C$61, 3, FALSE)</f>
        <v>Home</v>
      </c>
      <c r="O1432" t="str">
        <f>VLOOKUP(C1432, Customers!A$2:E$301, 5, FALSE)</f>
        <v>Retail</v>
      </c>
      <c r="P1432">
        <f>VLOOKUP(C1432, Customers!A$2:C$301, 3, FALSE)</f>
        <v>47</v>
      </c>
      <c r="Q1432" t="str">
        <f>VLOOKUP(E1432, Sales_Reps!A$2:C$31, 3, FALSE)</f>
        <v>East</v>
      </c>
      <c r="R1432">
        <f>VLOOKUP(D1432, Products!A$2:D$61, 4, FALSE)</f>
        <v>2549</v>
      </c>
    </row>
    <row r="1433" spans="1:18" x14ac:dyDescent="0.3">
      <c r="A1433" s="13" t="s">
        <v>1922</v>
      </c>
      <c r="B1433" s="14">
        <v>45495</v>
      </c>
      <c r="C1433" s="13" t="s">
        <v>1875</v>
      </c>
      <c r="D1433" s="13" t="s">
        <v>245</v>
      </c>
      <c r="E1433" s="13" t="s">
        <v>229</v>
      </c>
      <c r="F1433" s="15">
        <v>6</v>
      </c>
      <c r="G1433" s="15">
        <v>2270</v>
      </c>
      <c r="H1433" s="15">
        <v>21.5</v>
      </c>
      <c r="I1433" s="15">
        <v>10691.7</v>
      </c>
      <c r="J1433" s="13" t="s">
        <v>87</v>
      </c>
      <c r="K1433" s="13" t="s">
        <v>94</v>
      </c>
      <c r="L1433">
        <f>IF(COUNTIF(A$2:A1433, A1433)=1, IF(COUNTIF(A$2:A$2001, A1433)&gt;1, 1, 0), 0)</f>
        <v>0</v>
      </c>
      <c r="M1433" t="b">
        <f>VLOOKUP(D1433, Products!A$2:F$61, 6, FALSE)</f>
        <v>1</v>
      </c>
      <c r="N1433" t="str">
        <f>VLOOKUP(D1433, Products!A$2:C$61, 3, FALSE)</f>
        <v>Grocery</v>
      </c>
      <c r="O1433" t="str">
        <f>VLOOKUP(C1433, Customers!A$2:E$301, 5, FALSE)</f>
        <v>Corporate</v>
      </c>
      <c r="P1433">
        <f>VLOOKUP(C1433, Customers!A$2:C$301, 3, FALSE)</f>
        <v>54</v>
      </c>
      <c r="Q1433" t="str">
        <f>VLOOKUP(E1433, Sales_Reps!A$2:C$31, 3, FALSE)</f>
        <v>West</v>
      </c>
      <c r="R1433">
        <f>VLOOKUP(D1433, Products!A$2:D$61, 4, FALSE)</f>
        <v>1412</v>
      </c>
    </row>
    <row r="1434" spans="1:18" x14ac:dyDescent="0.3">
      <c r="A1434" s="13" t="s">
        <v>1923</v>
      </c>
      <c r="B1434" s="14">
        <v>45600</v>
      </c>
      <c r="C1434" s="13" t="s">
        <v>405</v>
      </c>
      <c r="D1434" s="13" t="s">
        <v>338</v>
      </c>
      <c r="E1434" s="13" t="s">
        <v>154</v>
      </c>
      <c r="F1434" s="15">
        <v>7</v>
      </c>
      <c r="G1434" s="15">
        <v>2210</v>
      </c>
      <c r="H1434" s="15">
        <v>10.3</v>
      </c>
      <c r="I1434" s="15">
        <v>13876.59</v>
      </c>
      <c r="J1434" s="13" t="s">
        <v>87</v>
      </c>
      <c r="K1434" s="13" t="s">
        <v>94</v>
      </c>
      <c r="L1434">
        <f>IF(COUNTIF(A$2:A1434, A1434)=1, IF(COUNTIF(A$2:A$2001, A1434)&gt;1, 1, 0), 0)</f>
        <v>0</v>
      </c>
      <c r="M1434" t="b">
        <f>VLOOKUP(D1434, Products!A$2:F$61, 6, FALSE)</f>
        <v>1</v>
      </c>
      <c r="N1434" t="str">
        <f>VLOOKUP(D1434, Products!A$2:C$61, 3, FALSE)</f>
        <v>Grocery</v>
      </c>
      <c r="O1434" t="str">
        <f>VLOOKUP(C1434, Customers!A$2:E$301, 5, FALSE)</f>
        <v>Corporate</v>
      </c>
      <c r="P1434">
        <f>VLOOKUP(C1434, Customers!A$2:C$301, 3, FALSE)</f>
        <v>24</v>
      </c>
      <c r="Q1434" t="str">
        <f>VLOOKUP(E1434, Sales_Reps!A$2:C$31, 3, FALSE)</f>
        <v>East</v>
      </c>
      <c r="R1434">
        <f>VLOOKUP(D1434, Products!A$2:D$61, 4, FALSE)</f>
        <v>1010</v>
      </c>
    </row>
    <row r="1435" spans="1:18" x14ac:dyDescent="0.3">
      <c r="A1435" s="13" t="s">
        <v>1924</v>
      </c>
      <c r="B1435" s="14">
        <v>45605</v>
      </c>
      <c r="C1435" s="13" t="s">
        <v>1925</v>
      </c>
      <c r="D1435" s="13" t="s">
        <v>502</v>
      </c>
      <c r="E1435" s="13" t="s">
        <v>204</v>
      </c>
      <c r="F1435" s="15">
        <v>8</v>
      </c>
      <c r="G1435" s="15">
        <v>1090</v>
      </c>
      <c r="H1435" s="15">
        <v>21.7</v>
      </c>
      <c r="I1435" s="15">
        <v>6827.76</v>
      </c>
      <c r="J1435" s="13" t="s">
        <v>87</v>
      </c>
      <c r="K1435" s="13" t="s">
        <v>88</v>
      </c>
      <c r="L1435">
        <f>IF(COUNTIF(A$2:A1435, A1435)=1, IF(COUNTIF(A$2:A$2001, A1435)&gt;1, 1, 0), 0)</f>
        <v>0</v>
      </c>
      <c r="M1435" t="b">
        <f>VLOOKUP(D1435, Products!A$2:F$61, 6, FALSE)</f>
        <v>1</v>
      </c>
      <c r="N1435" t="str">
        <f>VLOOKUP(D1435, Products!A$2:C$61, 3, FALSE)</f>
        <v>Home</v>
      </c>
      <c r="O1435" t="e">
        <f>VLOOKUP(C1435, Customers!A$2:E$301, 5, FALSE)</f>
        <v>#N/A</v>
      </c>
      <c r="P1435" t="e">
        <f>VLOOKUP(C1435, Customers!A$2:C$301, 3, FALSE)</f>
        <v>#N/A</v>
      </c>
      <c r="Q1435" t="str">
        <f>VLOOKUP(E1435, Sales_Reps!A$2:C$31, 3, FALSE)</f>
        <v>South</v>
      </c>
      <c r="R1435">
        <f>VLOOKUP(D1435, Products!A$2:D$61, 4, FALSE)</f>
        <v>464</v>
      </c>
    </row>
    <row r="1436" spans="1:18" x14ac:dyDescent="0.3">
      <c r="A1436" s="13" t="s">
        <v>1926</v>
      </c>
      <c r="B1436" s="14">
        <v>45598</v>
      </c>
      <c r="C1436" s="13" t="s">
        <v>841</v>
      </c>
      <c r="D1436" s="13" t="s">
        <v>659</v>
      </c>
      <c r="E1436" s="13" t="s">
        <v>297</v>
      </c>
      <c r="F1436" s="15">
        <v>5</v>
      </c>
      <c r="G1436" s="15">
        <v>3560</v>
      </c>
      <c r="H1436" s="15">
        <v>19.399999999999999</v>
      </c>
      <c r="I1436" s="15">
        <v>14346.8</v>
      </c>
      <c r="J1436" s="13" t="s">
        <v>93</v>
      </c>
      <c r="K1436" s="13" t="s">
        <v>117</v>
      </c>
      <c r="L1436">
        <f>IF(COUNTIF(A$2:A1436, A1436)=1, IF(COUNTIF(A$2:A$2001, A1436)&gt;1, 1, 0), 0)</f>
        <v>0</v>
      </c>
      <c r="M1436" t="b">
        <f>VLOOKUP(D1436, Products!A$2:F$61, 6, FALSE)</f>
        <v>1</v>
      </c>
      <c r="N1436" t="str">
        <f>VLOOKUP(D1436, Products!A$2:C$61, 3, FALSE)</f>
        <v>Apparel</v>
      </c>
      <c r="O1436" t="str">
        <f>VLOOKUP(C1436, Customers!A$2:E$301, 5, FALSE)</f>
        <v>Corporate</v>
      </c>
      <c r="P1436">
        <f>VLOOKUP(C1436, Customers!A$2:C$301, 3, FALSE)</f>
        <v>41</v>
      </c>
      <c r="Q1436" t="str">
        <f>VLOOKUP(E1436, Sales_Reps!A$2:C$31, 3, FALSE)</f>
        <v>North</v>
      </c>
      <c r="R1436">
        <f>VLOOKUP(D1436, Products!A$2:D$61, 4, FALSE)</f>
        <v>2629</v>
      </c>
    </row>
    <row r="1437" spans="1:18" x14ac:dyDescent="0.3">
      <c r="A1437" s="13" t="s">
        <v>1927</v>
      </c>
      <c r="B1437" s="14">
        <v>45452</v>
      </c>
      <c r="C1437" s="13" t="s">
        <v>1172</v>
      </c>
      <c r="D1437" s="13" t="s">
        <v>182</v>
      </c>
      <c r="E1437" s="13" t="s">
        <v>128</v>
      </c>
      <c r="F1437" s="15">
        <v>7</v>
      </c>
      <c r="G1437" s="15">
        <v>1010</v>
      </c>
      <c r="H1437" s="15">
        <v>28.2</v>
      </c>
      <c r="I1437" s="15">
        <v>5076.26</v>
      </c>
      <c r="J1437" s="13" t="s">
        <v>87</v>
      </c>
      <c r="K1437" s="13" t="s">
        <v>88</v>
      </c>
      <c r="L1437">
        <f>IF(COUNTIF(A$2:A1437, A1437)=1, IF(COUNTIF(A$2:A$2001, A1437)&gt;1, 1, 0), 0)</f>
        <v>0</v>
      </c>
      <c r="M1437" t="b">
        <f>VLOOKUP(D1437, Products!A$2:F$61, 6, FALSE)</f>
        <v>1</v>
      </c>
      <c r="N1437" t="str">
        <f>VLOOKUP(D1437, Products!A$2:C$61, 3, FALSE)</f>
        <v>Sports</v>
      </c>
      <c r="O1437" t="str">
        <f>VLOOKUP(C1437, Customers!A$2:E$301, 5, FALSE)</f>
        <v>Retail</v>
      </c>
      <c r="P1437">
        <f>VLOOKUP(C1437, Customers!A$2:C$301, 3, FALSE)</f>
        <v>39</v>
      </c>
      <c r="Q1437" t="str">
        <f>VLOOKUP(E1437, Sales_Reps!A$2:C$31, 3, FALSE)</f>
        <v>West</v>
      </c>
      <c r="R1437">
        <f>VLOOKUP(D1437, Products!A$2:D$61, 4, FALSE)</f>
        <v>516</v>
      </c>
    </row>
    <row r="1438" spans="1:18" x14ac:dyDescent="0.3">
      <c r="A1438" s="13" t="s">
        <v>1928</v>
      </c>
      <c r="B1438" s="14">
        <v>45470</v>
      </c>
      <c r="C1438" s="13" t="s">
        <v>712</v>
      </c>
      <c r="D1438" s="13" t="s">
        <v>295</v>
      </c>
      <c r="E1438" s="13" t="s">
        <v>188</v>
      </c>
      <c r="F1438" s="15">
        <v>2</v>
      </c>
      <c r="G1438" s="15">
        <v>2030</v>
      </c>
      <c r="H1438" s="15">
        <v>27.3</v>
      </c>
      <c r="I1438" s="15">
        <v>2951.62</v>
      </c>
      <c r="J1438" s="13" t="s">
        <v>144</v>
      </c>
      <c r="K1438" s="13" t="s">
        <v>112</v>
      </c>
      <c r="L1438">
        <f>IF(COUNTIF(A$2:A1438, A1438)=1, IF(COUNTIF(A$2:A$2001, A1438)&gt;1, 1, 0), 0)</f>
        <v>0</v>
      </c>
      <c r="M1438" t="b">
        <f>VLOOKUP(D1438, Products!A$2:F$61, 6, FALSE)</f>
        <v>1</v>
      </c>
      <c r="N1438" t="str">
        <f>VLOOKUP(D1438, Products!A$2:C$61, 3, FALSE)</f>
        <v>Home</v>
      </c>
      <c r="O1438" t="str">
        <f>VLOOKUP(C1438, Customers!A$2:E$301, 5, FALSE)</f>
        <v>Corporate</v>
      </c>
      <c r="P1438">
        <f>VLOOKUP(C1438, Customers!A$2:C$301, 3, FALSE)</f>
        <v>51</v>
      </c>
      <c r="Q1438" t="str">
        <f>VLOOKUP(E1438, Sales_Reps!A$2:C$31, 3, FALSE)</f>
        <v>South</v>
      </c>
      <c r="R1438">
        <f>VLOOKUP(D1438, Products!A$2:D$61, 4, FALSE)</f>
        <v>1143</v>
      </c>
    </row>
    <row r="1439" spans="1:18" x14ac:dyDescent="0.3">
      <c r="A1439" s="13" t="s">
        <v>1929</v>
      </c>
      <c r="B1439" s="14">
        <v>45350</v>
      </c>
      <c r="C1439" s="13" t="s">
        <v>210</v>
      </c>
      <c r="D1439" s="13" t="s">
        <v>364</v>
      </c>
      <c r="E1439" s="13" t="s">
        <v>325</v>
      </c>
      <c r="F1439" s="15">
        <v>6</v>
      </c>
      <c r="G1439" s="15">
        <v>5330</v>
      </c>
      <c r="H1439" s="15">
        <v>0.6</v>
      </c>
      <c r="I1439" s="15">
        <v>31788.12</v>
      </c>
      <c r="J1439" s="13" t="s">
        <v>87</v>
      </c>
      <c r="K1439" s="13" t="s">
        <v>99</v>
      </c>
      <c r="L1439">
        <f>IF(COUNTIF(A$2:A1439, A1439)=1, IF(COUNTIF(A$2:A$2001, A1439)&gt;1, 1, 0), 0)</f>
        <v>0</v>
      </c>
      <c r="M1439" t="b">
        <f>VLOOKUP(D1439, Products!A$2:F$61, 6, FALSE)</f>
        <v>1</v>
      </c>
      <c r="N1439" t="str">
        <f>VLOOKUP(D1439, Products!A$2:C$61, 3, FALSE)</f>
        <v>Electronics</v>
      </c>
      <c r="O1439" t="str">
        <f>VLOOKUP(C1439, Customers!A$2:E$301, 5, FALSE)</f>
        <v>Retail</v>
      </c>
      <c r="P1439">
        <f>VLOOKUP(C1439, Customers!A$2:C$301, 3, FALSE)</f>
        <v>41</v>
      </c>
      <c r="Q1439" t="str">
        <f>VLOOKUP(E1439, Sales_Reps!A$2:C$31, 3, FALSE)</f>
        <v>South</v>
      </c>
      <c r="R1439">
        <f>VLOOKUP(D1439, Products!A$2:D$61, 4, FALSE)</f>
        <v>2405</v>
      </c>
    </row>
    <row r="1440" spans="1:18" x14ac:dyDescent="0.3">
      <c r="A1440" s="13" t="s">
        <v>1930</v>
      </c>
      <c r="B1440" s="14">
        <v>45514</v>
      </c>
      <c r="C1440" s="13" t="s">
        <v>310</v>
      </c>
      <c r="D1440" s="13" t="s">
        <v>135</v>
      </c>
      <c r="E1440" s="13" t="s">
        <v>86</v>
      </c>
      <c r="F1440" s="15">
        <v>2</v>
      </c>
      <c r="G1440" s="15">
        <v>2640</v>
      </c>
      <c r="H1440" s="15">
        <v>26</v>
      </c>
      <c r="I1440" s="15">
        <v>3907.2</v>
      </c>
      <c r="J1440" s="13" t="s">
        <v>93</v>
      </c>
      <c r="K1440" s="13" t="s">
        <v>117</v>
      </c>
      <c r="L1440">
        <f>IF(COUNTIF(A$2:A1440, A1440)=1, IF(COUNTIF(A$2:A$2001, A1440)&gt;1, 1, 0), 0)</f>
        <v>0</v>
      </c>
      <c r="M1440" t="b">
        <f>VLOOKUP(D1440, Products!A$2:F$61, 6, FALSE)</f>
        <v>1</v>
      </c>
      <c r="N1440" t="str">
        <f>VLOOKUP(D1440, Products!A$2:C$61, 3, FALSE)</f>
        <v>Electronics</v>
      </c>
      <c r="O1440" t="str">
        <f>VLOOKUP(C1440, Customers!A$2:E$301, 5, FALSE)</f>
        <v>Retail</v>
      </c>
      <c r="P1440">
        <f>VLOOKUP(C1440, Customers!A$2:C$301, 3, FALSE)</f>
        <v>42</v>
      </c>
      <c r="Q1440" t="str">
        <f>VLOOKUP(E1440, Sales_Reps!A$2:C$31, 3, FALSE)</f>
        <v>North</v>
      </c>
      <c r="R1440">
        <f>VLOOKUP(D1440, Products!A$2:D$61, 4, FALSE)</f>
        <v>1149</v>
      </c>
    </row>
    <row r="1441" spans="1:18" x14ac:dyDescent="0.3">
      <c r="A1441" s="13" t="s">
        <v>1931</v>
      </c>
      <c r="B1441" s="14">
        <v>45447</v>
      </c>
      <c r="C1441" s="13" t="s">
        <v>350</v>
      </c>
      <c r="D1441" s="13" t="s">
        <v>279</v>
      </c>
      <c r="E1441" s="13" t="s">
        <v>325</v>
      </c>
      <c r="F1441" s="15">
        <v>8</v>
      </c>
      <c r="G1441" s="15">
        <v>2660</v>
      </c>
      <c r="H1441" s="15">
        <v>2.9</v>
      </c>
      <c r="I1441" s="15">
        <v>20662.88</v>
      </c>
      <c r="J1441" s="13" t="s">
        <v>87</v>
      </c>
      <c r="K1441" s="13" t="s">
        <v>112</v>
      </c>
      <c r="L1441">
        <f>IF(COUNTIF(A$2:A1441, A1441)=1, IF(COUNTIF(A$2:A$2001, A1441)&gt;1, 1, 0), 0)</f>
        <v>0</v>
      </c>
      <c r="M1441" t="b">
        <f>VLOOKUP(D1441, Products!A$2:F$61, 6, FALSE)</f>
        <v>0</v>
      </c>
      <c r="N1441" t="str">
        <f>VLOOKUP(D1441, Products!A$2:C$61, 3, FALSE)</f>
        <v>Electronics</v>
      </c>
      <c r="O1441" t="str">
        <f>VLOOKUP(C1441, Customers!A$2:E$301, 5, FALSE)</f>
        <v>SMB</v>
      </c>
      <c r="P1441">
        <f>VLOOKUP(C1441, Customers!A$2:C$301, 3, FALSE)</f>
        <v>22</v>
      </c>
      <c r="Q1441" t="str">
        <f>VLOOKUP(E1441, Sales_Reps!A$2:C$31, 3, FALSE)</f>
        <v>South</v>
      </c>
      <c r="R1441">
        <f>VLOOKUP(D1441, Products!A$2:D$61, 4, FALSE)</f>
        <v>1259</v>
      </c>
    </row>
    <row r="1442" spans="1:18" x14ac:dyDescent="0.3">
      <c r="A1442" s="13" t="s">
        <v>1932</v>
      </c>
      <c r="B1442" s="14">
        <v>45390</v>
      </c>
      <c r="C1442" s="13" t="s">
        <v>1072</v>
      </c>
      <c r="D1442" s="13" t="s">
        <v>143</v>
      </c>
      <c r="E1442" s="13" t="s">
        <v>154</v>
      </c>
      <c r="F1442" s="15">
        <v>6</v>
      </c>
      <c r="G1442" s="15">
        <v>3250</v>
      </c>
      <c r="H1442" s="15">
        <v>11.1</v>
      </c>
      <c r="I1442" s="15">
        <v>17335.5</v>
      </c>
      <c r="J1442" s="13" t="s">
        <v>87</v>
      </c>
      <c r="K1442" s="13" t="s">
        <v>112</v>
      </c>
      <c r="L1442">
        <f>IF(COUNTIF(A$2:A1442, A1442)=1, IF(COUNTIF(A$2:A$2001, A1442)&gt;1, 1, 0), 0)</f>
        <v>0</v>
      </c>
      <c r="M1442" t="b">
        <f>VLOOKUP(D1442, Products!A$2:F$61, 6, FALSE)</f>
        <v>1</v>
      </c>
      <c r="N1442" t="str">
        <f>VLOOKUP(D1442, Products!A$2:C$61, 3, FALSE)</f>
        <v>Home</v>
      </c>
      <c r="O1442" t="str">
        <f>VLOOKUP(C1442, Customers!A$2:E$301, 5, FALSE)</f>
        <v>SMB</v>
      </c>
      <c r="P1442">
        <f>VLOOKUP(C1442, Customers!A$2:C$301, 3, FALSE)</f>
        <v>53</v>
      </c>
      <c r="Q1442" t="str">
        <f>VLOOKUP(E1442, Sales_Reps!A$2:C$31, 3, FALSE)</f>
        <v>East</v>
      </c>
      <c r="R1442">
        <f>VLOOKUP(D1442, Products!A$2:D$61, 4, FALSE)</f>
        <v>1556</v>
      </c>
    </row>
    <row r="1443" spans="1:18" x14ac:dyDescent="0.3">
      <c r="A1443" s="13" t="s">
        <v>1933</v>
      </c>
      <c r="B1443" s="14">
        <v>45307</v>
      </c>
      <c r="C1443" s="13" t="s">
        <v>281</v>
      </c>
      <c r="D1443" s="13" t="s">
        <v>338</v>
      </c>
      <c r="E1443" s="13" t="s">
        <v>139</v>
      </c>
      <c r="F1443" s="15">
        <v>1</v>
      </c>
      <c r="G1443" s="15">
        <v>2210</v>
      </c>
      <c r="H1443" s="15">
        <v>3.5</v>
      </c>
      <c r="I1443" s="15">
        <v>2132.65</v>
      </c>
      <c r="J1443" s="13" t="s">
        <v>87</v>
      </c>
      <c r="K1443" s="13" t="s">
        <v>88</v>
      </c>
      <c r="L1443">
        <f>IF(COUNTIF(A$2:A1443, A1443)=1, IF(COUNTIF(A$2:A$2001, A1443)&gt;1, 1, 0), 0)</f>
        <v>0</v>
      </c>
      <c r="M1443" t="b">
        <f>VLOOKUP(D1443, Products!A$2:F$61, 6, FALSE)</f>
        <v>1</v>
      </c>
      <c r="N1443" t="str">
        <f>VLOOKUP(D1443, Products!A$2:C$61, 3, FALSE)</f>
        <v>Grocery</v>
      </c>
      <c r="O1443" t="str">
        <f>VLOOKUP(C1443, Customers!A$2:E$301, 5, FALSE)</f>
        <v>Retail</v>
      </c>
      <c r="P1443">
        <f>VLOOKUP(C1443, Customers!A$2:C$301, 3, FALSE)</f>
        <v>25</v>
      </c>
      <c r="Q1443" t="str">
        <f>VLOOKUP(E1443, Sales_Reps!A$2:C$31, 3, FALSE)</f>
        <v>North</v>
      </c>
      <c r="R1443">
        <f>VLOOKUP(D1443, Products!A$2:D$61, 4, FALSE)</f>
        <v>1010</v>
      </c>
    </row>
    <row r="1444" spans="1:18" x14ac:dyDescent="0.3">
      <c r="A1444" s="13" t="s">
        <v>1934</v>
      </c>
      <c r="B1444" s="14">
        <v>45432</v>
      </c>
      <c r="C1444" s="13" t="s">
        <v>493</v>
      </c>
      <c r="D1444" s="13" t="s">
        <v>110</v>
      </c>
      <c r="E1444" s="13" t="s">
        <v>121</v>
      </c>
      <c r="F1444" s="15">
        <v>9</v>
      </c>
      <c r="G1444" s="15">
        <v>370</v>
      </c>
      <c r="H1444" s="15">
        <v>12.4</v>
      </c>
      <c r="I1444" s="15">
        <v>2917.08</v>
      </c>
      <c r="J1444" s="13" t="s">
        <v>87</v>
      </c>
      <c r="K1444" s="13" t="s">
        <v>88</v>
      </c>
      <c r="L1444">
        <f>IF(COUNTIF(A$2:A1444, A1444)=1, IF(COUNTIF(A$2:A$2001, A1444)&gt;1, 1, 0), 0)</f>
        <v>0</v>
      </c>
      <c r="M1444" t="b">
        <f>VLOOKUP(D1444, Products!A$2:F$61, 6, FALSE)</f>
        <v>1</v>
      </c>
      <c r="N1444" t="str">
        <f>VLOOKUP(D1444, Products!A$2:C$61, 3, FALSE)</f>
        <v>Home</v>
      </c>
      <c r="O1444" t="str">
        <f>VLOOKUP(C1444, Customers!A$2:E$301, 5, FALSE)</f>
        <v>Retail</v>
      </c>
      <c r="P1444">
        <f>VLOOKUP(C1444, Customers!A$2:C$301, 3, FALSE)</f>
        <v>57</v>
      </c>
      <c r="Q1444" t="str">
        <f>VLOOKUP(E1444, Sales_Reps!A$2:C$31, 3, FALSE)</f>
        <v>East</v>
      </c>
      <c r="R1444">
        <f>VLOOKUP(D1444, Products!A$2:D$61, 4, FALSE)</f>
        <v>288</v>
      </c>
    </row>
    <row r="1445" spans="1:18" x14ac:dyDescent="0.3">
      <c r="A1445" s="13" t="s">
        <v>1935</v>
      </c>
      <c r="B1445" s="14">
        <v>45453</v>
      </c>
      <c r="C1445" s="13" t="s">
        <v>717</v>
      </c>
      <c r="D1445" s="13" t="s">
        <v>461</v>
      </c>
      <c r="E1445" s="13" t="s">
        <v>285</v>
      </c>
      <c r="F1445" s="15">
        <v>3</v>
      </c>
      <c r="G1445" s="15">
        <v>3780</v>
      </c>
      <c r="H1445" s="15">
        <v>8.5</v>
      </c>
      <c r="I1445" s="15">
        <v>10376.1</v>
      </c>
      <c r="J1445" s="13" t="s">
        <v>93</v>
      </c>
      <c r="K1445" s="13" t="s">
        <v>94</v>
      </c>
      <c r="L1445">
        <f>IF(COUNTIF(A$2:A1445, A1445)=1, IF(COUNTIF(A$2:A$2001, A1445)&gt;1, 1, 0), 0)</f>
        <v>0</v>
      </c>
      <c r="M1445" t="b">
        <f>VLOOKUP(D1445, Products!A$2:F$61, 6, FALSE)</f>
        <v>1</v>
      </c>
      <c r="N1445" t="str">
        <f>VLOOKUP(D1445, Products!A$2:C$61, 3, FALSE)</f>
        <v>Sports</v>
      </c>
      <c r="O1445" t="str">
        <f>VLOOKUP(C1445, Customers!A$2:E$301, 5, FALSE)</f>
        <v>Retail</v>
      </c>
      <c r="P1445">
        <f>VLOOKUP(C1445, Customers!A$2:C$301, 3, FALSE)</f>
        <v>24</v>
      </c>
      <c r="Q1445" t="str">
        <f>VLOOKUP(E1445, Sales_Reps!A$2:C$31, 3, FALSE)</f>
        <v>East</v>
      </c>
      <c r="R1445">
        <f>VLOOKUP(D1445, Products!A$2:D$61, 4, FALSE)</f>
        <v>1860</v>
      </c>
    </row>
    <row r="1446" spans="1:18" x14ac:dyDescent="0.3">
      <c r="A1446" s="13" t="s">
        <v>423</v>
      </c>
      <c r="B1446" s="14">
        <v>45397</v>
      </c>
      <c r="C1446" s="13" t="s">
        <v>418</v>
      </c>
      <c r="D1446" s="13" t="s">
        <v>182</v>
      </c>
      <c r="E1446" s="13" t="s">
        <v>297</v>
      </c>
      <c r="F1446" s="15">
        <v>2</v>
      </c>
      <c r="G1446" s="15">
        <v>1010</v>
      </c>
      <c r="H1446" s="15">
        <v>2.7</v>
      </c>
      <c r="I1446" s="15">
        <v>1965.46</v>
      </c>
      <c r="J1446" s="13" t="s">
        <v>87</v>
      </c>
      <c r="K1446" s="13" t="s">
        <v>133</v>
      </c>
      <c r="L1446">
        <f>IF(COUNTIF(A$2:A1446, A1446)=1, IF(COUNTIF(A$2:A$2001, A1446)&gt;1, 1, 0), 0)</f>
        <v>0</v>
      </c>
      <c r="M1446" t="b">
        <f>VLOOKUP(D1446, Products!A$2:F$61, 6, FALSE)</f>
        <v>1</v>
      </c>
      <c r="N1446" t="str">
        <f>VLOOKUP(D1446, Products!A$2:C$61, 3, FALSE)</f>
        <v>Sports</v>
      </c>
      <c r="O1446" t="str">
        <f>VLOOKUP(C1446, Customers!A$2:E$301, 5, FALSE)</f>
        <v>Retail</v>
      </c>
      <c r="P1446">
        <f>VLOOKUP(C1446, Customers!A$2:C$301, 3, FALSE)</f>
        <v>22</v>
      </c>
      <c r="Q1446" t="str">
        <f>VLOOKUP(E1446, Sales_Reps!A$2:C$31, 3, FALSE)</f>
        <v>North</v>
      </c>
      <c r="R1446">
        <f>VLOOKUP(D1446, Products!A$2:D$61, 4, FALSE)</f>
        <v>516</v>
      </c>
    </row>
    <row r="1447" spans="1:18" x14ac:dyDescent="0.3">
      <c r="A1447" s="13" t="s">
        <v>1936</v>
      </c>
      <c r="B1447" s="14">
        <v>45639</v>
      </c>
      <c r="C1447" s="13" t="s">
        <v>990</v>
      </c>
      <c r="D1447" s="13" t="s">
        <v>91</v>
      </c>
      <c r="E1447" s="13" t="s">
        <v>325</v>
      </c>
      <c r="F1447" s="15">
        <v>2</v>
      </c>
      <c r="G1447" s="15">
        <v>820</v>
      </c>
      <c r="H1447" s="15">
        <v>13.2</v>
      </c>
      <c r="I1447" s="15">
        <v>1423.52</v>
      </c>
      <c r="J1447" s="13" t="s">
        <v>93</v>
      </c>
      <c r="K1447" s="13" t="s">
        <v>117</v>
      </c>
      <c r="L1447">
        <f>IF(COUNTIF(A$2:A1447, A1447)=1, IF(COUNTIF(A$2:A$2001, A1447)&gt;1, 1, 0), 0)</f>
        <v>0</v>
      </c>
      <c r="M1447" t="b">
        <f>VLOOKUP(D1447, Products!A$2:F$61, 6, FALSE)</f>
        <v>1</v>
      </c>
      <c r="N1447" t="str">
        <f>VLOOKUP(D1447, Products!A$2:C$61, 3, FALSE)</f>
        <v>Apparel</v>
      </c>
      <c r="O1447" t="str">
        <f>VLOOKUP(C1447, Customers!A$2:E$301, 5, FALSE)</f>
        <v>Retail</v>
      </c>
      <c r="P1447">
        <f>VLOOKUP(C1447, Customers!A$2:C$301, 3, FALSE)</f>
        <v>61</v>
      </c>
      <c r="Q1447" t="str">
        <f>VLOOKUP(E1447, Sales_Reps!A$2:C$31, 3, FALSE)</f>
        <v>South</v>
      </c>
      <c r="R1447">
        <f>VLOOKUP(D1447, Products!A$2:D$61, 4, FALSE)</f>
        <v>391</v>
      </c>
    </row>
    <row r="1448" spans="1:18" x14ac:dyDescent="0.3">
      <c r="A1448" s="13" t="s">
        <v>1937</v>
      </c>
      <c r="B1448" s="14">
        <v>45482</v>
      </c>
      <c r="C1448" s="13" t="s">
        <v>233</v>
      </c>
      <c r="D1448" s="13" t="s">
        <v>102</v>
      </c>
      <c r="E1448" s="13" t="s">
        <v>325</v>
      </c>
      <c r="F1448" s="15">
        <v>1</v>
      </c>
      <c r="G1448" s="15">
        <v>3660</v>
      </c>
      <c r="H1448" s="15">
        <v>14</v>
      </c>
      <c r="I1448" s="15">
        <v>3147.6</v>
      </c>
      <c r="J1448" s="13" t="s">
        <v>144</v>
      </c>
      <c r="K1448" s="13" t="s">
        <v>88</v>
      </c>
      <c r="L1448">
        <f>IF(COUNTIF(A$2:A1448, A1448)=1, IF(COUNTIF(A$2:A$2001, A1448)&gt;1, 1, 0), 0)</f>
        <v>0</v>
      </c>
      <c r="M1448" t="b">
        <f>VLOOKUP(D1448, Products!A$2:F$61, 6, FALSE)</f>
        <v>0</v>
      </c>
      <c r="N1448" t="str">
        <f>VLOOKUP(D1448, Products!A$2:C$61, 3, FALSE)</f>
        <v>Grocery</v>
      </c>
      <c r="O1448" t="str">
        <f>VLOOKUP(C1448, Customers!A$2:E$301, 5, FALSE)</f>
        <v>SMB</v>
      </c>
      <c r="P1448">
        <f>VLOOKUP(C1448, Customers!A$2:C$301, 3, FALSE)</f>
        <v>29</v>
      </c>
      <c r="Q1448" t="str">
        <f>VLOOKUP(E1448, Sales_Reps!A$2:C$31, 3, FALSE)</f>
        <v>South</v>
      </c>
      <c r="R1448">
        <f>VLOOKUP(D1448, Products!A$2:D$61, 4, FALSE)</f>
        <v>2214</v>
      </c>
    </row>
    <row r="1449" spans="1:18" x14ac:dyDescent="0.3">
      <c r="A1449" s="13" t="s">
        <v>1938</v>
      </c>
      <c r="B1449" s="14">
        <v>45447</v>
      </c>
      <c r="C1449" s="13" t="s">
        <v>225</v>
      </c>
      <c r="D1449" s="13" t="s">
        <v>245</v>
      </c>
      <c r="E1449" s="13" t="s">
        <v>238</v>
      </c>
      <c r="F1449" s="15">
        <v>6</v>
      </c>
      <c r="G1449" s="15">
        <v>2270</v>
      </c>
      <c r="H1449" s="15">
        <v>16</v>
      </c>
      <c r="I1449" s="15">
        <v>11440.8</v>
      </c>
      <c r="J1449" s="13" t="s">
        <v>87</v>
      </c>
      <c r="K1449" s="13" t="s">
        <v>94</v>
      </c>
      <c r="L1449">
        <f>IF(COUNTIF(A$2:A1449, A1449)=1, IF(COUNTIF(A$2:A$2001, A1449)&gt;1, 1, 0), 0)</f>
        <v>0</v>
      </c>
      <c r="M1449" t="b">
        <f>VLOOKUP(D1449, Products!A$2:F$61, 6, FALSE)</f>
        <v>1</v>
      </c>
      <c r="N1449" t="str">
        <f>VLOOKUP(D1449, Products!A$2:C$61, 3, FALSE)</f>
        <v>Grocery</v>
      </c>
      <c r="O1449" t="str">
        <f>VLOOKUP(C1449, Customers!A$2:E$301, 5, FALSE)</f>
        <v>Retail</v>
      </c>
      <c r="P1449">
        <f>VLOOKUP(C1449, Customers!A$2:C$301, 3, FALSE)</f>
        <v>37</v>
      </c>
      <c r="Q1449" t="str">
        <f>VLOOKUP(E1449, Sales_Reps!A$2:C$31, 3, FALSE)</f>
        <v>East</v>
      </c>
      <c r="R1449">
        <f>VLOOKUP(D1449, Products!A$2:D$61, 4, FALSE)</f>
        <v>1412</v>
      </c>
    </row>
    <row r="1450" spans="1:18" x14ac:dyDescent="0.3">
      <c r="A1450" s="13" t="s">
        <v>1939</v>
      </c>
      <c r="B1450" s="14">
        <v>45598</v>
      </c>
      <c r="C1450" s="13" t="s">
        <v>447</v>
      </c>
      <c r="D1450" s="13" t="s">
        <v>380</v>
      </c>
      <c r="E1450" s="13" t="s">
        <v>121</v>
      </c>
      <c r="F1450" s="15">
        <v>7</v>
      </c>
      <c r="G1450" s="15">
        <v>960</v>
      </c>
      <c r="H1450" s="15">
        <v>28.8</v>
      </c>
      <c r="I1450" s="15">
        <v>4784.6400000000003</v>
      </c>
      <c r="J1450" s="13" t="s">
        <v>144</v>
      </c>
      <c r="K1450" s="13" t="s">
        <v>112</v>
      </c>
      <c r="L1450">
        <f>IF(COUNTIF(A$2:A1450, A1450)=1, IF(COUNTIF(A$2:A$2001, A1450)&gt;1, 1, 0), 0)</f>
        <v>0</v>
      </c>
      <c r="M1450" t="b">
        <f>VLOOKUP(D1450, Products!A$2:F$61, 6, FALSE)</f>
        <v>1</v>
      </c>
      <c r="N1450" t="str">
        <f>VLOOKUP(D1450, Products!A$2:C$61, 3, FALSE)</f>
        <v>Beauty</v>
      </c>
      <c r="O1450" t="str">
        <f>VLOOKUP(C1450, Customers!A$2:E$301, 5, FALSE)</f>
        <v>Retail</v>
      </c>
      <c r="P1450">
        <f>VLOOKUP(C1450, Customers!A$2:C$301, 3, FALSE)</f>
        <v>41</v>
      </c>
      <c r="Q1450" t="str">
        <f>VLOOKUP(E1450, Sales_Reps!A$2:C$31, 3, FALSE)</f>
        <v>East</v>
      </c>
      <c r="R1450">
        <f>VLOOKUP(D1450, Products!A$2:D$61, 4, FALSE)</f>
        <v>675</v>
      </c>
    </row>
    <row r="1451" spans="1:18" x14ac:dyDescent="0.3">
      <c r="A1451" s="13" t="s">
        <v>1940</v>
      </c>
      <c r="B1451" s="14">
        <v>45645</v>
      </c>
      <c r="C1451" s="13" t="s">
        <v>407</v>
      </c>
      <c r="D1451" s="13" t="s">
        <v>295</v>
      </c>
      <c r="E1451" s="13" t="s">
        <v>111</v>
      </c>
      <c r="F1451" s="15">
        <v>9</v>
      </c>
      <c r="G1451" s="15">
        <v>2030</v>
      </c>
      <c r="H1451" s="15">
        <v>3.4</v>
      </c>
      <c r="I1451" s="15">
        <v>17648.82</v>
      </c>
      <c r="J1451" s="13" t="s">
        <v>87</v>
      </c>
      <c r="K1451" s="13" t="s">
        <v>88</v>
      </c>
      <c r="L1451">
        <f>IF(COUNTIF(A$2:A1451, A1451)=1, IF(COUNTIF(A$2:A$2001, A1451)&gt;1, 1, 0), 0)</f>
        <v>0</v>
      </c>
      <c r="M1451" t="b">
        <f>VLOOKUP(D1451, Products!A$2:F$61, 6, FALSE)</f>
        <v>1</v>
      </c>
      <c r="N1451" t="str">
        <f>VLOOKUP(D1451, Products!A$2:C$61, 3, FALSE)</f>
        <v>Home</v>
      </c>
      <c r="O1451" t="str">
        <f>VLOOKUP(C1451, Customers!A$2:E$301, 5, FALSE)</f>
        <v>SMB</v>
      </c>
      <c r="P1451">
        <f>VLOOKUP(C1451, Customers!A$2:C$301, 3, FALSE)</f>
        <v>53</v>
      </c>
      <c r="Q1451" t="str">
        <f>VLOOKUP(E1451, Sales_Reps!A$2:C$31, 3, FALSE)</f>
        <v>West</v>
      </c>
      <c r="R1451">
        <f>VLOOKUP(D1451, Products!A$2:D$61, 4, FALSE)</f>
        <v>1143</v>
      </c>
    </row>
    <row r="1452" spans="1:18" x14ac:dyDescent="0.3">
      <c r="A1452" s="13" t="s">
        <v>1941</v>
      </c>
      <c r="B1452" s="14">
        <v>45299</v>
      </c>
      <c r="C1452" s="13" t="s">
        <v>1016</v>
      </c>
      <c r="D1452" s="13" t="s">
        <v>367</v>
      </c>
      <c r="E1452" s="13" t="s">
        <v>92</v>
      </c>
      <c r="F1452" s="15">
        <v>6</v>
      </c>
      <c r="G1452" s="15">
        <v>2380</v>
      </c>
      <c r="H1452" s="15">
        <v>13.2</v>
      </c>
      <c r="I1452" s="15">
        <v>12395.04</v>
      </c>
      <c r="J1452" s="13" t="s">
        <v>87</v>
      </c>
      <c r="K1452" s="13" t="s">
        <v>117</v>
      </c>
      <c r="L1452">
        <f>IF(COUNTIF(A$2:A1452, A1452)=1, IF(COUNTIF(A$2:A$2001, A1452)&gt;1, 1, 0), 0)</f>
        <v>0</v>
      </c>
      <c r="M1452" t="b">
        <f>VLOOKUP(D1452, Products!A$2:F$61, 6, FALSE)</f>
        <v>1</v>
      </c>
      <c r="N1452" t="str">
        <f>VLOOKUP(D1452, Products!A$2:C$61, 3, FALSE)</f>
        <v>Grocery</v>
      </c>
      <c r="O1452" t="str">
        <f>VLOOKUP(C1452, Customers!A$2:E$301, 5, FALSE)</f>
        <v>SMB</v>
      </c>
      <c r="P1452">
        <f>VLOOKUP(C1452, Customers!A$2:C$301, 3, FALSE)</f>
        <v>49</v>
      </c>
      <c r="Q1452" t="str">
        <f>VLOOKUP(E1452, Sales_Reps!A$2:C$31, 3, FALSE)</f>
        <v>North</v>
      </c>
      <c r="R1452">
        <f>VLOOKUP(D1452, Products!A$2:D$61, 4, FALSE)</f>
        <v>1182</v>
      </c>
    </row>
    <row r="1453" spans="1:18" x14ac:dyDescent="0.3">
      <c r="A1453" s="13" t="s">
        <v>1942</v>
      </c>
      <c r="B1453" s="14">
        <v>45308</v>
      </c>
      <c r="C1453" s="13" t="s">
        <v>401</v>
      </c>
      <c r="D1453" s="13" t="s">
        <v>157</v>
      </c>
      <c r="E1453" s="13" t="s">
        <v>204</v>
      </c>
      <c r="F1453" s="15">
        <v>10</v>
      </c>
      <c r="G1453" s="15">
        <v>3450</v>
      </c>
      <c r="H1453" s="15">
        <v>8.6999999999999993</v>
      </c>
      <c r="I1453" s="15">
        <v>31498.5</v>
      </c>
      <c r="J1453" s="13" t="s">
        <v>87</v>
      </c>
      <c r="K1453" s="13" t="s">
        <v>94</v>
      </c>
      <c r="L1453">
        <f>IF(COUNTIF(A$2:A1453, A1453)=1, IF(COUNTIF(A$2:A$2001, A1453)&gt;1, 1, 0), 0)</f>
        <v>0</v>
      </c>
      <c r="M1453" t="b">
        <f>VLOOKUP(D1453, Products!A$2:F$61, 6, FALSE)</f>
        <v>1</v>
      </c>
      <c r="N1453" t="str">
        <f>VLOOKUP(D1453, Products!A$2:C$61, 3, FALSE)</f>
        <v>Beauty</v>
      </c>
      <c r="O1453" t="str">
        <f>VLOOKUP(C1453, Customers!A$2:E$301, 5, FALSE)</f>
        <v>SMB</v>
      </c>
      <c r="P1453">
        <f>VLOOKUP(C1453, Customers!A$2:C$301, 3, FALSE)</f>
        <v>51</v>
      </c>
      <c r="Q1453" t="str">
        <f>VLOOKUP(E1453, Sales_Reps!A$2:C$31, 3, FALSE)</f>
        <v>South</v>
      </c>
      <c r="R1453">
        <f>VLOOKUP(D1453, Products!A$2:D$61, 4, FALSE)</f>
        <v>2420</v>
      </c>
    </row>
    <row r="1454" spans="1:18" x14ac:dyDescent="0.3">
      <c r="A1454" s="13" t="s">
        <v>1943</v>
      </c>
      <c r="B1454" s="14">
        <v>45487</v>
      </c>
      <c r="C1454" s="13" t="s">
        <v>1623</v>
      </c>
      <c r="D1454" s="13" t="s">
        <v>380</v>
      </c>
      <c r="E1454" s="13" t="s">
        <v>158</v>
      </c>
      <c r="F1454" s="15">
        <v>6</v>
      </c>
      <c r="G1454" s="15">
        <v>960</v>
      </c>
      <c r="H1454" s="15">
        <v>20.6</v>
      </c>
      <c r="I1454" s="15">
        <v>4573.4399999999996</v>
      </c>
      <c r="J1454" s="13" t="s">
        <v>93</v>
      </c>
      <c r="K1454" s="13" t="s">
        <v>117</v>
      </c>
      <c r="L1454">
        <f>IF(COUNTIF(A$2:A1454, A1454)=1, IF(COUNTIF(A$2:A$2001, A1454)&gt;1, 1, 0), 0)</f>
        <v>0</v>
      </c>
      <c r="M1454" t="b">
        <f>VLOOKUP(D1454, Products!A$2:F$61, 6, FALSE)</f>
        <v>1</v>
      </c>
      <c r="N1454" t="str">
        <f>VLOOKUP(D1454, Products!A$2:C$61, 3, FALSE)</f>
        <v>Beauty</v>
      </c>
      <c r="O1454" t="str">
        <f>VLOOKUP(C1454, Customers!A$2:E$301, 5, FALSE)</f>
        <v>Retail</v>
      </c>
      <c r="P1454">
        <f>VLOOKUP(C1454, Customers!A$2:C$301, 3, FALSE)</f>
        <v>53</v>
      </c>
      <c r="Q1454" t="str">
        <f>VLOOKUP(E1454, Sales_Reps!A$2:C$31, 3, FALSE)</f>
        <v>East</v>
      </c>
      <c r="R1454">
        <f>VLOOKUP(D1454, Products!A$2:D$61, 4, FALSE)</f>
        <v>675</v>
      </c>
    </row>
    <row r="1455" spans="1:18" x14ac:dyDescent="0.3">
      <c r="A1455" s="13" t="s">
        <v>1944</v>
      </c>
      <c r="B1455" s="14">
        <v>45341</v>
      </c>
      <c r="C1455" s="13" t="s">
        <v>797</v>
      </c>
      <c r="D1455" s="13" t="s">
        <v>659</v>
      </c>
      <c r="E1455" s="13" t="s">
        <v>252</v>
      </c>
      <c r="F1455" s="15">
        <v>10</v>
      </c>
      <c r="G1455" s="15">
        <v>3560</v>
      </c>
      <c r="H1455" s="15">
        <v>1.4</v>
      </c>
      <c r="I1455" s="15">
        <v>35101.599999999999</v>
      </c>
      <c r="J1455" s="13" t="s">
        <v>93</v>
      </c>
      <c r="K1455" s="13" t="s">
        <v>99</v>
      </c>
      <c r="L1455">
        <f>IF(COUNTIF(A$2:A1455, A1455)=1, IF(COUNTIF(A$2:A$2001, A1455)&gt;1, 1, 0), 0)</f>
        <v>0</v>
      </c>
      <c r="M1455" t="b">
        <f>VLOOKUP(D1455, Products!A$2:F$61, 6, FALSE)</f>
        <v>1</v>
      </c>
      <c r="N1455" t="str">
        <f>VLOOKUP(D1455, Products!A$2:C$61, 3, FALSE)</f>
        <v>Apparel</v>
      </c>
      <c r="O1455" t="str">
        <f>VLOOKUP(C1455, Customers!A$2:E$301, 5, FALSE)</f>
        <v>Retail</v>
      </c>
      <c r="P1455">
        <f>VLOOKUP(C1455, Customers!A$2:C$301, 3, FALSE)</f>
        <v>63</v>
      </c>
      <c r="Q1455" t="str">
        <f>VLOOKUP(E1455, Sales_Reps!A$2:C$31, 3, FALSE)</f>
        <v>South</v>
      </c>
      <c r="R1455">
        <f>VLOOKUP(D1455, Products!A$2:D$61, 4, FALSE)</f>
        <v>2629</v>
      </c>
    </row>
    <row r="1456" spans="1:18" x14ac:dyDescent="0.3">
      <c r="A1456" s="13" t="s">
        <v>1945</v>
      </c>
      <c r="B1456" s="14">
        <v>45354</v>
      </c>
      <c r="C1456" s="13" t="s">
        <v>223</v>
      </c>
      <c r="D1456" s="13" t="s">
        <v>173</v>
      </c>
      <c r="E1456" s="13" t="s">
        <v>98</v>
      </c>
      <c r="F1456" s="15">
        <v>4</v>
      </c>
      <c r="G1456" s="15">
        <v>2720</v>
      </c>
      <c r="H1456" s="15">
        <v>19.399999999999999</v>
      </c>
      <c r="I1456" s="15">
        <v>8769.2800000000007</v>
      </c>
      <c r="J1456" s="13" t="s">
        <v>144</v>
      </c>
      <c r="K1456" s="13" t="s">
        <v>99</v>
      </c>
      <c r="L1456">
        <f>IF(COUNTIF(A$2:A1456, A1456)=1, IF(COUNTIF(A$2:A$2001, A1456)&gt;1, 1, 0), 0)</f>
        <v>0</v>
      </c>
      <c r="M1456" t="b">
        <f>VLOOKUP(D1456, Products!A$2:F$61, 6, FALSE)</f>
        <v>1</v>
      </c>
      <c r="N1456" t="str">
        <f>VLOOKUP(D1456, Products!A$2:C$61, 3, FALSE)</f>
        <v>Apparel</v>
      </c>
      <c r="O1456" t="str">
        <f>VLOOKUP(C1456, Customers!A$2:E$301, 5, FALSE)</f>
        <v>Retail</v>
      </c>
      <c r="P1456">
        <f>VLOOKUP(C1456, Customers!A$2:C$301, 3, FALSE)</f>
        <v>53</v>
      </c>
      <c r="Q1456" t="str">
        <f>VLOOKUP(E1456, Sales_Reps!A$2:C$31, 3, FALSE)</f>
        <v>South</v>
      </c>
      <c r="R1456">
        <f>VLOOKUP(D1456, Products!A$2:D$61, 4, FALSE)</f>
        <v>1962</v>
      </c>
    </row>
    <row r="1457" spans="1:18" x14ac:dyDescent="0.3">
      <c r="A1457" s="13" t="s">
        <v>1946</v>
      </c>
      <c r="B1457" s="14">
        <v>45458</v>
      </c>
      <c r="C1457" s="13" t="s">
        <v>741</v>
      </c>
      <c r="D1457" s="13" t="s">
        <v>267</v>
      </c>
      <c r="E1457" s="13" t="s">
        <v>229</v>
      </c>
      <c r="F1457" s="15">
        <v>5</v>
      </c>
      <c r="G1457" s="15">
        <v>1220</v>
      </c>
      <c r="H1457" s="15">
        <v>15.6</v>
      </c>
      <c r="I1457" s="15">
        <v>5148.3999999999996</v>
      </c>
      <c r="J1457" s="13" t="s">
        <v>87</v>
      </c>
      <c r="K1457" s="13" t="s">
        <v>133</v>
      </c>
      <c r="L1457">
        <f>IF(COUNTIF(A$2:A1457, A1457)=1, IF(COUNTIF(A$2:A$2001, A1457)&gt;1, 1, 0), 0)</f>
        <v>0</v>
      </c>
      <c r="M1457" t="b">
        <f>VLOOKUP(D1457, Products!A$2:F$61, 6, FALSE)</f>
        <v>1</v>
      </c>
      <c r="N1457" t="str">
        <f>VLOOKUP(D1457, Products!A$2:C$61, 3, FALSE)</f>
        <v>Electronics</v>
      </c>
      <c r="O1457" t="str">
        <f>VLOOKUP(C1457, Customers!A$2:E$301, 5, FALSE)</f>
        <v>SMB</v>
      </c>
      <c r="P1457">
        <f>VLOOKUP(C1457, Customers!A$2:C$301, 3, FALSE)</f>
        <v>29</v>
      </c>
      <c r="Q1457" t="str">
        <f>VLOOKUP(E1457, Sales_Reps!A$2:C$31, 3, FALSE)</f>
        <v>West</v>
      </c>
      <c r="R1457">
        <f>VLOOKUP(D1457, Products!A$2:D$61, 4, FALSE)</f>
        <v>517</v>
      </c>
    </row>
    <row r="1458" spans="1:18" x14ac:dyDescent="0.3">
      <c r="A1458" s="13" t="s">
        <v>1947</v>
      </c>
      <c r="B1458" s="14">
        <v>45364</v>
      </c>
      <c r="C1458" s="13" t="s">
        <v>256</v>
      </c>
      <c r="D1458" s="13" t="s">
        <v>502</v>
      </c>
      <c r="E1458" s="13" t="s">
        <v>201</v>
      </c>
      <c r="F1458" s="15">
        <v>5</v>
      </c>
      <c r="G1458" s="15">
        <v>1090</v>
      </c>
      <c r="H1458" s="15">
        <v>15</v>
      </c>
      <c r="I1458" s="15">
        <v>4632.5</v>
      </c>
      <c r="J1458" s="13" t="s">
        <v>87</v>
      </c>
      <c r="K1458" s="13" t="s">
        <v>133</v>
      </c>
      <c r="L1458">
        <f>IF(COUNTIF(A$2:A1458, A1458)=1, IF(COUNTIF(A$2:A$2001, A1458)&gt;1, 1, 0), 0)</f>
        <v>0</v>
      </c>
      <c r="M1458" t="b">
        <f>VLOOKUP(D1458, Products!A$2:F$61, 6, FALSE)</f>
        <v>1</v>
      </c>
      <c r="N1458" t="str">
        <f>VLOOKUP(D1458, Products!A$2:C$61, 3, FALSE)</f>
        <v>Home</v>
      </c>
      <c r="O1458" t="str">
        <f>VLOOKUP(C1458, Customers!A$2:E$301, 5, FALSE)</f>
        <v>Retail</v>
      </c>
      <c r="P1458">
        <f>VLOOKUP(C1458, Customers!A$2:C$301, 3, FALSE)</f>
        <v>27</v>
      </c>
      <c r="Q1458" t="str">
        <f>VLOOKUP(E1458, Sales_Reps!A$2:C$31, 3, FALSE)</f>
        <v>West</v>
      </c>
      <c r="R1458">
        <f>VLOOKUP(D1458, Products!A$2:D$61, 4, FALSE)</f>
        <v>464</v>
      </c>
    </row>
    <row r="1459" spans="1:18" x14ac:dyDescent="0.3">
      <c r="A1459" s="13" t="s">
        <v>1948</v>
      </c>
      <c r="B1459" s="14">
        <v>45618</v>
      </c>
      <c r="C1459" s="13" t="s">
        <v>1062</v>
      </c>
      <c r="D1459" s="13" t="s">
        <v>110</v>
      </c>
      <c r="E1459" s="13" t="s">
        <v>229</v>
      </c>
      <c r="F1459" s="15">
        <v>9</v>
      </c>
      <c r="G1459" s="15">
        <v>370</v>
      </c>
      <c r="H1459" s="15">
        <v>25.4</v>
      </c>
      <c r="I1459" s="15">
        <v>2484.1799999999998</v>
      </c>
      <c r="J1459" s="13" t="s">
        <v>87</v>
      </c>
      <c r="K1459" s="13" t="s">
        <v>112</v>
      </c>
      <c r="L1459">
        <f>IF(COUNTIF(A$2:A1459, A1459)=1, IF(COUNTIF(A$2:A$2001, A1459)&gt;1, 1, 0), 0)</f>
        <v>0</v>
      </c>
      <c r="M1459" t="b">
        <f>VLOOKUP(D1459, Products!A$2:F$61, 6, FALSE)</f>
        <v>1</v>
      </c>
      <c r="N1459" t="str">
        <f>VLOOKUP(D1459, Products!A$2:C$61, 3, FALSE)</f>
        <v>Home</v>
      </c>
      <c r="O1459" t="str">
        <f>VLOOKUP(C1459, Customers!A$2:E$301, 5, FALSE)</f>
        <v>SMB</v>
      </c>
      <c r="P1459">
        <f>VLOOKUP(C1459, Customers!A$2:C$301, 3, FALSE)</f>
        <v>54</v>
      </c>
      <c r="Q1459" t="str">
        <f>VLOOKUP(E1459, Sales_Reps!A$2:C$31, 3, FALSE)</f>
        <v>West</v>
      </c>
      <c r="R1459">
        <f>VLOOKUP(D1459, Products!A$2:D$61, 4, FALSE)</f>
        <v>288</v>
      </c>
    </row>
    <row r="1460" spans="1:18" x14ac:dyDescent="0.3">
      <c r="A1460" s="13" t="s">
        <v>1949</v>
      </c>
      <c r="B1460" s="14">
        <v>45456</v>
      </c>
      <c r="C1460" s="13" t="s">
        <v>905</v>
      </c>
      <c r="D1460" s="13" t="s">
        <v>195</v>
      </c>
      <c r="E1460" s="13" t="s">
        <v>86</v>
      </c>
      <c r="F1460" s="15">
        <v>7</v>
      </c>
      <c r="G1460" s="15">
        <v>2860</v>
      </c>
      <c r="H1460" s="15">
        <v>14</v>
      </c>
      <c r="I1460" s="15">
        <v>17217.2</v>
      </c>
      <c r="J1460" s="13" t="s">
        <v>87</v>
      </c>
      <c r="K1460" s="13" t="s">
        <v>112</v>
      </c>
      <c r="L1460">
        <f>IF(COUNTIF(A$2:A1460, A1460)=1, IF(COUNTIF(A$2:A$2001, A1460)&gt;1, 1, 0), 0)</f>
        <v>0</v>
      </c>
      <c r="M1460" t="b">
        <f>VLOOKUP(D1460, Products!A$2:F$61, 6, FALSE)</f>
        <v>1</v>
      </c>
      <c r="N1460" t="str">
        <f>VLOOKUP(D1460, Products!A$2:C$61, 3, FALSE)</f>
        <v>Sports</v>
      </c>
      <c r="O1460" t="str">
        <f>VLOOKUP(C1460, Customers!A$2:E$301, 5, FALSE)</f>
        <v>SMB</v>
      </c>
      <c r="P1460">
        <f>VLOOKUP(C1460, Customers!A$2:C$301, 3, FALSE)</f>
        <v>43</v>
      </c>
      <c r="Q1460" t="str">
        <f>VLOOKUP(E1460, Sales_Reps!A$2:C$31, 3, FALSE)</f>
        <v>North</v>
      </c>
      <c r="R1460">
        <f>VLOOKUP(D1460, Products!A$2:D$61, 4, FALSE)</f>
        <v>2028</v>
      </c>
    </row>
    <row r="1461" spans="1:18" x14ac:dyDescent="0.3">
      <c r="A1461" s="13" t="s">
        <v>1950</v>
      </c>
      <c r="B1461" s="14">
        <v>45490</v>
      </c>
      <c r="C1461" s="13" t="s">
        <v>599</v>
      </c>
      <c r="D1461" s="13" t="s">
        <v>338</v>
      </c>
      <c r="E1461" s="13" t="s">
        <v>201</v>
      </c>
      <c r="F1461" s="15">
        <v>1</v>
      </c>
      <c r="G1461" s="15">
        <v>2210</v>
      </c>
      <c r="H1461" s="15">
        <v>1.7</v>
      </c>
      <c r="I1461" s="15">
        <v>2172.4299999999998</v>
      </c>
      <c r="J1461" s="13" t="s">
        <v>87</v>
      </c>
      <c r="K1461" s="13" t="s">
        <v>117</v>
      </c>
      <c r="L1461">
        <f>IF(COUNTIF(A$2:A1461, A1461)=1, IF(COUNTIF(A$2:A$2001, A1461)&gt;1, 1, 0), 0)</f>
        <v>0</v>
      </c>
      <c r="M1461" t="b">
        <f>VLOOKUP(D1461, Products!A$2:F$61, 6, FALSE)</f>
        <v>1</v>
      </c>
      <c r="N1461" t="str">
        <f>VLOOKUP(D1461, Products!A$2:C$61, 3, FALSE)</f>
        <v>Grocery</v>
      </c>
      <c r="O1461" t="str">
        <f>VLOOKUP(C1461, Customers!A$2:E$301, 5, FALSE)</f>
        <v>Corporate</v>
      </c>
      <c r="P1461">
        <f>VLOOKUP(C1461, Customers!A$2:C$301, 3, FALSE)</f>
        <v>26</v>
      </c>
      <c r="Q1461" t="str">
        <f>VLOOKUP(E1461, Sales_Reps!A$2:C$31, 3, FALSE)</f>
        <v>West</v>
      </c>
      <c r="R1461">
        <f>VLOOKUP(D1461, Products!A$2:D$61, 4, FALSE)</f>
        <v>1010</v>
      </c>
    </row>
    <row r="1462" spans="1:18" x14ac:dyDescent="0.3">
      <c r="A1462" s="13" t="s">
        <v>1951</v>
      </c>
      <c r="B1462" s="14">
        <v>45584</v>
      </c>
      <c r="C1462" s="13" t="s">
        <v>563</v>
      </c>
      <c r="D1462" s="13" t="s">
        <v>127</v>
      </c>
      <c r="E1462" s="13" t="s">
        <v>111</v>
      </c>
      <c r="F1462" s="15">
        <v>3</v>
      </c>
      <c r="G1462" s="15">
        <v>970</v>
      </c>
      <c r="H1462" s="15">
        <v>20.3</v>
      </c>
      <c r="I1462" s="15">
        <v>2319.27</v>
      </c>
      <c r="J1462" s="13" t="s">
        <v>93</v>
      </c>
      <c r="K1462" s="13" t="s">
        <v>88</v>
      </c>
      <c r="L1462">
        <f>IF(COUNTIF(A$2:A1462, A1462)=1, IF(COUNTIF(A$2:A$2001, A1462)&gt;1, 1, 0), 0)</f>
        <v>0</v>
      </c>
      <c r="M1462" t="b">
        <f>VLOOKUP(D1462, Products!A$2:F$61, 6, FALSE)</f>
        <v>1</v>
      </c>
      <c r="N1462" t="str">
        <f>VLOOKUP(D1462, Products!A$2:C$61, 3, FALSE)</f>
        <v>Grocery</v>
      </c>
      <c r="O1462" t="str">
        <f>VLOOKUP(C1462, Customers!A$2:E$301, 5, FALSE)</f>
        <v>SMB</v>
      </c>
      <c r="P1462">
        <f>VLOOKUP(C1462, Customers!A$2:C$301, 3, FALSE)</f>
        <v>24</v>
      </c>
      <c r="Q1462" t="str">
        <f>VLOOKUP(E1462, Sales_Reps!A$2:C$31, 3, FALSE)</f>
        <v>West</v>
      </c>
      <c r="R1462">
        <f>VLOOKUP(D1462, Products!A$2:D$61, 4, FALSE)</f>
        <v>434</v>
      </c>
    </row>
    <row r="1463" spans="1:18" x14ac:dyDescent="0.3">
      <c r="A1463" s="13" t="s">
        <v>1952</v>
      </c>
      <c r="B1463" s="14">
        <v>45476</v>
      </c>
      <c r="C1463" s="13" t="s">
        <v>1000</v>
      </c>
      <c r="D1463" s="13" t="s">
        <v>659</v>
      </c>
      <c r="E1463" s="13" t="s">
        <v>158</v>
      </c>
      <c r="F1463" s="15">
        <v>5</v>
      </c>
      <c r="G1463" s="15">
        <v>3560</v>
      </c>
      <c r="H1463" s="15">
        <v>17.100000000000001</v>
      </c>
      <c r="I1463" s="15">
        <v>14756.2</v>
      </c>
      <c r="J1463" s="13" t="s">
        <v>87</v>
      </c>
      <c r="K1463" s="13" t="s">
        <v>117</v>
      </c>
      <c r="L1463">
        <f>IF(COUNTIF(A$2:A1463, A1463)=1, IF(COUNTIF(A$2:A$2001, A1463)&gt;1, 1, 0), 0)</f>
        <v>0</v>
      </c>
      <c r="M1463" t="b">
        <f>VLOOKUP(D1463, Products!A$2:F$61, 6, FALSE)</f>
        <v>1</v>
      </c>
      <c r="N1463" t="str">
        <f>VLOOKUP(D1463, Products!A$2:C$61, 3, FALSE)</f>
        <v>Apparel</v>
      </c>
      <c r="O1463" t="str">
        <f>VLOOKUP(C1463, Customers!A$2:E$301, 5, FALSE)</f>
        <v>Retail</v>
      </c>
      <c r="P1463">
        <f>VLOOKUP(C1463, Customers!A$2:C$301, 3, FALSE)</f>
        <v>27</v>
      </c>
      <c r="Q1463" t="str">
        <f>VLOOKUP(E1463, Sales_Reps!A$2:C$31, 3, FALSE)</f>
        <v>East</v>
      </c>
      <c r="R1463">
        <f>VLOOKUP(D1463, Products!A$2:D$61, 4, FALSE)</f>
        <v>2629</v>
      </c>
    </row>
    <row r="1464" spans="1:18" x14ac:dyDescent="0.3">
      <c r="A1464" s="13" t="s">
        <v>1953</v>
      </c>
      <c r="B1464" s="14">
        <v>45387</v>
      </c>
      <c r="C1464" s="13" t="s">
        <v>190</v>
      </c>
      <c r="D1464" s="13" t="s">
        <v>164</v>
      </c>
      <c r="E1464" s="13" t="s">
        <v>154</v>
      </c>
      <c r="F1464" s="15">
        <v>10</v>
      </c>
      <c r="G1464" s="15">
        <v>1080</v>
      </c>
      <c r="H1464" s="15">
        <v>12.8</v>
      </c>
      <c r="I1464" s="15">
        <v>9417.6</v>
      </c>
      <c r="J1464" s="13" t="s">
        <v>87</v>
      </c>
      <c r="K1464" s="13" t="s">
        <v>133</v>
      </c>
      <c r="L1464">
        <f>IF(COUNTIF(A$2:A1464, A1464)=1, IF(COUNTIF(A$2:A$2001, A1464)&gt;1, 1, 0), 0)</f>
        <v>0</v>
      </c>
      <c r="M1464" t="b">
        <f>VLOOKUP(D1464, Products!A$2:F$61, 6, FALSE)</f>
        <v>1</v>
      </c>
      <c r="N1464" t="str">
        <f>VLOOKUP(D1464, Products!A$2:C$61, 3, FALSE)</f>
        <v>Home</v>
      </c>
      <c r="O1464" t="str">
        <f>VLOOKUP(C1464, Customers!A$2:E$301, 5, FALSE)</f>
        <v>Corporate</v>
      </c>
      <c r="P1464">
        <f>VLOOKUP(C1464, Customers!A$2:C$301, 3, FALSE)</f>
        <v>56</v>
      </c>
      <c r="Q1464" t="str">
        <f>VLOOKUP(E1464, Sales_Reps!A$2:C$31, 3, FALSE)</f>
        <v>East</v>
      </c>
      <c r="R1464">
        <f>VLOOKUP(D1464, Products!A$2:D$61, 4, FALSE)</f>
        <v>519</v>
      </c>
    </row>
    <row r="1465" spans="1:18" x14ac:dyDescent="0.3">
      <c r="A1465" s="13" t="s">
        <v>1954</v>
      </c>
      <c r="B1465" s="14">
        <v>45324</v>
      </c>
      <c r="C1465" s="13" t="s">
        <v>507</v>
      </c>
      <c r="D1465" s="13" t="s">
        <v>267</v>
      </c>
      <c r="E1465" s="13" t="s">
        <v>273</v>
      </c>
      <c r="F1465" s="15">
        <v>3</v>
      </c>
      <c r="G1465" s="15">
        <v>1220</v>
      </c>
      <c r="H1465" s="15">
        <v>1.9</v>
      </c>
      <c r="I1465" s="15">
        <v>3590.46</v>
      </c>
      <c r="J1465" s="13" t="s">
        <v>87</v>
      </c>
      <c r="K1465" s="13" t="s">
        <v>88</v>
      </c>
      <c r="L1465">
        <f>IF(COUNTIF(A$2:A1465, A1465)=1, IF(COUNTIF(A$2:A$2001, A1465)&gt;1, 1, 0), 0)</f>
        <v>0</v>
      </c>
      <c r="M1465" t="b">
        <f>VLOOKUP(D1465, Products!A$2:F$61, 6, FALSE)</f>
        <v>1</v>
      </c>
      <c r="N1465" t="str">
        <f>VLOOKUP(D1465, Products!A$2:C$61, 3, FALSE)</f>
        <v>Electronics</v>
      </c>
      <c r="O1465" t="str">
        <f>VLOOKUP(C1465, Customers!A$2:E$301, 5, FALSE)</f>
        <v>Retail</v>
      </c>
      <c r="P1465">
        <f>VLOOKUP(C1465, Customers!A$2:C$301, 3, FALSE)</f>
        <v>59</v>
      </c>
      <c r="Q1465" t="str">
        <f>VLOOKUP(E1465, Sales_Reps!A$2:C$31, 3, FALSE)</f>
        <v>South</v>
      </c>
      <c r="R1465">
        <f>VLOOKUP(D1465, Products!A$2:D$61, 4, FALSE)</f>
        <v>517</v>
      </c>
    </row>
    <row r="1466" spans="1:18" x14ac:dyDescent="0.3">
      <c r="A1466" s="13" t="s">
        <v>1955</v>
      </c>
      <c r="B1466" s="14">
        <v>45479</v>
      </c>
      <c r="C1466" s="13" t="s">
        <v>1956</v>
      </c>
      <c r="D1466" s="13" t="s">
        <v>226</v>
      </c>
      <c r="E1466" s="13" t="s">
        <v>204</v>
      </c>
      <c r="F1466" s="15">
        <v>1</v>
      </c>
      <c r="G1466" s="15">
        <v>3730</v>
      </c>
      <c r="H1466" s="15">
        <v>14.7</v>
      </c>
      <c r="I1466" s="15">
        <v>3181.69</v>
      </c>
      <c r="J1466" s="13" t="s">
        <v>93</v>
      </c>
      <c r="K1466" s="13" t="s">
        <v>88</v>
      </c>
      <c r="L1466">
        <f>IF(COUNTIF(A$2:A1466, A1466)=1, IF(COUNTIF(A$2:A$2001, A1466)&gt;1, 1, 0), 0)</f>
        <v>0</v>
      </c>
      <c r="M1466" t="b">
        <f>VLOOKUP(D1466, Products!A$2:F$61, 6, FALSE)</f>
        <v>1</v>
      </c>
      <c r="N1466" t="str">
        <f>VLOOKUP(D1466, Products!A$2:C$61, 3, FALSE)</f>
        <v>Home</v>
      </c>
      <c r="O1466" t="e">
        <f>VLOOKUP(C1466, Customers!A$2:E$301, 5, FALSE)</f>
        <v>#N/A</v>
      </c>
      <c r="P1466" t="e">
        <f>VLOOKUP(C1466, Customers!A$2:C$301, 3, FALSE)</f>
        <v>#N/A</v>
      </c>
      <c r="Q1466" t="str">
        <f>VLOOKUP(E1466, Sales_Reps!A$2:C$31, 3, FALSE)</f>
        <v>South</v>
      </c>
      <c r="R1466">
        <f>VLOOKUP(D1466, Products!A$2:D$61, 4, FALSE)</f>
        <v>2135</v>
      </c>
    </row>
    <row r="1467" spans="1:18" x14ac:dyDescent="0.3">
      <c r="A1467" s="13" t="s">
        <v>1957</v>
      </c>
      <c r="B1467" s="14">
        <v>45628</v>
      </c>
      <c r="C1467" s="13" t="s">
        <v>186</v>
      </c>
      <c r="D1467" s="13" t="s">
        <v>120</v>
      </c>
      <c r="E1467" s="13" t="s">
        <v>215</v>
      </c>
      <c r="F1467" s="15">
        <v>3</v>
      </c>
      <c r="G1467" s="15">
        <v>1430</v>
      </c>
      <c r="H1467" s="15">
        <v>13.2</v>
      </c>
      <c r="I1467" s="15">
        <v>3723.72</v>
      </c>
      <c r="J1467" s="13" t="s">
        <v>87</v>
      </c>
      <c r="K1467" s="13" t="s">
        <v>94</v>
      </c>
      <c r="L1467">
        <f>IF(COUNTIF(A$2:A1467, A1467)=1, IF(COUNTIF(A$2:A$2001, A1467)&gt;1, 1, 0), 0)</f>
        <v>0</v>
      </c>
      <c r="M1467" t="b">
        <f>VLOOKUP(D1467, Products!A$2:F$61, 6, FALSE)</f>
        <v>1</v>
      </c>
      <c r="N1467" t="str">
        <f>VLOOKUP(D1467, Products!A$2:C$61, 3, FALSE)</f>
        <v>Electronics</v>
      </c>
      <c r="O1467" t="str">
        <f>VLOOKUP(C1467, Customers!A$2:E$301, 5, FALSE)</f>
        <v>SMB</v>
      </c>
      <c r="P1467">
        <f>VLOOKUP(C1467, Customers!A$2:C$301, 3, FALSE)</f>
        <v>52</v>
      </c>
      <c r="Q1467" t="str">
        <f>VLOOKUP(E1467, Sales_Reps!A$2:C$31, 3, FALSE)</f>
        <v>North</v>
      </c>
      <c r="R1467">
        <f>VLOOKUP(D1467, Products!A$2:D$61, 4, FALSE)</f>
        <v>861</v>
      </c>
    </row>
    <row r="1468" spans="1:18" x14ac:dyDescent="0.3">
      <c r="A1468" s="13" t="s">
        <v>1958</v>
      </c>
      <c r="B1468" s="14">
        <v>45413</v>
      </c>
      <c r="C1468" s="13" t="s">
        <v>190</v>
      </c>
      <c r="D1468" s="13" t="s">
        <v>241</v>
      </c>
      <c r="E1468" s="13" t="s">
        <v>303</v>
      </c>
      <c r="F1468" s="15">
        <v>2</v>
      </c>
      <c r="G1468" s="15">
        <v>6080</v>
      </c>
      <c r="H1468" s="15">
        <v>21.8</v>
      </c>
      <c r="I1468" s="15">
        <v>9509.1200000000008</v>
      </c>
      <c r="J1468" s="13" t="s">
        <v>140</v>
      </c>
      <c r="K1468" s="13" t="s">
        <v>133</v>
      </c>
      <c r="L1468">
        <f>IF(COUNTIF(A$2:A1468, A1468)=1, IF(COUNTIF(A$2:A$2001, A1468)&gt;1, 1, 0), 0)</f>
        <v>0</v>
      </c>
      <c r="M1468" t="b">
        <f>VLOOKUP(D1468, Products!A$2:F$61, 6, FALSE)</f>
        <v>1</v>
      </c>
      <c r="N1468" t="str">
        <f>VLOOKUP(D1468, Products!A$2:C$61, 3, FALSE)</f>
        <v>Beauty</v>
      </c>
      <c r="O1468" t="str">
        <f>VLOOKUP(C1468, Customers!A$2:E$301, 5, FALSE)</f>
        <v>Corporate</v>
      </c>
      <c r="P1468">
        <f>VLOOKUP(C1468, Customers!A$2:C$301, 3, FALSE)</f>
        <v>56</v>
      </c>
      <c r="Q1468" t="str">
        <f>VLOOKUP(E1468, Sales_Reps!A$2:C$31, 3, FALSE)</f>
        <v>East</v>
      </c>
      <c r="R1468">
        <f>VLOOKUP(D1468, Products!A$2:D$61, 4, FALSE)</f>
        <v>2617</v>
      </c>
    </row>
    <row r="1469" spans="1:18" x14ac:dyDescent="0.3">
      <c r="A1469" s="13" t="s">
        <v>1959</v>
      </c>
      <c r="B1469" s="14">
        <v>45343</v>
      </c>
      <c r="C1469" s="13" t="s">
        <v>680</v>
      </c>
      <c r="D1469" s="13" t="s">
        <v>191</v>
      </c>
      <c r="E1469" s="13" t="s">
        <v>188</v>
      </c>
      <c r="F1469" s="15">
        <v>9</v>
      </c>
      <c r="G1469" s="15">
        <v>5100</v>
      </c>
      <c r="H1469" s="15">
        <v>29.3</v>
      </c>
      <c r="I1469" s="15">
        <v>32451.3</v>
      </c>
      <c r="J1469" s="13" t="s">
        <v>87</v>
      </c>
      <c r="K1469" s="13" t="s">
        <v>94</v>
      </c>
      <c r="L1469">
        <f>IF(COUNTIF(A$2:A1469, A1469)=1, IF(COUNTIF(A$2:A$2001, A1469)&gt;1, 1, 0), 0)</f>
        <v>0</v>
      </c>
      <c r="M1469" t="b">
        <f>VLOOKUP(D1469, Products!A$2:F$61, 6, FALSE)</f>
        <v>1</v>
      </c>
      <c r="N1469" t="str">
        <f>VLOOKUP(D1469, Products!A$2:C$61, 3, FALSE)</f>
        <v>Beauty</v>
      </c>
      <c r="O1469" t="str">
        <f>VLOOKUP(C1469, Customers!A$2:E$301, 5, FALSE)</f>
        <v>Retail</v>
      </c>
      <c r="P1469">
        <f>VLOOKUP(C1469, Customers!A$2:C$301, 3, FALSE)</f>
        <v>26</v>
      </c>
      <c r="Q1469" t="str">
        <f>VLOOKUP(E1469, Sales_Reps!A$2:C$31, 3, FALSE)</f>
        <v>South</v>
      </c>
      <c r="R1469">
        <f>VLOOKUP(D1469, Products!A$2:D$61, 4, FALSE)</f>
        <v>2237</v>
      </c>
    </row>
    <row r="1470" spans="1:18" x14ac:dyDescent="0.3">
      <c r="A1470" s="13" t="s">
        <v>1960</v>
      </c>
      <c r="B1470" s="14">
        <v>45424</v>
      </c>
      <c r="C1470" s="13" t="s">
        <v>905</v>
      </c>
      <c r="D1470" s="13" t="s">
        <v>452</v>
      </c>
      <c r="E1470" s="13" t="s">
        <v>98</v>
      </c>
      <c r="F1470" s="15">
        <v>5</v>
      </c>
      <c r="G1470" s="15">
        <v>3450</v>
      </c>
      <c r="H1470" s="15">
        <v>5.3</v>
      </c>
      <c r="I1470" s="15">
        <v>16335.75</v>
      </c>
      <c r="J1470" s="13" t="s">
        <v>87</v>
      </c>
      <c r="K1470" s="13" t="s">
        <v>112</v>
      </c>
      <c r="L1470">
        <f>IF(COUNTIF(A$2:A1470, A1470)=1, IF(COUNTIF(A$2:A$2001, A1470)&gt;1, 1, 0), 0)</f>
        <v>0</v>
      </c>
      <c r="M1470" t="b">
        <f>VLOOKUP(D1470, Products!A$2:F$61, 6, FALSE)</f>
        <v>1</v>
      </c>
      <c r="N1470" t="str">
        <f>VLOOKUP(D1470, Products!A$2:C$61, 3, FALSE)</f>
        <v>Apparel</v>
      </c>
      <c r="O1470" t="str">
        <f>VLOOKUP(C1470, Customers!A$2:E$301, 5, FALSE)</f>
        <v>SMB</v>
      </c>
      <c r="P1470">
        <f>VLOOKUP(C1470, Customers!A$2:C$301, 3, FALSE)</f>
        <v>43</v>
      </c>
      <c r="Q1470" t="str">
        <f>VLOOKUP(E1470, Sales_Reps!A$2:C$31, 3, FALSE)</f>
        <v>South</v>
      </c>
      <c r="R1470">
        <f>VLOOKUP(D1470, Products!A$2:D$61, 4, FALSE)</f>
        <v>1748</v>
      </c>
    </row>
    <row r="1471" spans="1:18" x14ac:dyDescent="0.3">
      <c r="A1471" s="13" t="s">
        <v>1961</v>
      </c>
      <c r="B1471" s="14">
        <v>45632</v>
      </c>
      <c r="C1471" s="13" t="s">
        <v>388</v>
      </c>
      <c r="D1471" s="13" t="s">
        <v>187</v>
      </c>
      <c r="E1471" s="13" t="s">
        <v>297</v>
      </c>
      <c r="F1471" s="15">
        <v>6</v>
      </c>
      <c r="G1471" s="15">
        <v>3570</v>
      </c>
      <c r="H1471" s="15">
        <v>17.3</v>
      </c>
      <c r="I1471" s="15">
        <v>17714.34</v>
      </c>
      <c r="J1471" s="13" t="s">
        <v>87</v>
      </c>
      <c r="K1471" s="13" t="s">
        <v>133</v>
      </c>
      <c r="L1471">
        <f>IF(COUNTIF(A$2:A1471, A1471)=1, IF(COUNTIF(A$2:A$2001, A1471)&gt;1, 1, 0), 0)</f>
        <v>0</v>
      </c>
      <c r="M1471" t="b">
        <f>VLOOKUP(D1471, Products!A$2:F$61, 6, FALSE)</f>
        <v>1</v>
      </c>
      <c r="N1471" t="str">
        <f>VLOOKUP(D1471, Products!A$2:C$61, 3, FALSE)</f>
        <v>Electronics</v>
      </c>
      <c r="O1471" t="str">
        <f>VLOOKUP(C1471, Customers!A$2:E$301, 5, FALSE)</f>
        <v>Retail</v>
      </c>
      <c r="P1471">
        <f>VLOOKUP(C1471, Customers!A$2:C$301, 3, FALSE)</f>
        <v>44</v>
      </c>
      <c r="Q1471" t="str">
        <f>VLOOKUP(E1471, Sales_Reps!A$2:C$31, 3, FALSE)</f>
        <v>North</v>
      </c>
      <c r="R1471">
        <f>VLOOKUP(D1471, Products!A$2:D$61, 4, FALSE)</f>
        <v>1665</v>
      </c>
    </row>
    <row r="1472" spans="1:18" x14ac:dyDescent="0.3">
      <c r="A1472" s="13" t="s">
        <v>1962</v>
      </c>
      <c r="B1472" s="14">
        <v>45444</v>
      </c>
      <c r="C1472" s="13" t="s">
        <v>289</v>
      </c>
      <c r="D1472" s="13" t="s">
        <v>226</v>
      </c>
      <c r="E1472" s="13" t="s">
        <v>303</v>
      </c>
      <c r="F1472" s="15">
        <v>6</v>
      </c>
      <c r="G1472" s="15">
        <v>3730</v>
      </c>
      <c r="H1472" s="15">
        <v>1</v>
      </c>
      <c r="I1472" s="15">
        <v>22156.2</v>
      </c>
      <c r="J1472" s="13" t="s">
        <v>87</v>
      </c>
      <c r="K1472" s="13" t="s">
        <v>94</v>
      </c>
      <c r="L1472">
        <f>IF(COUNTIF(A$2:A1472, A1472)=1, IF(COUNTIF(A$2:A$2001, A1472)&gt;1, 1, 0), 0)</f>
        <v>0</v>
      </c>
      <c r="M1472" t="b">
        <f>VLOOKUP(D1472, Products!A$2:F$61, 6, FALSE)</f>
        <v>1</v>
      </c>
      <c r="N1472" t="str">
        <f>VLOOKUP(D1472, Products!A$2:C$61, 3, FALSE)</f>
        <v>Home</v>
      </c>
      <c r="O1472" t="str">
        <f>VLOOKUP(C1472, Customers!A$2:E$301, 5, FALSE)</f>
        <v>Retail</v>
      </c>
      <c r="P1472">
        <f>VLOOKUP(C1472, Customers!A$2:C$301, 3, FALSE)</f>
        <v>38</v>
      </c>
      <c r="Q1472" t="str">
        <f>VLOOKUP(E1472, Sales_Reps!A$2:C$31, 3, FALSE)</f>
        <v>East</v>
      </c>
      <c r="R1472">
        <f>VLOOKUP(D1472, Products!A$2:D$61, 4, FALSE)</f>
        <v>2135</v>
      </c>
    </row>
    <row r="1473" spans="1:18" x14ac:dyDescent="0.3">
      <c r="A1473" s="13" t="s">
        <v>1963</v>
      </c>
      <c r="B1473" s="14">
        <v>45545</v>
      </c>
      <c r="C1473" s="13" t="s">
        <v>1038</v>
      </c>
      <c r="D1473" s="13" t="s">
        <v>461</v>
      </c>
      <c r="E1473" s="13" t="s">
        <v>121</v>
      </c>
      <c r="F1473" s="15">
        <v>4</v>
      </c>
      <c r="G1473" s="15">
        <v>3780</v>
      </c>
      <c r="H1473" s="15">
        <v>13.1</v>
      </c>
      <c r="I1473" s="15">
        <v>13139.28</v>
      </c>
      <c r="J1473" s="13" t="s">
        <v>87</v>
      </c>
      <c r="K1473" s="13" t="s">
        <v>117</v>
      </c>
      <c r="L1473">
        <f>IF(COUNTIF(A$2:A1473, A1473)=1, IF(COUNTIF(A$2:A$2001, A1473)&gt;1, 1, 0), 0)</f>
        <v>0</v>
      </c>
      <c r="M1473" t="b">
        <f>VLOOKUP(D1473, Products!A$2:F$61, 6, FALSE)</f>
        <v>1</v>
      </c>
      <c r="N1473" t="str">
        <f>VLOOKUP(D1473, Products!A$2:C$61, 3, FALSE)</f>
        <v>Sports</v>
      </c>
      <c r="O1473" t="str">
        <f>VLOOKUP(C1473, Customers!A$2:E$301, 5, FALSE)</f>
        <v>Corporate</v>
      </c>
      <c r="P1473">
        <f>VLOOKUP(C1473, Customers!A$2:C$301, 3, FALSE)</f>
        <v>55</v>
      </c>
      <c r="Q1473" t="str">
        <f>VLOOKUP(E1473, Sales_Reps!A$2:C$31, 3, FALSE)</f>
        <v>East</v>
      </c>
      <c r="R1473">
        <f>VLOOKUP(D1473, Products!A$2:D$61, 4, FALSE)</f>
        <v>1860</v>
      </c>
    </row>
    <row r="1474" spans="1:18" x14ac:dyDescent="0.3">
      <c r="A1474" s="13" t="s">
        <v>1964</v>
      </c>
      <c r="B1474" s="14">
        <v>45511</v>
      </c>
      <c r="C1474" s="13" t="s">
        <v>610</v>
      </c>
      <c r="D1474" s="13" t="s">
        <v>355</v>
      </c>
      <c r="E1474" s="13" t="s">
        <v>273</v>
      </c>
      <c r="F1474" s="15">
        <v>1</v>
      </c>
      <c r="G1474" s="15">
        <v>2510</v>
      </c>
      <c r="H1474" s="15">
        <v>27.8</v>
      </c>
      <c r="I1474" s="15">
        <v>1812.22</v>
      </c>
      <c r="J1474" s="13" t="s">
        <v>140</v>
      </c>
      <c r="K1474" s="13" t="s">
        <v>117</v>
      </c>
      <c r="L1474">
        <f>IF(COUNTIF(A$2:A1474, A1474)=1, IF(COUNTIF(A$2:A$2001, A1474)&gt;1, 1, 0), 0)</f>
        <v>0</v>
      </c>
      <c r="M1474" t="b">
        <f>VLOOKUP(D1474, Products!A$2:F$61, 6, FALSE)</f>
        <v>0</v>
      </c>
      <c r="N1474" t="str">
        <f>VLOOKUP(D1474, Products!A$2:C$61, 3, FALSE)</f>
        <v>Apparel</v>
      </c>
      <c r="O1474" t="str">
        <f>VLOOKUP(C1474, Customers!A$2:E$301, 5, FALSE)</f>
        <v>SMB</v>
      </c>
      <c r="P1474">
        <f>VLOOKUP(C1474, Customers!A$2:C$301, 3, FALSE)</f>
        <v>42</v>
      </c>
      <c r="Q1474" t="str">
        <f>VLOOKUP(E1474, Sales_Reps!A$2:C$31, 3, FALSE)</f>
        <v>South</v>
      </c>
      <c r="R1474">
        <f>VLOOKUP(D1474, Products!A$2:D$61, 4, FALSE)</f>
        <v>1075</v>
      </c>
    </row>
    <row r="1475" spans="1:18" x14ac:dyDescent="0.3">
      <c r="A1475" s="13" t="s">
        <v>1965</v>
      </c>
      <c r="B1475" s="14">
        <v>45577</v>
      </c>
      <c r="C1475" s="13" t="s">
        <v>797</v>
      </c>
      <c r="D1475" s="13" t="s">
        <v>203</v>
      </c>
      <c r="E1475" s="13" t="s">
        <v>86</v>
      </c>
      <c r="F1475" s="15">
        <v>9</v>
      </c>
      <c r="G1475" s="15">
        <v>660</v>
      </c>
      <c r="H1475" s="15">
        <v>29.3</v>
      </c>
      <c r="I1475" s="15">
        <v>4199.58</v>
      </c>
      <c r="J1475" s="13" t="s">
        <v>87</v>
      </c>
      <c r="K1475" s="13" t="s">
        <v>99</v>
      </c>
      <c r="L1475">
        <f>IF(COUNTIF(A$2:A1475, A1475)=1, IF(COUNTIF(A$2:A$2001, A1475)&gt;1, 1, 0), 0)</f>
        <v>0</v>
      </c>
      <c r="M1475" t="b">
        <f>VLOOKUP(D1475, Products!A$2:F$61, 6, FALSE)</f>
        <v>1</v>
      </c>
      <c r="N1475" t="str">
        <f>VLOOKUP(D1475, Products!A$2:C$61, 3, FALSE)</f>
        <v>Home</v>
      </c>
      <c r="O1475" t="str">
        <f>VLOOKUP(C1475, Customers!A$2:E$301, 5, FALSE)</f>
        <v>Retail</v>
      </c>
      <c r="P1475">
        <f>VLOOKUP(C1475, Customers!A$2:C$301, 3, FALSE)</f>
        <v>63</v>
      </c>
      <c r="Q1475" t="str">
        <f>VLOOKUP(E1475, Sales_Reps!A$2:C$31, 3, FALSE)</f>
        <v>North</v>
      </c>
      <c r="R1475">
        <f>VLOOKUP(D1475, Products!A$2:D$61, 4, FALSE)</f>
        <v>329</v>
      </c>
    </row>
    <row r="1476" spans="1:18" x14ac:dyDescent="0.3">
      <c r="A1476" s="13" t="s">
        <v>1966</v>
      </c>
      <c r="B1476" s="14">
        <v>45507</v>
      </c>
      <c r="C1476" s="13" t="s">
        <v>1036</v>
      </c>
      <c r="D1476" s="13" t="s">
        <v>237</v>
      </c>
      <c r="E1476" s="13" t="s">
        <v>170</v>
      </c>
      <c r="F1476" s="15">
        <v>7</v>
      </c>
      <c r="G1476" s="15">
        <v>3640</v>
      </c>
      <c r="H1476" s="15">
        <v>11.6</v>
      </c>
      <c r="I1476" s="15">
        <v>22524.32</v>
      </c>
      <c r="J1476" s="13" t="s">
        <v>87</v>
      </c>
      <c r="K1476" s="13" t="s">
        <v>112</v>
      </c>
      <c r="L1476">
        <f>IF(COUNTIF(A$2:A1476, A1476)=1, IF(COUNTIF(A$2:A$2001, A1476)&gt;1, 1, 0), 0)</f>
        <v>0</v>
      </c>
      <c r="M1476" t="b">
        <f>VLOOKUP(D1476, Products!A$2:F$61, 6, FALSE)</f>
        <v>1</v>
      </c>
      <c r="N1476" t="str">
        <f>VLOOKUP(D1476, Products!A$2:C$61, 3, FALSE)</f>
        <v>Apparel</v>
      </c>
      <c r="O1476" t="str">
        <f>VLOOKUP(C1476, Customers!A$2:E$301, 5, FALSE)</f>
        <v>Retail</v>
      </c>
      <c r="P1476">
        <f>VLOOKUP(C1476, Customers!A$2:C$301, 3, FALSE)</f>
        <v>33</v>
      </c>
      <c r="Q1476" t="str">
        <f>VLOOKUP(E1476, Sales_Reps!A$2:C$31, 3, FALSE)</f>
        <v>West</v>
      </c>
      <c r="R1476">
        <f>VLOOKUP(D1476, Products!A$2:D$61, 4, FALSE)</f>
        <v>2611</v>
      </c>
    </row>
    <row r="1477" spans="1:18" x14ac:dyDescent="0.3">
      <c r="A1477" s="13" t="s">
        <v>1967</v>
      </c>
      <c r="B1477" s="14">
        <v>45415</v>
      </c>
      <c r="C1477" s="13" t="s">
        <v>986</v>
      </c>
      <c r="D1477" s="13" t="s">
        <v>360</v>
      </c>
      <c r="E1477" s="13" t="s">
        <v>121</v>
      </c>
      <c r="F1477" s="15">
        <v>8</v>
      </c>
      <c r="G1477" s="15">
        <v>5410</v>
      </c>
      <c r="H1477" s="15">
        <v>25.6</v>
      </c>
      <c r="I1477" s="15">
        <v>32200.32</v>
      </c>
      <c r="J1477" s="13" t="s">
        <v>87</v>
      </c>
      <c r="K1477" s="13" t="s">
        <v>94</v>
      </c>
      <c r="L1477">
        <f>IF(COUNTIF(A$2:A1477, A1477)=1, IF(COUNTIF(A$2:A$2001, A1477)&gt;1, 1, 0), 0)</f>
        <v>0</v>
      </c>
      <c r="M1477" t="b">
        <f>VLOOKUP(D1477, Products!A$2:F$61, 6, FALSE)</f>
        <v>1</v>
      </c>
      <c r="N1477" t="str">
        <f>VLOOKUP(D1477, Products!A$2:C$61, 3, FALSE)</f>
        <v>Sports</v>
      </c>
      <c r="O1477" t="str">
        <f>VLOOKUP(C1477, Customers!A$2:E$301, 5, FALSE)</f>
        <v>Corporate</v>
      </c>
      <c r="P1477">
        <f>VLOOKUP(C1477, Customers!A$2:C$301, 3, FALSE)</f>
        <v>52</v>
      </c>
      <c r="Q1477" t="str">
        <f>VLOOKUP(E1477, Sales_Reps!A$2:C$31, 3, FALSE)</f>
        <v>East</v>
      </c>
      <c r="R1477">
        <f>VLOOKUP(D1477, Products!A$2:D$61, 4, FALSE)</f>
        <v>2265</v>
      </c>
    </row>
    <row r="1478" spans="1:18" x14ac:dyDescent="0.3">
      <c r="A1478" s="13" t="s">
        <v>1968</v>
      </c>
      <c r="B1478" s="14">
        <v>45342</v>
      </c>
      <c r="C1478" s="13" t="s">
        <v>970</v>
      </c>
      <c r="D1478" s="13" t="s">
        <v>151</v>
      </c>
      <c r="E1478" s="13" t="s">
        <v>107</v>
      </c>
      <c r="F1478" s="15">
        <v>4</v>
      </c>
      <c r="G1478" s="15">
        <v>2400</v>
      </c>
      <c r="H1478" s="15">
        <v>10.4</v>
      </c>
      <c r="I1478" s="15">
        <v>8601.6</v>
      </c>
      <c r="J1478" s="13" t="s">
        <v>87</v>
      </c>
      <c r="K1478" s="13" t="s">
        <v>112</v>
      </c>
      <c r="L1478">
        <f>IF(COUNTIF(A$2:A1478, A1478)=1, IF(COUNTIF(A$2:A$2001, A1478)&gt;1, 1, 0), 0)</f>
        <v>0</v>
      </c>
      <c r="M1478" t="b">
        <f>VLOOKUP(D1478, Products!A$2:F$61, 6, FALSE)</f>
        <v>1</v>
      </c>
      <c r="N1478" t="str">
        <f>VLOOKUP(D1478, Products!A$2:C$61, 3, FALSE)</f>
        <v>Sports</v>
      </c>
      <c r="O1478" t="str">
        <f>VLOOKUP(C1478, Customers!A$2:E$301, 5, FALSE)</f>
        <v>Retail</v>
      </c>
      <c r="P1478">
        <f>VLOOKUP(C1478, Customers!A$2:C$301, 3, FALSE)</f>
        <v>40</v>
      </c>
      <c r="Q1478" t="str">
        <f>VLOOKUP(E1478, Sales_Reps!A$2:C$31, 3, FALSE)</f>
        <v>North</v>
      </c>
      <c r="R1478">
        <f>VLOOKUP(D1478, Products!A$2:D$61, 4, FALSE)</f>
        <v>974</v>
      </c>
    </row>
    <row r="1479" spans="1:18" x14ac:dyDescent="0.3">
      <c r="A1479" s="13" t="s">
        <v>1969</v>
      </c>
      <c r="B1479" s="14">
        <v>45333</v>
      </c>
      <c r="C1479" s="13" t="s">
        <v>472</v>
      </c>
      <c r="D1479" s="13" t="s">
        <v>124</v>
      </c>
      <c r="E1479" s="13" t="s">
        <v>128</v>
      </c>
      <c r="F1479" s="15">
        <v>2</v>
      </c>
      <c r="G1479" s="15">
        <v>5490</v>
      </c>
      <c r="H1479" s="15">
        <v>5.4</v>
      </c>
      <c r="I1479" s="15">
        <v>10387.08</v>
      </c>
      <c r="J1479" s="13" t="s">
        <v>87</v>
      </c>
      <c r="K1479" s="13" t="s">
        <v>94</v>
      </c>
      <c r="L1479">
        <f>IF(COUNTIF(A$2:A1479, A1479)=1, IF(COUNTIF(A$2:A$2001, A1479)&gt;1, 1, 0), 0)</f>
        <v>0</v>
      </c>
      <c r="M1479" t="b">
        <f>VLOOKUP(D1479, Products!A$2:F$61, 6, FALSE)</f>
        <v>1</v>
      </c>
      <c r="N1479" t="str">
        <f>VLOOKUP(D1479, Products!A$2:C$61, 3, FALSE)</f>
        <v>Home</v>
      </c>
      <c r="O1479" t="str">
        <f>VLOOKUP(C1479, Customers!A$2:E$301, 5, FALSE)</f>
        <v>Corporate</v>
      </c>
      <c r="P1479">
        <f>VLOOKUP(C1479, Customers!A$2:C$301, 3, FALSE)</f>
        <v>35</v>
      </c>
      <c r="Q1479" t="str">
        <f>VLOOKUP(E1479, Sales_Reps!A$2:C$31, 3, FALSE)</f>
        <v>West</v>
      </c>
      <c r="R1479">
        <f>VLOOKUP(D1479, Products!A$2:D$61, 4, FALSE)</f>
        <v>2549</v>
      </c>
    </row>
    <row r="1480" spans="1:18" x14ac:dyDescent="0.3">
      <c r="A1480" s="13" t="s">
        <v>1970</v>
      </c>
      <c r="B1480" s="14">
        <v>45516</v>
      </c>
      <c r="C1480" s="13" t="s">
        <v>1231</v>
      </c>
      <c r="D1480" s="13" t="s">
        <v>259</v>
      </c>
      <c r="E1480" s="13" t="s">
        <v>346</v>
      </c>
      <c r="F1480" s="15">
        <v>6</v>
      </c>
      <c r="G1480" s="15">
        <v>1540</v>
      </c>
      <c r="H1480" s="15">
        <v>0.6</v>
      </c>
      <c r="I1480" s="15">
        <v>9184.56</v>
      </c>
      <c r="J1480" s="13" t="s">
        <v>87</v>
      </c>
      <c r="K1480" s="13" t="s">
        <v>88</v>
      </c>
      <c r="L1480">
        <f>IF(COUNTIF(A$2:A1480, A1480)=1, IF(COUNTIF(A$2:A$2001, A1480)&gt;1, 1, 0), 0)</f>
        <v>0</v>
      </c>
      <c r="M1480" t="b">
        <f>VLOOKUP(D1480, Products!A$2:F$61, 6, FALSE)</f>
        <v>0</v>
      </c>
      <c r="N1480" t="str">
        <f>VLOOKUP(D1480, Products!A$2:C$61, 3, FALSE)</f>
        <v>Beauty</v>
      </c>
      <c r="O1480" t="str">
        <f>VLOOKUP(C1480, Customers!A$2:E$301, 5, FALSE)</f>
        <v>Retail</v>
      </c>
      <c r="P1480">
        <f>VLOOKUP(C1480, Customers!A$2:C$301, 3, FALSE)</f>
        <v>42</v>
      </c>
      <c r="Q1480" t="str">
        <f>VLOOKUP(E1480, Sales_Reps!A$2:C$31, 3, FALSE)</f>
        <v>South</v>
      </c>
      <c r="R1480">
        <f>VLOOKUP(D1480, Products!A$2:D$61, 4, FALSE)</f>
        <v>647</v>
      </c>
    </row>
    <row r="1481" spans="1:18" x14ac:dyDescent="0.3">
      <c r="A1481" s="13" t="s">
        <v>1971</v>
      </c>
      <c r="B1481" s="14">
        <v>45343</v>
      </c>
      <c r="C1481" s="13" t="s">
        <v>908</v>
      </c>
      <c r="D1481" s="13" t="s">
        <v>364</v>
      </c>
      <c r="E1481" s="13" t="s">
        <v>215</v>
      </c>
      <c r="F1481" s="15">
        <v>3</v>
      </c>
      <c r="G1481" s="15">
        <v>5330</v>
      </c>
      <c r="H1481" s="15">
        <v>1</v>
      </c>
      <c r="I1481" s="15">
        <v>15830.1</v>
      </c>
      <c r="J1481" s="13" t="s">
        <v>93</v>
      </c>
      <c r="K1481" s="13" t="s">
        <v>133</v>
      </c>
      <c r="L1481">
        <f>IF(COUNTIF(A$2:A1481, A1481)=1, IF(COUNTIF(A$2:A$2001, A1481)&gt;1, 1, 0), 0)</f>
        <v>0</v>
      </c>
      <c r="M1481" t="b">
        <f>VLOOKUP(D1481, Products!A$2:F$61, 6, FALSE)</f>
        <v>1</v>
      </c>
      <c r="N1481" t="str">
        <f>VLOOKUP(D1481, Products!A$2:C$61, 3, FALSE)</f>
        <v>Electronics</v>
      </c>
      <c r="O1481" t="str">
        <f>VLOOKUP(C1481, Customers!A$2:E$301, 5, FALSE)</f>
        <v>Retail</v>
      </c>
      <c r="P1481">
        <f>VLOOKUP(C1481, Customers!A$2:C$301, 3, FALSE)</f>
        <v>31</v>
      </c>
      <c r="Q1481" t="str">
        <f>VLOOKUP(E1481, Sales_Reps!A$2:C$31, 3, FALSE)</f>
        <v>North</v>
      </c>
      <c r="R1481">
        <f>VLOOKUP(D1481, Products!A$2:D$61, 4, FALSE)</f>
        <v>2405</v>
      </c>
    </row>
    <row r="1482" spans="1:18" x14ac:dyDescent="0.3">
      <c r="A1482" s="13" t="s">
        <v>1972</v>
      </c>
      <c r="B1482" s="14">
        <v>45522</v>
      </c>
      <c r="C1482" s="13" t="s">
        <v>1575</v>
      </c>
      <c r="D1482" s="13" t="s">
        <v>195</v>
      </c>
      <c r="E1482" s="13" t="s">
        <v>325</v>
      </c>
      <c r="F1482" s="15">
        <v>6</v>
      </c>
      <c r="G1482" s="15">
        <v>2860</v>
      </c>
      <c r="H1482" s="15">
        <v>13.3</v>
      </c>
      <c r="I1482" s="15">
        <v>14877.72</v>
      </c>
      <c r="J1482" s="13" t="s">
        <v>87</v>
      </c>
      <c r="K1482" s="13" t="s">
        <v>133</v>
      </c>
      <c r="L1482">
        <f>IF(COUNTIF(A$2:A1482, A1482)=1, IF(COUNTIF(A$2:A$2001, A1482)&gt;1, 1, 0), 0)</f>
        <v>0</v>
      </c>
      <c r="M1482" t="b">
        <f>VLOOKUP(D1482, Products!A$2:F$61, 6, FALSE)</f>
        <v>1</v>
      </c>
      <c r="N1482" t="str">
        <f>VLOOKUP(D1482, Products!A$2:C$61, 3, FALSE)</f>
        <v>Sports</v>
      </c>
      <c r="O1482" t="str">
        <f>VLOOKUP(C1482, Customers!A$2:E$301, 5, FALSE)</f>
        <v>Corporate</v>
      </c>
      <c r="P1482">
        <f>VLOOKUP(C1482, Customers!A$2:C$301, 3, FALSE)</f>
        <v>60</v>
      </c>
      <c r="Q1482" t="str">
        <f>VLOOKUP(E1482, Sales_Reps!A$2:C$31, 3, FALSE)</f>
        <v>South</v>
      </c>
      <c r="R1482">
        <f>VLOOKUP(D1482, Products!A$2:D$61, 4, FALSE)</f>
        <v>2028</v>
      </c>
    </row>
    <row r="1483" spans="1:18" x14ac:dyDescent="0.3">
      <c r="A1483" s="13" t="s">
        <v>1973</v>
      </c>
      <c r="B1483" s="14">
        <v>45305</v>
      </c>
      <c r="C1483" s="13" t="s">
        <v>606</v>
      </c>
      <c r="D1483" s="13" t="s">
        <v>184</v>
      </c>
      <c r="E1483" s="13" t="s">
        <v>103</v>
      </c>
      <c r="F1483" s="15">
        <v>3</v>
      </c>
      <c r="G1483" s="15">
        <v>4880</v>
      </c>
      <c r="H1483" s="15">
        <v>12.1</v>
      </c>
      <c r="I1483" s="15">
        <v>12868.56</v>
      </c>
      <c r="J1483" s="13" t="s">
        <v>87</v>
      </c>
      <c r="K1483" s="13" t="s">
        <v>112</v>
      </c>
      <c r="L1483">
        <f>IF(COUNTIF(A$2:A1483, A1483)=1, IF(COUNTIF(A$2:A$2001, A1483)&gt;1, 1, 0), 0)</f>
        <v>0</v>
      </c>
      <c r="M1483" t="b">
        <f>VLOOKUP(D1483, Products!A$2:F$61, 6, FALSE)</f>
        <v>1</v>
      </c>
      <c r="N1483" t="str">
        <f>VLOOKUP(D1483, Products!A$2:C$61, 3, FALSE)</f>
        <v>Beauty</v>
      </c>
      <c r="O1483" t="str">
        <f>VLOOKUP(C1483, Customers!A$2:E$301, 5, FALSE)</f>
        <v>Retail</v>
      </c>
      <c r="P1483">
        <f>VLOOKUP(C1483, Customers!A$2:C$301, 3, FALSE)</f>
        <v>52</v>
      </c>
      <c r="Q1483" t="str">
        <f>VLOOKUP(E1483, Sales_Reps!A$2:C$31, 3, FALSE)</f>
        <v>North</v>
      </c>
      <c r="R1483">
        <f>VLOOKUP(D1483, Products!A$2:D$61, 4, FALSE)</f>
        <v>2768</v>
      </c>
    </row>
    <row r="1484" spans="1:18" x14ac:dyDescent="0.3">
      <c r="A1484" s="13" t="s">
        <v>1974</v>
      </c>
      <c r="B1484" s="14">
        <v>45353</v>
      </c>
      <c r="C1484" s="13" t="s">
        <v>474</v>
      </c>
      <c r="D1484" s="13" t="s">
        <v>355</v>
      </c>
      <c r="E1484" s="13" t="s">
        <v>92</v>
      </c>
      <c r="F1484" s="15">
        <v>5</v>
      </c>
      <c r="G1484" s="15">
        <v>2510</v>
      </c>
      <c r="H1484" s="15">
        <v>2.9</v>
      </c>
      <c r="I1484" s="15">
        <v>12186.05</v>
      </c>
      <c r="J1484" s="13" t="s">
        <v>93</v>
      </c>
      <c r="K1484" s="13" t="s">
        <v>99</v>
      </c>
      <c r="L1484">
        <f>IF(COUNTIF(A$2:A1484, A1484)=1, IF(COUNTIF(A$2:A$2001, A1484)&gt;1, 1, 0), 0)</f>
        <v>0</v>
      </c>
      <c r="M1484" t="b">
        <f>VLOOKUP(D1484, Products!A$2:F$61, 6, FALSE)</f>
        <v>0</v>
      </c>
      <c r="N1484" t="str">
        <f>VLOOKUP(D1484, Products!A$2:C$61, 3, FALSE)</f>
        <v>Apparel</v>
      </c>
      <c r="O1484" t="str">
        <f>VLOOKUP(C1484, Customers!A$2:E$301, 5, FALSE)</f>
        <v>SMB</v>
      </c>
      <c r="P1484">
        <f>VLOOKUP(C1484, Customers!A$2:C$301, 3, FALSE)</f>
        <v>59</v>
      </c>
      <c r="Q1484" t="str">
        <f>VLOOKUP(E1484, Sales_Reps!A$2:C$31, 3, FALSE)</f>
        <v>North</v>
      </c>
      <c r="R1484">
        <f>VLOOKUP(D1484, Products!A$2:D$61, 4, FALSE)</f>
        <v>1075</v>
      </c>
    </row>
    <row r="1485" spans="1:18" x14ac:dyDescent="0.3">
      <c r="A1485" s="13" t="s">
        <v>1975</v>
      </c>
      <c r="B1485" s="14">
        <v>45525</v>
      </c>
      <c r="C1485" s="13" t="s">
        <v>1976</v>
      </c>
      <c r="D1485" s="13" t="s">
        <v>408</v>
      </c>
      <c r="E1485" s="13" t="s">
        <v>192</v>
      </c>
      <c r="F1485" s="15">
        <v>9</v>
      </c>
      <c r="G1485" s="15">
        <v>3970</v>
      </c>
      <c r="H1485" s="15">
        <v>28</v>
      </c>
      <c r="I1485" s="15">
        <v>25725.599999999999</v>
      </c>
      <c r="J1485" s="13" t="s">
        <v>87</v>
      </c>
      <c r="K1485" s="13" t="s">
        <v>88</v>
      </c>
      <c r="L1485">
        <f>IF(COUNTIF(A$2:A1485, A1485)=1, IF(COUNTIF(A$2:A$2001, A1485)&gt;1, 1, 0), 0)</f>
        <v>0</v>
      </c>
      <c r="M1485" t="b">
        <f>VLOOKUP(D1485, Products!A$2:F$61, 6, FALSE)</f>
        <v>1</v>
      </c>
      <c r="N1485" t="str">
        <f>VLOOKUP(D1485, Products!A$2:C$61, 3, FALSE)</f>
        <v>Electronics</v>
      </c>
      <c r="O1485" t="e">
        <f>VLOOKUP(C1485, Customers!A$2:E$301, 5, FALSE)</f>
        <v>#N/A</v>
      </c>
      <c r="P1485" t="e">
        <f>VLOOKUP(C1485, Customers!A$2:C$301, 3, FALSE)</f>
        <v>#N/A</v>
      </c>
      <c r="Q1485" t="str">
        <f>VLOOKUP(E1485, Sales_Reps!A$2:C$31, 3, FALSE)</f>
        <v>East</v>
      </c>
      <c r="R1485">
        <f>VLOOKUP(D1485, Products!A$2:D$61, 4, FALSE)</f>
        <v>2865</v>
      </c>
    </row>
    <row r="1486" spans="1:18" x14ac:dyDescent="0.3">
      <c r="A1486" s="13" t="s">
        <v>1977</v>
      </c>
      <c r="B1486" s="14">
        <v>45593</v>
      </c>
      <c r="C1486" s="13" t="s">
        <v>1217</v>
      </c>
      <c r="D1486" s="13" t="s">
        <v>97</v>
      </c>
      <c r="E1486" s="13" t="s">
        <v>343</v>
      </c>
      <c r="F1486" s="15">
        <v>4</v>
      </c>
      <c r="G1486" s="15">
        <v>470</v>
      </c>
      <c r="H1486" s="15">
        <v>19.100000000000001</v>
      </c>
      <c r="I1486" s="15">
        <v>1520.92</v>
      </c>
      <c r="J1486" s="13" t="s">
        <v>93</v>
      </c>
      <c r="K1486" s="13" t="s">
        <v>112</v>
      </c>
      <c r="L1486">
        <f>IF(COUNTIF(A$2:A1486, A1486)=1, IF(COUNTIF(A$2:A$2001, A1486)&gt;1, 1, 0), 0)</f>
        <v>0</v>
      </c>
      <c r="M1486" t="b">
        <f>VLOOKUP(D1486, Products!A$2:F$61, 6, FALSE)</f>
        <v>0</v>
      </c>
      <c r="N1486" t="str">
        <f>VLOOKUP(D1486, Products!A$2:C$61, 3, FALSE)</f>
        <v>Sports</v>
      </c>
      <c r="O1486" t="str">
        <f>VLOOKUP(C1486, Customers!A$2:E$301, 5, FALSE)</f>
        <v>Retail</v>
      </c>
      <c r="P1486">
        <f>VLOOKUP(C1486, Customers!A$2:C$301, 3, FALSE)</f>
        <v>44</v>
      </c>
      <c r="Q1486" t="str">
        <f>VLOOKUP(E1486, Sales_Reps!A$2:C$31, 3, FALSE)</f>
        <v>West</v>
      </c>
      <c r="R1486">
        <f>VLOOKUP(D1486, Products!A$2:D$61, 4, FALSE)</f>
        <v>302</v>
      </c>
    </row>
    <row r="1487" spans="1:18" x14ac:dyDescent="0.3">
      <c r="A1487" s="13" t="s">
        <v>1978</v>
      </c>
      <c r="B1487" s="14">
        <v>45550</v>
      </c>
      <c r="C1487" s="13" t="s">
        <v>299</v>
      </c>
      <c r="D1487" s="13" t="s">
        <v>364</v>
      </c>
      <c r="E1487" s="13" t="s">
        <v>111</v>
      </c>
      <c r="F1487" s="15">
        <v>7</v>
      </c>
      <c r="G1487" s="15">
        <v>5330</v>
      </c>
      <c r="H1487" s="15">
        <v>17.2</v>
      </c>
      <c r="I1487" s="15">
        <v>30892.68</v>
      </c>
      <c r="J1487" s="13" t="s">
        <v>140</v>
      </c>
      <c r="K1487" s="13" t="s">
        <v>133</v>
      </c>
      <c r="L1487">
        <f>IF(COUNTIF(A$2:A1487, A1487)=1, IF(COUNTIF(A$2:A$2001, A1487)&gt;1, 1, 0), 0)</f>
        <v>0</v>
      </c>
      <c r="M1487" t="b">
        <f>VLOOKUP(D1487, Products!A$2:F$61, 6, FALSE)</f>
        <v>1</v>
      </c>
      <c r="N1487" t="str">
        <f>VLOOKUP(D1487, Products!A$2:C$61, 3, FALSE)</f>
        <v>Electronics</v>
      </c>
      <c r="O1487" t="str">
        <f>VLOOKUP(C1487, Customers!A$2:E$301, 5, FALSE)</f>
        <v>Retail</v>
      </c>
      <c r="P1487">
        <f>VLOOKUP(C1487, Customers!A$2:C$301, 3, FALSE)</f>
        <v>29</v>
      </c>
      <c r="Q1487" t="str">
        <f>VLOOKUP(E1487, Sales_Reps!A$2:C$31, 3, FALSE)</f>
        <v>West</v>
      </c>
      <c r="R1487">
        <f>VLOOKUP(D1487, Products!A$2:D$61, 4, FALSE)</f>
        <v>2405</v>
      </c>
    </row>
    <row r="1488" spans="1:18" x14ac:dyDescent="0.3">
      <c r="A1488" s="13" t="s">
        <v>1979</v>
      </c>
      <c r="B1488" s="14">
        <v>45511</v>
      </c>
      <c r="C1488" s="13" t="s">
        <v>153</v>
      </c>
      <c r="D1488" s="13" t="s">
        <v>502</v>
      </c>
      <c r="E1488" s="13" t="s">
        <v>325</v>
      </c>
      <c r="F1488" s="15">
        <v>4</v>
      </c>
      <c r="G1488" s="15">
        <v>1090</v>
      </c>
      <c r="H1488" s="15">
        <v>4.9000000000000004</v>
      </c>
      <c r="I1488" s="15">
        <v>4146.3599999999997</v>
      </c>
      <c r="J1488" s="13" t="s">
        <v>140</v>
      </c>
      <c r="K1488" s="13" t="s">
        <v>117</v>
      </c>
      <c r="L1488">
        <f>IF(COUNTIF(A$2:A1488, A1488)=1, IF(COUNTIF(A$2:A$2001, A1488)&gt;1, 1, 0), 0)</f>
        <v>0</v>
      </c>
      <c r="M1488" t="b">
        <f>VLOOKUP(D1488, Products!A$2:F$61, 6, FALSE)</f>
        <v>1</v>
      </c>
      <c r="N1488" t="str">
        <f>VLOOKUP(D1488, Products!A$2:C$61, 3, FALSE)</f>
        <v>Home</v>
      </c>
      <c r="O1488" t="str">
        <f>VLOOKUP(C1488, Customers!A$2:E$301, 5, FALSE)</f>
        <v>SMB</v>
      </c>
      <c r="P1488">
        <f>VLOOKUP(C1488, Customers!A$2:C$301, 3, FALSE)</f>
        <v>46</v>
      </c>
      <c r="Q1488" t="str">
        <f>VLOOKUP(E1488, Sales_Reps!A$2:C$31, 3, FALSE)</f>
        <v>South</v>
      </c>
      <c r="R1488">
        <f>VLOOKUP(D1488, Products!A$2:D$61, 4, FALSE)</f>
        <v>464</v>
      </c>
    </row>
    <row r="1489" spans="1:18" x14ac:dyDescent="0.3">
      <c r="A1489" s="13" t="s">
        <v>1980</v>
      </c>
      <c r="B1489" s="14">
        <v>45456</v>
      </c>
      <c r="C1489" s="13" t="s">
        <v>440</v>
      </c>
      <c r="D1489" s="13" t="s">
        <v>182</v>
      </c>
      <c r="E1489" s="13" t="s">
        <v>204</v>
      </c>
      <c r="F1489" s="15">
        <v>2</v>
      </c>
      <c r="G1489" s="15">
        <v>1010</v>
      </c>
      <c r="H1489" s="15">
        <v>14</v>
      </c>
      <c r="I1489" s="15">
        <v>1737.2</v>
      </c>
      <c r="J1489" s="13" t="s">
        <v>87</v>
      </c>
      <c r="K1489" s="13" t="s">
        <v>88</v>
      </c>
      <c r="L1489">
        <f>IF(COUNTIF(A$2:A1489, A1489)=1, IF(COUNTIF(A$2:A$2001, A1489)&gt;1, 1, 0), 0)</f>
        <v>0</v>
      </c>
      <c r="M1489" t="b">
        <f>VLOOKUP(D1489, Products!A$2:F$61, 6, FALSE)</f>
        <v>1</v>
      </c>
      <c r="N1489" t="str">
        <f>VLOOKUP(D1489, Products!A$2:C$61, 3, FALSE)</f>
        <v>Sports</v>
      </c>
      <c r="O1489" t="str">
        <f>VLOOKUP(C1489, Customers!A$2:E$301, 5, FALSE)</f>
        <v>SMB</v>
      </c>
      <c r="P1489">
        <f>VLOOKUP(C1489, Customers!A$2:C$301, 3, FALSE)</f>
        <v>30</v>
      </c>
      <c r="Q1489" t="str">
        <f>VLOOKUP(E1489, Sales_Reps!A$2:C$31, 3, FALSE)</f>
        <v>South</v>
      </c>
      <c r="R1489">
        <f>VLOOKUP(D1489, Products!A$2:D$61, 4, FALSE)</f>
        <v>516</v>
      </c>
    </row>
    <row r="1490" spans="1:18" x14ac:dyDescent="0.3">
      <c r="A1490" s="13" t="s">
        <v>1981</v>
      </c>
      <c r="B1490" s="14">
        <v>45343</v>
      </c>
      <c r="C1490" s="13" t="s">
        <v>608</v>
      </c>
      <c r="D1490" s="13" t="s">
        <v>248</v>
      </c>
      <c r="E1490" s="13" t="s">
        <v>346</v>
      </c>
      <c r="F1490" s="15">
        <v>9</v>
      </c>
      <c r="G1490" s="15">
        <v>3870</v>
      </c>
      <c r="H1490" s="15">
        <v>8.1999999999999993</v>
      </c>
      <c r="I1490" s="15">
        <v>31973.94</v>
      </c>
      <c r="J1490" s="13" t="s">
        <v>87</v>
      </c>
      <c r="K1490" s="13" t="s">
        <v>786</v>
      </c>
      <c r="L1490">
        <f>IF(COUNTIF(A$2:A1490, A1490)=1, IF(COUNTIF(A$2:A$2001, A1490)&gt;1, 1, 0), 0)</f>
        <v>0</v>
      </c>
      <c r="M1490" t="b">
        <f>VLOOKUP(D1490, Products!A$2:F$61, 6, FALSE)</f>
        <v>1</v>
      </c>
      <c r="N1490" t="str">
        <f>VLOOKUP(D1490, Products!A$2:C$61, 3, FALSE)</f>
        <v>Electronics</v>
      </c>
      <c r="O1490" t="str">
        <f>VLOOKUP(C1490, Customers!A$2:E$301, 5, FALSE)</f>
        <v>Corporate</v>
      </c>
      <c r="P1490">
        <f>VLOOKUP(C1490, Customers!A$2:C$301, 3, FALSE)</f>
        <v>40</v>
      </c>
      <c r="Q1490" t="str">
        <f>VLOOKUP(E1490, Sales_Reps!A$2:C$31, 3, FALSE)</f>
        <v>South</v>
      </c>
      <c r="R1490">
        <f>VLOOKUP(D1490, Products!A$2:D$61, 4, FALSE)</f>
        <v>1559</v>
      </c>
    </row>
    <row r="1491" spans="1:18" x14ac:dyDescent="0.3">
      <c r="A1491" s="13" t="s">
        <v>1982</v>
      </c>
      <c r="B1491" s="14">
        <v>45491</v>
      </c>
      <c r="C1491" s="13" t="s">
        <v>1047</v>
      </c>
      <c r="D1491" s="13" t="s">
        <v>279</v>
      </c>
      <c r="E1491" s="13" t="s">
        <v>252</v>
      </c>
      <c r="F1491" s="15">
        <v>7</v>
      </c>
      <c r="G1491" s="15">
        <v>2660</v>
      </c>
      <c r="H1491" s="15">
        <v>15.9</v>
      </c>
      <c r="I1491" s="15">
        <v>15659.42</v>
      </c>
      <c r="J1491" s="13" t="s">
        <v>87</v>
      </c>
      <c r="K1491" s="13" t="s">
        <v>133</v>
      </c>
      <c r="L1491">
        <f>IF(COUNTIF(A$2:A1491, A1491)=1, IF(COUNTIF(A$2:A$2001, A1491)&gt;1, 1, 0), 0)</f>
        <v>0</v>
      </c>
      <c r="M1491" t="b">
        <f>VLOOKUP(D1491, Products!A$2:F$61, 6, FALSE)</f>
        <v>0</v>
      </c>
      <c r="N1491" t="str">
        <f>VLOOKUP(D1491, Products!A$2:C$61, 3, FALSE)</f>
        <v>Electronics</v>
      </c>
      <c r="O1491" t="str">
        <f>VLOOKUP(C1491, Customers!A$2:E$301, 5, FALSE)</f>
        <v>Retail</v>
      </c>
      <c r="P1491">
        <f>VLOOKUP(C1491, Customers!A$2:C$301, 3, FALSE)</f>
        <v>41</v>
      </c>
      <c r="Q1491" t="str">
        <f>VLOOKUP(E1491, Sales_Reps!A$2:C$31, 3, FALSE)</f>
        <v>South</v>
      </c>
      <c r="R1491">
        <f>VLOOKUP(D1491, Products!A$2:D$61, 4, FALSE)</f>
        <v>1259</v>
      </c>
    </row>
    <row r="1492" spans="1:18" x14ac:dyDescent="0.3">
      <c r="A1492" s="13" t="s">
        <v>1983</v>
      </c>
      <c r="B1492" s="14">
        <v>45619</v>
      </c>
      <c r="C1492" s="13" t="s">
        <v>524</v>
      </c>
      <c r="D1492" s="13" t="s">
        <v>120</v>
      </c>
      <c r="E1492" s="13" t="s">
        <v>121</v>
      </c>
      <c r="F1492" s="15">
        <v>4</v>
      </c>
      <c r="G1492" s="15">
        <v>1430</v>
      </c>
      <c r="H1492" s="15">
        <v>25.6</v>
      </c>
      <c r="I1492" s="15">
        <v>4255.68</v>
      </c>
      <c r="J1492" s="13" t="s">
        <v>87</v>
      </c>
      <c r="K1492" s="13" t="s">
        <v>112</v>
      </c>
      <c r="L1492">
        <f>IF(COUNTIF(A$2:A1492, A1492)=1, IF(COUNTIF(A$2:A$2001, A1492)&gt;1, 1, 0), 0)</f>
        <v>0</v>
      </c>
      <c r="M1492" t="b">
        <f>VLOOKUP(D1492, Products!A$2:F$61, 6, FALSE)</f>
        <v>1</v>
      </c>
      <c r="N1492" t="str">
        <f>VLOOKUP(D1492, Products!A$2:C$61, 3, FALSE)</f>
        <v>Electronics</v>
      </c>
      <c r="O1492" t="str">
        <f>VLOOKUP(C1492, Customers!A$2:E$301, 5, FALSE)</f>
        <v>Corporate</v>
      </c>
      <c r="P1492">
        <f>VLOOKUP(C1492, Customers!A$2:C$301, 3, FALSE)</f>
        <v>55</v>
      </c>
      <c r="Q1492" t="str">
        <f>VLOOKUP(E1492, Sales_Reps!A$2:C$31, 3, FALSE)</f>
        <v>East</v>
      </c>
      <c r="R1492">
        <f>VLOOKUP(D1492, Products!A$2:D$61, 4, FALSE)</f>
        <v>861</v>
      </c>
    </row>
    <row r="1493" spans="1:18" x14ac:dyDescent="0.3">
      <c r="A1493" s="13" t="s">
        <v>1984</v>
      </c>
      <c r="B1493" s="14">
        <v>45374</v>
      </c>
      <c r="C1493" s="13" t="s">
        <v>504</v>
      </c>
      <c r="D1493" s="13" t="s">
        <v>184</v>
      </c>
      <c r="E1493" s="13" t="s">
        <v>154</v>
      </c>
      <c r="F1493" s="15">
        <v>4</v>
      </c>
      <c r="G1493" s="15">
        <v>4880</v>
      </c>
      <c r="H1493" s="15">
        <v>19.399999999999999</v>
      </c>
      <c r="I1493" s="15">
        <v>15733.12</v>
      </c>
      <c r="J1493" s="13" t="s">
        <v>140</v>
      </c>
      <c r="K1493" s="13" t="s">
        <v>117</v>
      </c>
      <c r="L1493">
        <f>IF(COUNTIF(A$2:A1493, A1493)=1, IF(COUNTIF(A$2:A$2001, A1493)&gt;1, 1, 0), 0)</f>
        <v>0</v>
      </c>
      <c r="M1493" t="b">
        <f>VLOOKUP(D1493, Products!A$2:F$61, 6, FALSE)</f>
        <v>1</v>
      </c>
      <c r="N1493" t="str">
        <f>VLOOKUP(D1493, Products!A$2:C$61, 3, FALSE)</f>
        <v>Beauty</v>
      </c>
      <c r="O1493" t="str">
        <f>VLOOKUP(C1493, Customers!A$2:E$301, 5, FALSE)</f>
        <v>Corporate</v>
      </c>
      <c r="P1493">
        <f>VLOOKUP(C1493, Customers!A$2:C$301, 3, FALSE)</f>
        <v>36</v>
      </c>
      <c r="Q1493" t="str">
        <f>VLOOKUP(E1493, Sales_Reps!A$2:C$31, 3, FALSE)</f>
        <v>East</v>
      </c>
      <c r="R1493">
        <f>VLOOKUP(D1493, Products!A$2:D$61, 4, FALSE)</f>
        <v>2768</v>
      </c>
    </row>
    <row r="1494" spans="1:18" x14ac:dyDescent="0.3">
      <c r="A1494" s="13" t="s">
        <v>1985</v>
      </c>
      <c r="B1494" s="14">
        <v>45566</v>
      </c>
      <c r="C1494" s="13" t="s">
        <v>463</v>
      </c>
      <c r="D1494" s="13" t="s">
        <v>147</v>
      </c>
      <c r="E1494" s="13" t="s">
        <v>215</v>
      </c>
      <c r="F1494" s="15">
        <v>2</v>
      </c>
      <c r="G1494" s="15">
        <v>190</v>
      </c>
      <c r="H1494" s="15">
        <v>9</v>
      </c>
      <c r="I1494" s="15">
        <v>345.8</v>
      </c>
      <c r="J1494" s="13" t="s">
        <v>87</v>
      </c>
      <c r="K1494" s="13" t="s">
        <v>117</v>
      </c>
      <c r="L1494">
        <f>IF(COUNTIF(A$2:A1494, A1494)=1, IF(COUNTIF(A$2:A$2001, A1494)&gt;1, 1, 0), 0)</f>
        <v>0</v>
      </c>
      <c r="M1494" t="b">
        <f>VLOOKUP(D1494, Products!A$2:F$61, 6, FALSE)</f>
        <v>1</v>
      </c>
      <c r="N1494" t="str">
        <f>VLOOKUP(D1494, Products!A$2:C$61, 3, FALSE)</f>
        <v>Sports</v>
      </c>
      <c r="O1494" t="str">
        <f>VLOOKUP(C1494, Customers!A$2:E$301, 5, FALSE)</f>
        <v>Retail</v>
      </c>
      <c r="P1494">
        <f>VLOOKUP(C1494, Customers!A$2:C$301, 3, FALSE)</f>
        <v>55</v>
      </c>
      <c r="Q1494" t="str">
        <f>VLOOKUP(E1494, Sales_Reps!A$2:C$31, 3, FALSE)</f>
        <v>North</v>
      </c>
      <c r="R1494">
        <f>VLOOKUP(D1494, Products!A$2:D$61, 4, FALSE)</f>
        <v>147</v>
      </c>
    </row>
    <row r="1495" spans="1:18" x14ac:dyDescent="0.3">
      <c r="A1495" s="13" t="s">
        <v>1986</v>
      </c>
      <c r="B1495" s="14">
        <v>45415</v>
      </c>
      <c r="C1495" s="13" t="s">
        <v>434</v>
      </c>
      <c r="D1495" s="13" t="s">
        <v>276</v>
      </c>
      <c r="E1495" s="13" t="s">
        <v>121</v>
      </c>
      <c r="F1495" s="15">
        <v>1</v>
      </c>
      <c r="G1495" s="15">
        <v>3020</v>
      </c>
      <c r="H1495" s="15">
        <v>3.6</v>
      </c>
      <c r="I1495" s="15">
        <v>2911.28</v>
      </c>
      <c r="J1495" s="13" t="s">
        <v>144</v>
      </c>
      <c r="K1495" s="13" t="s">
        <v>99</v>
      </c>
      <c r="L1495">
        <f>IF(COUNTIF(A$2:A1495, A1495)=1, IF(COUNTIF(A$2:A$2001, A1495)&gt;1, 1, 0), 0)</f>
        <v>0</v>
      </c>
      <c r="M1495" t="b">
        <f>VLOOKUP(D1495, Products!A$2:F$61, 6, FALSE)</f>
        <v>1</v>
      </c>
      <c r="N1495" t="str">
        <f>VLOOKUP(D1495, Products!A$2:C$61, 3, FALSE)</f>
        <v>Beauty</v>
      </c>
      <c r="O1495" t="str">
        <f>VLOOKUP(C1495, Customers!A$2:E$301, 5, FALSE)</f>
        <v>Corporate</v>
      </c>
      <c r="P1495">
        <f>VLOOKUP(C1495, Customers!A$2:C$301, 3, FALSE)</f>
        <v>31</v>
      </c>
      <c r="Q1495" t="str">
        <f>VLOOKUP(E1495, Sales_Reps!A$2:C$31, 3, FALSE)</f>
        <v>East</v>
      </c>
      <c r="R1495">
        <f>VLOOKUP(D1495, Products!A$2:D$61, 4, FALSE)</f>
        <v>1626</v>
      </c>
    </row>
    <row r="1496" spans="1:18" x14ac:dyDescent="0.3">
      <c r="A1496" s="13" t="s">
        <v>1987</v>
      </c>
      <c r="B1496" s="14">
        <v>45601</v>
      </c>
      <c r="C1496" s="13" t="s">
        <v>119</v>
      </c>
      <c r="D1496" s="13" t="s">
        <v>184</v>
      </c>
      <c r="E1496" s="13" t="s">
        <v>121</v>
      </c>
      <c r="F1496" s="15">
        <v>2</v>
      </c>
      <c r="G1496" s="15">
        <v>4880</v>
      </c>
      <c r="H1496" s="15">
        <v>2</v>
      </c>
      <c r="I1496" s="15">
        <v>9564.7999999999993</v>
      </c>
      <c r="J1496" s="13" t="s">
        <v>140</v>
      </c>
      <c r="K1496" s="13" t="s">
        <v>117</v>
      </c>
      <c r="L1496">
        <f>IF(COUNTIF(A$2:A1496, A1496)=1, IF(COUNTIF(A$2:A$2001, A1496)&gt;1, 1, 0), 0)</f>
        <v>0</v>
      </c>
      <c r="M1496" t="b">
        <f>VLOOKUP(D1496, Products!A$2:F$61, 6, FALSE)</f>
        <v>1</v>
      </c>
      <c r="N1496" t="str">
        <f>VLOOKUP(D1496, Products!A$2:C$61, 3, FALSE)</f>
        <v>Beauty</v>
      </c>
      <c r="O1496" t="str">
        <f>VLOOKUP(C1496, Customers!A$2:E$301, 5, FALSE)</f>
        <v>Corporate</v>
      </c>
      <c r="P1496">
        <f>VLOOKUP(C1496, Customers!A$2:C$301, 3, FALSE)</f>
        <v>57</v>
      </c>
      <c r="Q1496" t="str">
        <f>VLOOKUP(E1496, Sales_Reps!A$2:C$31, 3, FALSE)</f>
        <v>East</v>
      </c>
      <c r="R1496">
        <f>VLOOKUP(D1496, Products!A$2:D$61, 4, FALSE)</f>
        <v>2768</v>
      </c>
    </row>
    <row r="1497" spans="1:18" x14ac:dyDescent="0.3">
      <c r="A1497" s="13" t="s">
        <v>1988</v>
      </c>
      <c r="B1497" s="14">
        <v>45319</v>
      </c>
      <c r="C1497" s="13" t="s">
        <v>841</v>
      </c>
      <c r="D1497" s="13" t="s">
        <v>151</v>
      </c>
      <c r="E1497" s="13" t="s">
        <v>343</v>
      </c>
      <c r="F1497" s="15">
        <v>4</v>
      </c>
      <c r="G1497" s="15">
        <v>2400</v>
      </c>
      <c r="H1497" s="15">
        <v>11.5</v>
      </c>
      <c r="I1497" s="15">
        <v>8496</v>
      </c>
      <c r="J1497" s="13" t="s">
        <v>87</v>
      </c>
      <c r="K1497" s="13" t="s">
        <v>117</v>
      </c>
      <c r="L1497">
        <f>IF(COUNTIF(A$2:A1497, A1497)=1, IF(COUNTIF(A$2:A$2001, A1497)&gt;1, 1, 0), 0)</f>
        <v>0</v>
      </c>
      <c r="M1497" t="b">
        <f>VLOOKUP(D1497, Products!A$2:F$61, 6, FALSE)</f>
        <v>1</v>
      </c>
      <c r="N1497" t="str">
        <f>VLOOKUP(D1497, Products!A$2:C$61, 3, FALSE)</f>
        <v>Sports</v>
      </c>
      <c r="O1497" t="str">
        <f>VLOOKUP(C1497, Customers!A$2:E$301, 5, FALSE)</f>
        <v>Corporate</v>
      </c>
      <c r="P1497">
        <f>VLOOKUP(C1497, Customers!A$2:C$301, 3, FALSE)</f>
        <v>41</v>
      </c>
      <c r="Q1497" t="str">
        <f>VLOOKUP(E1497, Sales_Reps!A$2:C$31, 3, FALSE)</f>
        <v>West</v>
      </c>
      <c r="R1497">
        <f>VLOOKUP(D1497, Products!A$2:D$61, 4, FALSE)</f>
        <v>974</v>
      </c>
    </row>
    <row r="1498" spans="1:18" x14ac:dyDescent="0.3">
      <c r="A1498" s="13" t="s">
        <v>1989</v>
      </c>
      <c r="B1498" s="14">
        <v>45357</v>
      </c>
      <c r="C1498" s="13" t="s">
        <v>557</v>
      </c>
      <c r="D1498" s="13" t="s">
        <v>241</v>
      </c>
      <c r="E1498" s="13" t="s">
        <v>297</v>
      </c>
      <c r="F1498" s="15">
        <v>2</v>
      </c>
      <c r="G1498" s="15">
        <v>6080</v>
      </c>
      <c r="H1498" s="15">
        <v>0.5</v>
      </c>
      <c r="I1498" s="15">
        <v>12099.2</v>
      </c>
      <c r="J1498" s="13" t="s">
        <v>140</v>
      </c>
      <c r="K1498" s="13" t="s">
        <v>112</v>
      </c>
      <c r="L1498">
        <f>IF(COUNTIF(A$2:A1498, A1498)=1, IF(COUNTIF(A$2:A$2001, A1498)&gt;1, 1, 0), 0)</f>
        <v>0</v>
      </c>
      <c r="M1498" t="b">
        <f>VLOOKUP(D1498, Products!A$2:F$61, 6, FALSE)</f>
        <v>1</v>
      </c>
      <c r="N1498" t="str">
        <f>VLOOKUP(D1498, Products!A$2:C$61, 3, FALSE)</f>
        <v>Beauty</v>
      </c>
      <c r="O1498" t="str">
        <f>VLOOKUP(C1498, Customers!A$2:E$301, 5, FALSE)</f>
        <v>Retail</v>
      </c>
      <c r="P1498">
        <f>VLOOKUP(C1498, Customers!A$2:C$301, 3, FALSE)</f>
        <v>65</v>
      </c>
      <c r="Q1498" t="str">
        <f>VLOOKUP(E1498, Sales_Reps!A$2:C$31, 3, FALSE)</f>
        <v>North</v>
      </c>
      <c r="R1498">
        <f>VLOOKUP(D1498, Products!A$2:D$61, 4, FALSE)</f>
        <v>2617</v>
      </c>
    </row>
    <row r="1499" spans="1:18" x14ac:dyDescent="0.3">
      <c r="A1499" s="13" t="s">
        <v>1990</v>
      </c>
      <c r="B1499" s="14">
        <v>45384</v>
      </c>
      <c r="C1499" s="13" t="s">
        <v>823</v>
      </c>
      <c r="D1499" s="13" t="s">
        <v>367</v>
      </c>
      <c r="E1499" s="13" t="s">
        <v>154</v>
      </c>
      <c r="F1499" s="15">
        <v>7</v>
      </c>
      <c r="G1499" s="15">
        <v>2380</v>
      </c>
      <c r="H1499" s="15">
        <v>12.3</v>
      </c>
      <c r="I1499" s="15">
        <v>14610.82</v>
      </c>
      <c r="J1499" s="13" t="s">
        <v>87</v>
      </c>
      <c r="K1499" s="13" t="s">
        <v>94</v>
      </c>
      <c r="L1499">
        <f>IF(COUNTIF(A$2:A1499, A1499)=1, IF(COUNTIF(A$2:A$2001, A1499)&gt;1, 1, 0), 0)</f>
        <v>0</v>
      </c>
      <c r="M1499" t="b">
        <f>VLOOKUP(D1499, Products!A$2:F$61, 6, FALSE)</f>
        <v>1</v>
      </c>
      <c r="N1499" t="str">
        <f>VLOOKUP(D1499, Products!A$2:C$61, 3, FALSE)</f>
        <v>Grocery</v>
      </c>
      <c r="O1499" t="str">
        <f>VLOOKUP(C1499, Customers!A$2:E$301, 5, FALSE)</f>
        <v>Retail</v>
      </c>
      <c r="P1499">
        <f>VLOOKUP(C1499, Customers!A$2:C$301, 3, FALSE)</f>
        <v>32</v>
      </c>
      <c r="Q1499" t="str">
        <f>VLOOKUP(E1499, Sales_Reps!A$2:C$31, 3, FALSE)</f>
        <v>East</v>
      </c>
      <c r="R1499">
        <f>VLOOKUP(D1499, Products!A$2:D$61, 4, FALSE)</f>
        <v>1182</v>
      </c>
    </row>
    <row r="1500" spans="1:18" x14ac:dyDescent="0.3">
      <c r="A1500" s="13" t="s">
        <v>1991</v>
      </c>
      <c r="B1500" s="14">
        <v>45509</v>
      </c>
      <c r="C1500" s="13" t="s">
        <v>369</v>
      </c>
      <c r="D1500" s="13" t="s">
        <v>259</v>
      </c>
      <c r="E1500" s="13" t="s">
        <v>215</v>
      </c>
      <c r="F1500" s="15">
        <v>10</v>
      </c>
      <c r="G1500" s="15">
        <v>1540</v>
      </c>
      <c r="H1500" s="15">
        <v>20.6</v>
      </c>
      <c r="I1500" s="15">
        <v>12227.6</v>
      </c>
      <c r="J1500" s="13" t="s">
        <v>87</v>
      </c>
      <c r="K1500" s="13" t="s">
        <v>94</v>
      </c>
      <c r="L1500">
        <f>IF(COUNTIF(A$2:A1500, A1500)=1, IF(COUNTIF(A$2:A$2001, A1500)&gt;1, 1, 0), 0)</f>
        <v>0</v>
      </c>
      <c r="M1500" t="b">
        <f>VLOOKUP(D1500, Products!A$2:F$61, 6, FALSE)</f>
        <v>0</v>
      </c>
      <c r="N1500" t="str">
        <f>VLOOKUP(D1500, Products!A$2:C$61, 3, FALSE)</f>
        <v>Beauty</v>
      </c>
      <c r="O1500" t="str">
        <f>VLOOKUP(C1500, Customers!A$2:E$301, 5, FALSE)</f>
        <v>SMB</v>
      </c>
      <c r="P1500">
        <f>VLOOKUP(C1500, Customers!A$2:C$301, 3, FALSE)</f>
        <v>62</v>
      </c>
      <c r="Q1500" t="str">
        <f>VLOOKUP(E1500, Sales_Reps!A$2:C$31, 3, FALSE)</f>
        <v>North</v>
      </c>
      <c r="R1500">
        <f>VLOOKUP(D1500, Products!A$2:D$61, 4, FALSE)</f>
        <v>647</v>
      </c>
    </row>
    <row r="1501" spans="1:18" x14ac:dyDescent="0.3">
      <c r="A1501" s="13" t="s">
        <v>1992</v>
      </c>
      <c r="B1501" s="14">
        <v>45520</v>
      </c>
      <c r="C1501" s="13" t="s">
        <v>163</v>
      </c>
      <c r="D1501" s="13" t="s">
        <v>248</v>
      </c>
      <c r="E1501" s="13" t="s">
        <v>128</v>
      </c>
      <c r="F1501" s="15">
        <v>7</v>
      </c>
      <c r="G1501" s="15">
        <v>3870</v>
      </c>
      <c r="H1501" s="15">
        <v>6.1</v>
      </c>
      <c r="I1501" s="15">
        <v>25437.51</v>
      </c>
      <c r="J1501" s="13" t="s">
        <v>87</v>
      </c>
      <c r="K1501" s="13" t="s">
        <v>94</v>
      </c>
      <c r="L1501">
        <f>IF(COUNTIF(A$2:A1501, A1501)=1, IF(COUNTIF(A$2:A$2001, A1501)&gt;1, 1, 0), 0)</f>
        <v>0</v>
      </c>
      <c r="M1501" t="b">
        <f>VLOOKUP(D1501, Products!A$2:F$61, 6, FALSE)</f>
        <v>1</v>
      </c>
      <c r="N1501" t="str">
        <f>VLOOKUP(D1501, Products!A$2:C$61, 3, FALSE)</f>
        <v>Electronics</v>
      </c>
      <c r="O1501" t="str">
        <f>VLOOKUP(C1501, Customers!A$2:E$301, 5, FALSE)</f>
        <v>Retail</v>
      </c>
      <c r="P1501">
        <f>VLOOKUP(C1501, Customers!A$2:C$301, 3, FALSE)</f>
        <v>49</v>
      </c>
      <c r="Q1501" t="str">
        <f>VLOOKUP(E1501, Sales_Reps!A$2:C$31, 3, FALSE)</f>
        <v>West</v>
      </c>
      <c r="R1501">
        <f>VLOOKUP(D1501, Products!A$2:D$61, 4, FALSE)</f>
        <v>1559</v>
      </c>
    </row>
    <row r="1502" spans="1:18" x14ac:dyDescent="0.3">
      <c r="A1502" s="13" t="s">
        <v>1993</v>
      </c>
      <c r="B1502" s="14">
        <v>45383</v>
      </c>
      <c r="C1502" s="13" t="s">
        <v>580</v>
      </c>
      <c r="D1502" s="13" t="s">
        <v>110</v>
      </c>
      <c r="E1502" s="13" t="s">
        <v>158</v>
      </c>
      <c r="F1502" s="15">
        <v>3</v>
      </c>
      <c r="G1502" s="15">
        <v>370</v>
      </c>
      <c r="H1502" s="15">
        <v>13.7</v>
      </c>
      <c r="I1502" s="15">
        <v>957.93</v>
      </c>
      <c r="J1502" s="13" t="s">
        <v>87</v>
      </c>
      <c r="K1502" s="13" t="s">
        <v>88</v>
      </c>
      <c r="L1502">
        <f>IF(COUNTIF(A$2:A1502, A1502)=1, IF(COUNTIF(A$2:A$2001, A1502)&gt;1, 1, 0), 0)</f>
        <v>0</v>
      </c>
      <c r="M1502" t="b">
        <f>VLOOKUP(D1502, Products!A$2:F$61, 6, FALSE)</f>
        <v>1</v>
      </c>
      <c r="N1502" t="str">
        <f>VLOOKUP(D1502, Products!A$2:C$61, 3, FALSE)</f>
        <v>Home</v>
      </c>
      <c r="O1502" t="str">
        <f>VLOOKUP(C1502, Customers!A$2:E$301, 5, FALSE)</f>
        <v>Corporate</v>
      </c>
      <c r="P1502">
        <f>VLOOKUP(C1502, Customers!A$2:C$301, 3, FALSE)</f>
        <v>40</v>
      </c>
      <c r="Q1502" t="str">
        <f>VLOOKUP(E1502, Sales_Reps!A$2:C$31, 3, FALSE)</f>
        <v>East</v>
      </c>
      <c r="R1502">
        <f>VLOOKUP(D1502, Products!A$2:D$61, 4, FALSE)</f>
        <v>288</v>
      </c>
    </row>
    <row r="1503" spans="1:18" x14ac:dyDescent="0.3">
      <c r="A1503" s="13" t="s">
        <v>1994</v>
      </c>
      <c r="B1503" s="14">
        <v>45328</v>
      </c>
      <c r="C1503" s="13" t="s">
        <v>371</v>
      </c>
      <c r="D1503" s="13" t="s">
        <v>147</v>
      </c>
      <c r="E1503" s="13" t="s">
        <v>343</v>
      </c>
      <c r="F1503" s="15">
        <v>8</v>
      </c>
      <c r="G1503" s="15">
        <v>190</v>
      </c>
      <c r="H1503" s="15">
        <v>0.2</v>
      </c>
      <c r="I1503" s="15">
        <v>1516.96</v>
      </c>
      <c r="J1503" s="13" t="s">
        <v>87</v>
      </c>
      <c r="K1503" s="13" t="s">
        <v>112</v>
      </c>
      <c r="L1503">
        <f>IF(COUNTIF(A$2:A1503, A1503)=1, IF(COUNTIF(A$2:A$2001, A1503)&gt;1, 1, 0), 0)</f>
        <v>0</v>
      </c>
      <c r="M1503" t="b">
        <f>VLOOKUP(D1503, Products!A$2:F$61, 6, FALSE)</f>
        <v>1</v>
      </c>
      <c r="N1503" t="str">
        <f>VLOOKUP(D1503, Products!A$2:C$61, 3, FALSE)</f>
        <v>Sports</v>
      </c>
      <c r="O1503" t="str">
        <f>VLOOKUP(C1503, Customers!A$2:E$301, 5, FALSE)</f>
        <v>Retail</v>
      </c>
      <c r="P1503">
        <f>VLOOKUP(C1503, Customers!A$2:C$301, 3, FALSE)</f>
        <v>42</v>
      </c>
      <c r="Q1503" t="str">
        <f>VLOOKUP(E1503, Sales_Reps!A$2:C$31, 3, FALSE)</f>
        <v>West</v>
      </c>
      <c r="R1503">
        <f>VLOOKUP(D1503, Products!A$2:D$61, 4, FALSE)</f>
        <v>147</v>
      </c>
    </row>
    <row r="1504" spans="1:18" x14ac:dyDescent="0.3">
      <c r="A1504" s="13" t="s">
        <v>1995</v>
      </c>
      <c r="B1504" s="14">
        <v>45501</v>
      </c>
      <c r="C1504" s="13" t="s">
        <v>90</v>
      </c>
      <c r="D1504" s="13" t="s">
        <v>120</v>
      </c>
      <c r="E1504" s="13" t="s">
        <v>273</v>
      </c>
      <c r="F1504" s="15">
        <v>6</v>
      </c>
      <c r="G1504" s="15">
        <v>1430</v>
      </c>
      <c r="H1504" s="15">
        <v>0.1</v>
      </c>
      <c r="I1504" s="15">
        <v>8571.42</v>
      </c>
      <c r="J1504" s="13" t="s">
        <v>87</v>
      </c>
      <c r="K1504" s="13" t="s">
        <v>94</v>
      </c>
      <c r="L1504">
        <f>IF(COUNTIF(A$2:A1504, A1504)=1, IF(COUNTIF(A$2:A$2001, A1504)&gt;1, 1, 0), 0)</f>
        <v>0</v>
      </c>
      <c r="M1504" t="b">
        <f>VLOOKUP(D1504, Products!A$2:F$61, 6, FALSE)</f>
        <v>1</v>
      </c>
      <c r="N1504" t="str">
        <f>VLOOKUP(D1504, Products!A$2:C$61, 3, FALSE)</f>
        <v>Electronics</v>
      </c>
      <c r="O1504" t="str">
        <f>VLOOKUP(C1504, Customers!A$2:E$301, 5, FALSE)</f>
        <v>Retail</v>
      </c>
      <c r="P1504">
        <f>VLOOKUP(C1504, Customers!A$2:C$301, 3, FALSE)</f>
        <v>39</v>
      </c>
      <c r="Q1504" t="str">
        <f>VLOOKUP(E1504, Sales_Reps!A$2:C$31, 3, FALSE)</f>
        <v>South</v>
      </c>
      <c r="R1504">
        <f>VLOOKUP(D1504, Products!A$2:D$61, 4, FALSE)</f>
        <v>861</v>
      </c>
    </row>
    <row r="1505" spans="1:18" x14ac:dyDescent="0.3">
      <c r="A1505" s="13" t="s">
        <v>1996</v>
      </c>
      <c r="B1505" s="14">
        <v>45346</v>
      </c>
      <c r="C1505" s="13" t="s">
        <v>472</v>
      </c>
      <c r="D1505" s="13" t="s">
        <v>97</v>
      </c>
      <c r="E1505" s="13" t="s">
        <v>192</v>
      </c>
      <c r="F1505" s="15">
        <v>4</v>
      </c>
      <c r="G1505" s="15">
        <v>470</v>
      </c>
      <c r="H1505" s="15">
        <v>3</v>
      </c>
      <c r="I1505" s="15">
        <v>1823.6</v>
      </c>
      <c r="J1505" s="13" t="s">
        <v>87</v>
      </c>
      <c r="K1505" s="13" t="s">
        <v>94</v>
      </c>
      <c r="L1505">
        <f>IF(COUNTIF(A$2:A1505, A1505)=1, IF(COUNTIF(A$2:A$2001, A1505)&gt;1, 1, 0), 0)</f>
        <v>0</v>
      </c>
      <c r="M1505" t="b">
        <f>VLOOKUP(D1505, Products!A$2:F$61, 6, FALSE)</f>
        <v>0</v>
      </c>
      <c r="N1505" t="str">
        <f>VLOOKUP(D1505, Products!A$2:C$61, 3, FALSE)</f>
        <v>Sports</v>
      </c>
      <c r="O1505" t="str">
        <f>VLOOKUP(C1505, Customers!A$2:E$301, 5, FALSE)</f>
        <v>Corporate</v>
      </c>
      <c r="P1505">
        <f>VLOOKUP(C1505, Customers!A$2:C$301, 3, FALSE)</f>
        <v>35</v>
      </c>
      <c r="Q1505" t="str">
        <f>VLOOKUP(E1505, Sales_Reps!A$2:C$31, 3, FALSE)</f>
        <v>East</v>
      </c>
      <c r="R1505">
        <f>VLOOKUP(D1505, Products!A$2:D$61, 4, FALSE)</f>
        <v>302</v>
      </c>
    </row>
    <row r="1506" spans="1:18" x14ac:dyDescent="0.3">
      <c r="A1506" s="13" t="s">
        <v>1997</v>
      </c>
      <c r="B1506" s="14">
        <v>45446</v>
      </c>
      <c r="C1506" s="13" t="s">
        <v>485</v>
      </c>
      <c r="D1506" s="13" t="s">
        <v>659</v>
      </c>
      <c r="E1506" s="13" t="s">
        <v>139</v>
      </c>
      <c r="F1506" s="15">
        <v>4</v>
      </c>
      <c r="G1506" s="15">
        <v>3560</v>
      </c>
      <c r="H1506" s="15">
        <v>1.1000000000000001</v>
      </c>
      <c r="I1506" s="15">
        <v>14083.36</v>
      </c>
      <c r="J1506" s="13" t="s">
        <v>87</v>
      </c>
      <c r="K1506" s="13" t="s">
        <v>88</v>
      </c>
      <c r="L1506">
        <f>IF(COUNTIF(A$2:A1506, A1506)=1, IF(COUNTIF(A$2:A$2001, A1506)&gt;1, 1, 0), 0)</f>
        <v>0</v>
      </c>
      <c r="M1506" t="b">
        <f>VLOOKUP(D1506, Products!A$2:F$61, 6, FALSE)</f>
        <v>1</v>
      </c>
      <c r="N1506" t="str">
        <f>VLOOKUP(D1506, Products!A$2:C$61, 3, FALSE)</f>
        <v>Apparel</v>
      </c>
      <c r="O1506" t="str">
        <f>VLOOKUP(C1506, Customers!A$2:E$301, 5, FALSE)</f>
        <v>Retail</v>
      </c>
      <c r="P1506">
        <f>VLOOKUP(C1506, Customers!A$2:C$301, 3, FALSE)</f>
        <v>49</v>
      </c>
      <c r="Q1506" t="str">
        <f>VLOOKUP(E1506, Sales_Reps!A$2:C$31, 3, FALSE)</f>
        <v>North</v>
      </c>
      <c r="R1506">
        <f>VLOOKUP(D1506, Products!A$2:D$61, 4, FALSE)</f>
        <v>2629</v>
      </c>
    </row>
    <row r="1507" spans="1:18" x14ac:dyDescent="0.3">
      <c r="A1507" s="13" t="s">
        <v>1998</v>
      </c>
      <c r="B1507" s="14">
        <v>45521</v>
      </c>
      <c r="C1507" s="13" t="s">
        <v>635</v>
      </c>
      <c r="D1507" s="13" t="s">
        <v>184</v>
      </c>
      <c r="E1507" s="13" t="s">
        <v>325</v>
      </c>
      <c r="F1507" s="15">
        <v>5</v>
      </c>
      <c r="G1507" s="15">
        <v>4880</v>
      </c>
      <c r="H1507" s="15">
        <v>17</v>
      </c>
      <c r="I1507" s="15">
        <v>20252</v>
      </c>
      <c r="J1507" s="13" t="s">
        <v>87</v>
      </c>
      <c r="K1507" s="13" t="s">
        <v>99</v>
      </c>
      <c r="L1507">
        <f>IF(COUNTIF(A$2:A1507, A1507)=1, IF(COUNTIF(A$2:A$2001, A1507)&gt;1, 1, 0), 0)</f>
        <v>0</v>
      </c>
      <c r="M1507" t="b">
        <f>VLOOKUP(D1507, Products!A$2:F$61, 6, FALSE)</f>
        <v>1</v>
      </c>
      <c r="N1507" t="str">
        <f>VLOOKUP(D1507, Products!A$2:C$61, 3, FALSE)</f>
        <v>Beauty</v>
      </c>
      <c r="O1507" t="str">
        <f>VLOOKUP(C1507, Customers!A$2:E$301, 5, FALSE)</f>
        <v>Retail</v>
      </c>
      <c r="P1507">
        <f>VLOOKUP(C1507, Customers!A$2:C$301, 3, FALSE)</f>
        <v>49</v>
      </c>
      <c r="Q1507" t="str">
        <f>VLOOKUP(E1507, Sales_Reps!A$2:C$31, 3, FALSE)</f>
        <v>South</v>
      </c>
      <c r="R1507">
        <f>VLOOKUP(D1507, Products!A$2:D$61, 4, FALSE)</f>
        <v>2768</v>
      </c>
    </row>
    <row r="1508" spans="1:18" x14ac:dyDescent="0.3">
      <c r="A1508" s="13" t="s">
        <v>1999</v>
      </c>
      <c r="B1508" s="14">
        <v>45483</v>
      </c>
      <c r="C1508" s="13" t="s">
        <v>680</v>
      </c>
      <c r="D1508" s="13" t="s">
        <v>187</v>
      </c>
      <c r="E1508" s="13" t="s">
        <v>204</v>
      </c>
      <c r="F1508" s="15">
        <v>9</v>
      </c>
      <c r="G1508" s="15">
        <v>3570</v>
      </c>
      <c r="H1508" s="15">
        <v>12</v>
      </c>
      <c r="I1508" s="15">
        <v>28274.400000000001</v>
      </c>
      <c r="J1508" s="13" t="s">
        <v>87</v>
      </c>
      <c r="K1508" s="13" t="s">
        <v>94</v>
      </c>
      <c r="L1508">
        <f>IF(COUNTIF(A$2:A1508, A1508)=1, IF(COUNTIF(A$2:A$2001, A1508)&gt;1, 1, 0), 0)</f>
        <v>0</v>
      </c>
      <c r="M1508" t="b">
        <f>VLOOKUP(D1508, Products!A$2:F$61, 6, FALSE)</f>
        <v>1</v>
      </c>
      <c r="N1508" t="str">
        <f>VLOOKUP(D1508, Products!A$2:C$61, 3, FALSE)</f>
        <v>Electronics</v>
      </c>
      <c r="O1508" t="str">
        <f>VLOOKUP(C1508, Customers!A$2:E$301, 5, FALSE)</f>
        <v>Retail</v>
      </c>
      <c r="P1508">
        <f>VLOOKUP(C1508, Customers!A$2:C$301, 3, FALSE)</f>
        <v>26</v>
      </c>
      <c r="Q1508" t="str">
        <f>VLOOKUP(E1508, Sales_Reps!A$2:C$31, 3, FALSE)</f>
        <v>South</v>
      </c>
      <c r="R1508">
        <f>VLOOKUP(D1508, Products!A$2:D$61, 4, FALSE)</f>
        <v>1665</v>
      </c>
    </row>
    <row r="1509" spans="1:18" x14ac:dyDescent="0.3">
      <c r="A1509" s="13" t="s">
        <v>2000</v>
      </c>
      <c r="B1509" s="14">
        <v>45370</v>
      </c>
      <c r="C1509" s="13" t="s">
        <v>1361</v>
      </c>
      <c r="D1509" s="13" t="s">
        <v>161</v>
      </c>
      <c r="E1509" s="13" t="s">
        <v>111</v>
      </c>
      <c r="F1509" s="15">
        <v>6</v>
      </c>
      <c r="G1509" s="15">
        <v>3450</v>
      </c>
      <c r="H1509" s="15">
        <v>22.7</v>
      </c>
      <c r="I1509" s="15">
        <v>16001.1</v>
      </c>
      <c r="J1509" s="13" t="s">
        <v>140</v>
      </c>
      <c r="K1509" s="13" t="s">
        <v>94</v>
      </c>
      <c r="L1509">
        <f>IF(COUNTIF(A$2:A1509, A1509)=1, IF(COUNTIF(A$2:A$2001, A1509)&gt;1, 1, 0), 0)</f>
        <v>0</v>
      </c>
      <c r="M1509" t="b">
        <f>VLOOKUP(D1509, Products!A$2:F$61, 6, FALSE)</f>
        <v>1</v>
      </c>
      <c r="N1509" t="str">
        <f>VLOOKUP(D1509, Products!A$2:C$61, 3, FALSE)</f>
        <v>Sports</v>
      </c>
      <c r="O1509" t="str">
        <f>VLOOKUP(C1509, Customers!A$2:E$301, 5, FALSE)</f>
        <v>Retail</v>
      </c>
      <c r="P1509">
        <f>VLOOKUP(C1509, Customers!A$2:C$301, 3, FALSE)</f>
        <v>34</v>
      </c>
      <c r="Q1509" t="str">
        <f>VLOOKUP(E1509, Sales_Reps!A$2:C$31, 3, FALSE)</f>
        <v>West</v>
      </c>
      <c r="R1509">
        <f>VLOOKUP(D1509, Products!A$2:D$61, 4, FALSE)</f>
        <v>2467</v>
      </c>
    </row>
    <row r="1510" spans="1:18" x14ac:dyDescent="0.3">
      <c r="A1510" s="13" t="s">
        <v>2001</v>
      </c>
      <c r="B1510" s="14">
        <v>45456</v>
      </c>
      <c r="C1510" s="13" t="s">
        <v>178</v>
      </c>
      <c r="D1510" s="13" t="s">
        <v>164</v>
      </c>
      <c r="E1510" s="13" t="s">
        <v>297</v>
      </c>
      <c r="F1510" s="15">
        <v>10</v>
      </c>
      <c r="G1510" s="15">
        <v>1080</v>
      </c>
      <c r="H1510" s="15">
        <v>27.4</v>
      </c>
      <c r="I1510" s="15">
        <v>7840.8</v>
      </c>
      <c r="J1510" s="13" t="s">
        <v>87</v>
      </c>
      <c r="K1510" s="13" t="s">
        <v>94</v>
      </c>
      <c r="L1510">
        <f>IF(COUNTIF(A$2:A1510, A1510)=1, IF(COUNTIF(A$2:A$2001, A1510)&gt;1, 1, 0), 0)</f>
        <v>0</v>
      </c>
      <c r="M1510" t="b">
        <f>VLOOKUP(D1510, Products!A$2:F$61, 6, FALSE)</f>
        <v>1</v>
      </c>
      <c r="N1510" t="str">
        <f>VLOOKUP(D1510, Products!A$2:C$61, 3, FALSE)</f>
        <v>Home</v>
      </c>
      <c r="O1510" t="str">
        <f>VLOOKUP(C1510, Customers!A$2:E$301, 5, FALSE)</f>
        <v>Corporate</v>
      </c>
      <c r="P1510">
        <f>VLOOKUP(C1510, Customers!A$2:C$301, 3, FALSE)</f>
        <v>55</v>
      </c>
      <c r="Q1510" t="str">
        <f>VLOOKUP(E1510, Sales_Reps!A$2:C$31, 3, FALSE)</f>
        <v>North</v>
      </c>
      <c r="R1510">
        <f>VLOOKUP(D1510, Products!A$2:D$61, 4, FALSE)</f>
        <v>519</v>
      </c>
    </row>
    <row r="1511" spans="1:18" x14ac:dyDescent="0.3">
      <c r="A1511" s="13" t="s">
        <v>2002</v>
      </c>
      <c r="B1511" s="14">
        <v>45605</v>
      </c>
      <c r="C1511" s="13" t="s">
        <v>856</v>
      </c>
      <c r="D1511" s="13" t="s">
        <v>259</v>
      </c>
      <c r="E1511" s="13" t="s">
        <v>111</v>
      </c>
      <c r="F1511" s="15">
        <v>6</v>
      </c>
      <c r="G1511" s="15">
        <v>1540</v>
      </c>
      <c r="H1511" s="15">
        <v>17.100000000000001</v>
      </c>
      <c r="I1511" s="15">
        <v>7659.96</v>
      </c>
      <c r="J1511" s="13" t="s">
        <v>87</v>
      </c>
      <c r="K1511" s="13" t="s">
        <v>88</v>
      </c>
      <c r="L1511">
        <f>IF(COUNTIF(A$2:A1511, A1511)=1, IF(COUNTIF(A$2:A$2001, A1511)&gt;1, 1, 0), 0)</f>
        <v>0</v>
      </c>
      <c r="M1511" t="b">
        <f>VLOOKUP(D1511, Products!A$2:F$61, 6, FALSE)</f>
        <v>0</v>
      </c>
      <c r="N1511" t="str">
        <f>VLOOKUP(D1511, Products!A$2:C$61, 3, FALSE)</f>
        <v>Beauty</v>
      </c>
      <c r="O1511" t="str">
        <f>VLOOKUP(C1511, Customers!A$2:E$301, 5, FALSE)</f>
        <v>SMB</v>
      </c>
      <c r="P1511">
        <f>VLOOKUP(C1511, Customers!A$2:C$301, 3, FALSE)</f>
        <v>59</v>
      </c>
      <c r="Q1511" t="str">
        <f>VLOOKUP(E1511, Sales_Reps!A$2:C$31, 3, FALSE)</f>
        <v>West</v>
      </c>
      <c r="R1511">
        <f>VLOOKUP(D1511, Products!A$2:D$61, 4, FALSE)</f>
        <v>647</v>
      </c>
    </row>
    <row r="1512" spans="1:18" x14ac:dyDescent="0.3">
      <c r="A1512" s="13" t="s">
        <v>2003</v>
      </c>
      <c r="B1512" s="14">
        <v>45556</v>
      </c>
      <c r="C1512" s="13" t="s">
        <v>2004</v>
      </c>
      <c r="D1512" s="13" t="s">
        <v>173</v>
      </c>
      <c r="E1512" s="13" t="s">
        <v>252</v>
      </c>
      <c r="F1512" s="15">
        <v>6</v>
      </c>
      <c r="G1512" s="15">
        <v>2720</v>
      </c>
      <c r="H1512" s="15">
        <v>28.1</v>
      </c>
      <c r="I1512" s="15">
        <v>11734.08</v>
      </c>
      <c r="J1512" s="13" t="s">
        <v>87</v>
      </c>
      <c r="K1512" s="13" t="s">
        <v>112</v>
      </c>
      <c r="L1512">
        <f>IF(COUNTIF(A$2:A1512, A1512)=1, IF(COUNTIF(A$2:A$2001, A1512)&gt;1, 1, 0), 0)</f>
        <v>0</v>
      </c>
      <c r="M1512" t="b">
        <f>VLOOKUP(D1512, Products!A$2:F$61, 6, FALSE)</f>
        <v>1</v>
      </c>
      <c r="N1512" t="str">
        <f>VLOOKUP(D1512, Products!A$2:C$61, 3, FALSE)</f>
        <v>Apparel</v>
      </c>
      <c r="O1512" t="e">
        <f>VLOOKUP(C1512, Customers!A$2:E$301, 5, FALSE)</f>
        <v>#N/A</v>
      </c>
      <c r="P1512" t="e">
        <f>VLOOKUP(C1512, Customers!A$2:C$301, 3, FALSE)</f>
        <v>#N/A</v>
      </c>
      <c r="Q1512" t="str">
        <f>VLOOKUP(E1512, Sales_Reps!A$2:C$31, 3, FALSE)</f>
        <v>South</v>
      </c>
      <c r="R1512">
        <f>VLOOKUP(D1512, Products!A$2:D$61, 4, FALSE)</f>
        <v>1962</v>
      </c>
    </row>
    <row r="1513" spans="1:18" x14ac:dyDescent="0.3">
      <c r="A1513" s="13" t="s">
        <v>2005</v>
      </c>
      <c r="B1513" s="14">
        <v>45569</v>
      </c>
      <c r="C1513" s="13" t="s">
        <v>256</v>
      </c>
      <c r="D1513" s="13" t="s">
        <v>443</v>
      </c>
      <c r="E1513" s="13" t="s">
        <v>92</v>
      </c>
      <c r="F1513" s="15">
        <v>2</v>
      </c>
      <c r="G1513" s="15">
        <v>5080</v>
      </c>
      <c r="H1513" s="15">
        <v>11.1</v>
      </c>
      <c r="I1513" s="15">
        <v>9032.24</v>
      </c>
      <c r="J1513" s="13" t="s">
        <v>87</v>
      </c>
      <c r="K1513" s="13" t="s">
        <v>133</v>
      </c>
      <c r="L1513">
        <f>IF(COUNTIF(A$2:A1513, A1513)=1, IF(COUNTIF(A$2:A$2001, A1513)&gt;1, 1, 0), 0)</f>
        <v>0</v>
      </c>
      <c r="M1513" t="b">
        <f>VLOOKUP(D1513, Products!A$2:F$61, 6, FALSE)</f>
        <v>1</v>
      </c>
      <c r="N1513" t="str">
        <f>VLOOKUP(D1513, Products!A$2:C$61, 3, FALSE)</f>
        <v>Home</v>
      </c>
      <c r="O1513" t="str">
        <f>VLOOKUP(C1513, Customers!A$2:E$301, 5, FALSE)</f>
        <v>Retail</v>
      </c>
      <c r="P1513">
        <f>VLOOKUP(C1513, Customers!A$2:C$301, 3, FALSE)</f>
        <v>27</v>
      </c>
      <c r="Q1513" t="str">
        <f>VLOOKUP(E1513, Sales_Reps!A$2:C$31, 3, FALSE)</f>
        <v>North</v>
      </c>
      <c r="R1513">
        <f>VLOOKUP(D1513, Products!A$2:D$61, 4, FALSE)</f>
        <v>2459</v>
      </c>
    </row>
    <row r="1514" spans="1:18" x14ac:dyDescent="0.3">
      <c r="A1514" s="13" t="s">
        <v>2006</v>
      </c>
      <c r="B1514" s="14">
        <v>45329</v>
      </c>
      <c r="C1514" s="13" t="s">
        <v>2007</v>
      </c>
      <c r="D1514" s="13" t="s">
        <v>292</v>
      </c>
      <c r="E1514" s="13" t="s">
        <v>107</v>
      </c>
      <c r="F1514" s="15">
        <v>5</v>
      </c>
      <c r="G1514" s="15">
        <v>620</v>
      </c>
      <c r="H1514" s="15">
        <v>10.9</v>
      </c>
      <c r="I1514" s="15">
        <v>2762.1</v>
      </c>
      <c r="J1514" s="13" t="s">
        <v>93</v>
      </c>
      <c r="K1514" s="13" t="s">
        <v>94</v>
      </c>
      <c r="L1514">
        <f>IF(COUNTIF(A$2:A1514, A1514)=1, IF(COUNTIF(A$2:A$2001, A1514)&gt;1, 1, 0), 0)</f>
        <v>0</v>
      </c>
      <c r="M1514" t="b">
        <f>VLOOKUP(D1514, Products!A$2:F$61, 6, FALSE)</f>
        <v>1</v>
      </c>
      <c r="N1514" t="str">
        <f>VLOOKUP(D1514, Products!A$2:C$61, 3, FALSE)</f>
        <v>Apparel</v>
      </c>
      <c r="O1514" t="e">
        <f>VLOOKUP(C1514, Customers!A$2:E$301, 5, FALSE)</f>
        <v>#N/A</v>
      </c>
      <c r="P1514" t="e">
        <f>VLOOKUP(C1514, Customers!A$2:C$301, 3, FALSE)</f>
        <v>#N/A</v>
      </c>
      <c r="Q1514" t="str">
        <f>VLOOKUP(E1514, Sales_Reps!A$2:C$31, 3, FALSE)</f>
        <v>North</v>
      </c>
      <c r="R1514">
        <f>VLOOKUP(D1514, Products!A$2:D$61, 4, FALSE)</f>
        <v>396</v>
      </c>
    </row>
    <row r="1515" spans="1:18" x14ac:dyDescent="0.3">
      <c r="A1515" s="13" t="s">
        <v>2008</v>
      </c>
      <c r="B1515" s="14">
        <v>45377</v>
      </c>
      <c r="C1515" s="13" t="s">
        <v>308</v>
      </c>
      <c r="D1515" s="13" t="s">
        <v>167</v>
      </c>
      <c r="E1515" s="13" t="s">
        <v>148</v>
      </c>
      <c r="F1515" s="15">
        <v>3</v>
      </c>
      <c r="G1515" s="15">
        <v>2480</v>
      </c>
      <c r="H1515" s="15">
        <v>5</v>
      </c>
      <c r="I1515" s="15">
        <v>7068</v>
      </c>
      <c r="J1515" s="13" t="s">
        <v>87</v>
      </c>
      <c r="K1515" s="13" t="s">
        <v>88</v>
      </c>
      <c r="L1515">
        <f>IF(COUNTIF(A$2:A1515, A1515)=1, IF(COUNTIF(A$2:A$2001, A1515)&gt;1, 1, 0), 0)</f>
        <v>0</v>
      </c>
      <c r="M1515" t="b">
        <f>VLOOKUP(D1515, Products!A$2:F$61, 6, FALSE)</f>
        <v>1</v>
      </c>
      <c r="N1515" t="str">
        <f>VLOOKUP(D1515, Products!A$2:C$61, 3, FALSE)</f>
        <v>Apparel</v>
      </c>
      <c r="O1515" t="str">
        <f>VLOOKUP(C1515, Customers!A$2:E$301, 5, FALSE)</f>
        <v>SMB</v>
      </c>
      <c r="P1515">
        <f>VLOOKUP(C1515, Customers!A$2:C$301, 3, FALSE)</f>
        <v>54</v>
      </c>
      <c r="Q1515" t="str">
        <f>VLOOKUP(E1515, Sales_Reps!A$2:C$31, 3, FALSE)</f>
        <v>North</v>
      </c>
      <c r="R1515">
        <f>VLOOKUP(D1515, Products!A$2:D$61, 4, FALSE)</f>
        <v>1173</v>
      </c>
    </row>
    <row r="1516" spans="1:18" x14ac:dyDescent="0.3">
      <c r="A1516" s="13" t="s">
        <v>2009</v>
      </c>
      <c r="B1516" s="14">
        <v>45537</v>
      </c>
      <c r="C1516" s="13" t="s">
        <v>524</v>
      </c>
      <c r="D1516" s="13" t="s">
        <v>182</v>
      </c>
      <c r="E1516" s="13" t="s">
        <v>92</v>
      </c>
      <c r="F1516" s="15">
        <v>9</v>
      </c>
      <c r="G1516" s="15">
        <v>1010</v>
      </c>
      <c r="H1516" s="15">
        <v>21.9</v>
      </c>
      <c r="I1516" s="15">
        <v>7099.29</v>
      </c>
      <c r="J1516" s="13" t="s">
        <v>87</v>
      </c>
      <c r="K1516" s="13" t="s">
        <v>112</v>
      </c>
      <c r="L1516">
        <f>IF(COUNTIF(A$2:A1516, A1516)=1, IF(COUNTIF(A$2:A$2001, A1516)&gt;1, 1, 0), 0)</f>
        <v>0</v>
      </c>
      <c r="M1516" t="b">
        <f>VLOOKUP(D1516, Products!A$2:F$61, 6, FALSE)</f>
        <v>1</v>
      </c>
      <c r="N1516" t="str">
        <f>VLOOKUP(D1516, Products!A$2:C$61, 3, FALSE)</f>
        <v>Sports</v>
      </c>
      <c r="O1516" t="str">
        <f>VLOOKUP(C1516, Customers!A$2:E$301, 5, FALSE)</f>
        <v>Corporate</v>
      </c>
      <c r="P1516">
        <f>VLOOKUP(C1516, Customers!A$2:C$301, 3, FALSE)</f>
        <v>55</v>
      </c>
      <c r="Q1516" t="str">
        <f>VLOOKUP(E1516, Sales_Reps!A$2:C$31, 3, FALSE)</f>
        <v>North</v>
      </c>
      <c r="R1516">
        <f>VLOOKUP(D1516, Products!A$2:D$61, 4, FALSE)</f>
        <v>516</v>
      </c>
    </row>
    <row r="1517" spans="1:18" x14ac:dyDescent="0.3">
      <c r="A1517" s="13" t="s">
        <v>2010</v>
      </c>
      <c r="B1517" s="14">
        <v>45550</v>
      </c>
      <c r="C1517" s="13" t="s">
        <v>413</v>
      </c>
      <c r="D1517" s="13" t="s">
        <v>164</v>
      </c>
      <c r="E1517" s="13" t="s">
        <v>139</v>
      </c>
      <c r="F1517" s="15">
        <v>2</v>
      </c>
      <c r="G1517" s="15">
        <v>1080</v>
      </c>
      <c r="H1517" s="15">
        <v>8.5</v>
      </c>
      <c r="I1517" s="15">
        <v>1976.4</v>
      </c>
      <c r="J1517" s="13" t="s">
        <v>87</v>
      </c>
      <c r="K1517" s="13" t="s">
        <v>88</v>
      </c>
      <c r="L1517">
        <f>IF(COUNTIF(A$2:A1517, A1517)=1, IF(COUNTIF(A$2:A$2001, A1517)&gt;1, 1, 0), 0)</f>
        <v>0</v>
      </c>
      <c r="M1517" t="b">
        <f>VLOOKUP(D1517, Products!A$2:F$61, 6, FALSE)</f>
        <v>1</v>
      </c>
      <c r="N1517" t="str">
        <f>VLOOKUP(D1517, Products!A$2:C$61, 3, FALSE)</f>
        <v>Home</v>
      </c>
      <c r="O1517" t="str">
        <f>VLOOKUP(C1517, Customers!A$2:E$301, 5, FALSE)</f>
        <v>Retail</v>
      </c>
      <c r="P1517">
        <f>VLOOKUP(C1517, Customers!A$2:C$301, 3, FALSE)</f>
        <v>22</v>
      </c>
      <c r="Q1517" t="str">
        <f>VLOOKUP(E1517, Sales_Reps!A$2:C$31, 3, FALSE)</f>
        <v>North</v>
      </c>
      <c r="R1517">
        <f>VLOOKUP(D1517, Products!A$2:D$61, 4, FALSE)</f>
        <v>519</v>
      </c>
    </row>
    <row r="1518" spans="1:18" x14ac:dyDescent="0.3">
      <c r="A1518" s="13" t="s">
        <v>2011</v>
      </c>
      <c r="B1518" s="14">
        <v>45325</v>
      </c>
      <c r="C1518" s="13" t="s">
        <v>223</v>
      </c>
      <c r="D1518" s="13" t="s">
        <v>97</v>
      </c>
      <c r="E1518" s="13" t="s">
        <v>111</v>
      </c>
      <c r="F1518" s="15">
        <v>5</v>
      </c>
      <c r="G1518" s="15">
        <v>470</v>
      </c>
      <c r="H1518" s="15">
        <v>8</v>
      </c>
      <c r="I1518" s="15">
        <v>2162</v>
      </c>
      <c r="J1518" s="13" t="s">
        <v>87</v>
      </c>
      <c r="K1518" s="13" t="s">
        <v>99</v>
      </c>
      <c r="L1518">
        <f>IF(COUNTIF(A$2:A1518, A1518)=1, IF(COUNTIF(A$2:A$2001, A1518)&gt;1, 1, 0), 0)</f>
        <v>0</v>
      </c>
      <c r="M1518" t="b">
        <f>VLOOKUP(D1518, Products!A$2:F$61, 6, FALSE)</f>
        <v>0</v>
      </c>
      <c r="N1518" t="str">
        <f>VLOOKUP(D1518, Products!A$2:C$61, 3, FALSE)</f>
        <v>Sports</v>
      </c>
      <c r="O1518" t="str">
        <f>VLOOKUP(C1518, Customers!A$2:E$301, 5, FALSE)</f>
        <v>Retail</v>
      </c>
      <c r="P1518">
        <f>VLOOKUP(C1518, Customers!A$2:C$301, 3, FALSE)</f>
        <v>53</v>
      </c>
      <c r="Q1518" t="str">
        <f>VLOOKUP(E1518, Sales_Reps!A$2:C$31, 3, FALSE)</f>
        <v>West</v>
      </c>
      <c r="R1518">
        <f>VLOOKUP(D1518, Products!A$2:D$61, 4, FALSE)</f>
        <v>302</v>
      </c>
    </row>
    <row r="1519" spans="1:18" x14ac:dyDescent="0.3">
      <c r="A1519" s="13" t="s">
        <v>2012</v>
      </c>
      <c r="B1519" s="14">
        <v>45375</v>
      </c>
      <c r="C1519" s="13" t="s">
        <v>340</v>
      </c>
      <c r="D1519" s="13" t="s">
        <v>408</v>
      </c>
      <c r="E1519" s="13" t="s">
        <v>192</v>
      </c>
      <c r="F1519" s="15">
        <v>9</v>
      </c>
      <c r="G1519" s="15">
        <v>3970</v>
      </c>
      <c r="H1519" s="15">
        <v>18.5</v>
      </c>
      <c r="I1519" s="15">
        <v>29119.95</v>
      </c>
      <c r="J1519" s="13" t="s">
        <v>87</v>
      </c>
      <c r="K1519" s="13" t="s">
        <v>88</v>
      </c>
      <c r="L1519">
        <f>IF(COUNTIF(A$2:A1519, A1519)=1, IF(COUNTIF(A$2:A$2001, A1519)&gt;1, 1, 0), 0)</f>
        <v>0</v>
      </c>
      <c r="M1519" t="b">
        <f>VLOOKUP(D1519, Products!A$2:F$61, 6, FALSE)</f>
        <v>1</v>
      </c>
      <c r="N1519" t="str">
        <f>VLOOKUP(D1519, Products!A$2:C$61, 3, FALSE)</f>
        <v>Electronics</v>
      </c>
      <c r="O1519" t="str">
        <f>VLOOKUP(C1519, Customers!A$2:E$301, 5, FALSE)</f>
        <v>Retail</v>
      </c>
      <c r="P1519">
        <f>VLOOKUP(C1519, Customers!A$2:C$301, 3, FALSE)</f>
        <v>25</v>
      </c>
      <c r="Q1519" t="str">
        <f>VLOOKUP(E1519, Sales_Reps!A$2:C$31, 3, FALSE)</f>
        <v>East</v>
      </c>
      <c r="R1519">
        <f>VLOOKUP(D1519, Products!A$2:D$61, 4, FALSE)</f>
        <v>2865</v>
      </c>
    </row>
    <row r="1520" spans="1:18" x14ac:dyDescent="0.3">
      <c r="A1520" s="13" t="s">
        <v>2013</v>
      </c>
      <c r="B1520" s="14">
        <v>45614</v>
      </c>
      <c r="C1520" s="13" t="s">
        <v>1234</v>
      </c>
      <c r="D1520" s="13" t="s">
        <v>176</v>
      </c>
      <c r="E1520" s="13" t="s">
        <v>132</v>
      </c>
      <c r="F1520" s="15">
        <v>9</v>
      </c>
      <c r="G1520" s="15">
        <v>1650</v>
      </c>
      <c r="H1520" s="15">
        <v>19.5</v>
      </c>
      <c r="I1520" s="15">
        <v>11954.25</v>
      </c>
      <c r="J1520" s="13" t="s">
        <v>87</v>
      </c>
      <c r="K1520" s="13" t="s">
        <v>112</v>
      </c>
      <c r="L1520">
        <f>IF(COUNTIF(A$2:A1520, A1520)=1, IF(COUNTIF(A$2:A$2001, A1520)&gt;1, 1, 0), 0)</f>
        <v>0</v>
      </c>
      <c r="M1520" t="b">
        <f>VLOOKUP(D1520, Products!A$2:F$61, 6, FALSE)</f>
        <v>1</v>
      </c>
      <c r="N1520" t="str">
        <f>VLOOKUP(D1520, Products!A$2:C$61, 3, FALSE)</f>
        <v>Beauty</v>
      </c>
      <c r="O1520" t="str">
        <f>VLOOKUP(C1520, Customers!A$2:E$301, 5, FALSE)</f>
        <v>Retail</v>
      </c>
      <c r="P1520">
        <f>VLOOKUP(C1520, Customers!A$2:C$301, 3, FALSE)</f>
        <v>29</v>
      </c>
      <c r="Q1520" t="str">
        <f>VLOOKUP(E1520, Sales_Reps!A$2:C$31, 3, FALSE)</f>
        <v>South</v>
      </c>
      <c r="R1520">
        <f>VLOOKUP(D1520, Products!A$2:D$61, 4, FALSE)</f>
        <v>1222</v>
      </c>
    </row>
    <row r="1521" spans="1:18" x14ac:dyDescent="0.3">
      <c r="A1521" s="13" t="s">
        <v>2014</v>
      </c>
      <c r="B1521" s="14">
        <v>45364</v>
      </c>
      <c r="C1521" s="13" t="s">
        <v>669</v>
      </c>
      <c r="D1521" s="13" t="s">
        <v>179</v>
      </c>
      <c r="E1521" s="13" t="s">
        <v>103</v>
      </c>
      <c r="F1521" s="15">
        <v>9</v>
      </c>
      <c r="G1521" s="15">
        <v>3350</v>
      </c>
      <c r="H1521" s="15">
        <v>4.0999999999999996</v>
      </c>
      <c r="I1521" s="15">
        <v>28913.85</v>
      </c>
      <c r="J1521" s="13" t="s">
        <v>87</v>
      </c>
      <c r="K1521" s="13" t="s">
        <v>133</v>
      </c>
      <c r="L1521">
        <f>IF(COUNTIF(A$2:A1521, A1521)=1, IF(COUNTIF(A$2:A$2001, A1521)&gt;1, 1, 0), 0)</f>
        <v>0</v>
      </c>
      <c r="M1521" t="b">
        <f>VLOOKUP(D1521, Products!A$2:F$61, 6, FALSE)</f>
        <v>1</v>
      </c>
      <c r="N1521" t="str">
        <f>VLOOKUP(D1521, Products!A$2:C$61, 3, FALSE)</f>
        <v>Beauty</v>
      </c>
      <c r="O1521" t="str">
        <f>VLOOKUP(C1521, Customers!A$2:E$301, 5, FALSE)</f>
        <v>Retail</v>
      </c>
      <c r="P1521">
        <f>VLOOKUP(C1521, Customers!A$2:C$301, 3, FALSE)</f>
        <v>31</v>
      </c>
      <c r="Q1521" t="str">
        <f>VLOOKUP(E1521, Sales_Reps!A$2:C$31, 3, FALSE)</f>
        <v>North</v>
      </c>
      <c r="R1521">
        <f>VLOOKUP(D1521, Products!A$2:D$61, 4, FALSE)</f>
        <v>1728</v>
      </c>
    </row>
    <row r="1522" spans="1:18" x14ac:dyDescent="0.3">
      <c r="A1522" s="13" t="s">
        <v>2015</v>
      </c>
      <c r="B1522" s="14">
        <v>45342</v>
      </c>
      <c r="C1522" s="13" t="s">
        <v>266</v>
      </c>
      <c r="D1522" s="13" t="s">
        <v>408</v>
      </c>
      <c r="E1522" s="13" t="s">
        <v>154</v>
      </c>
      <c r="F1522" s="15">
        <v>7</v>
      </c>
      <c r="G1522" s="15">
        <v>3970</v>
      </c>
      <c r="H1522" s="15">
        <v>15.6</v>
      </c>
      <c r="I1522" s="15">
        <v>23454.76</v>
      </c>
      <c r="J1522" s="13" t="s">
        <v>87</v>
      </c>
      <c r="K1522" s="13" t="s">
        <v>99</v>
      </c>
      <c r="L1522">
        <f>IF(COUNTIF(A$2:A1522, A1522)=1, IF(COUNTIF(A$2:A$2001, A1522)&gt;1, 1, 0), 0)</f>
        <v>0</v>
      </c>
      <c r="M1522" t="b">
        <f>VLOOKUP(D1522, Products!A$2:F$61, 6, FALSE)</f>
        <v>1</v>
      </c>
      <c r="N1522" t="str">
        <f>VLOOKUP(D1522, Products!A$2:C$61, 3, FALSE)</f>
        <v>Electronics</v>
      </c>
      <c r="O1522" t="str">
        <f>VLOOKUP(C1522, Customers!A$2:E$301, 5, FALSE)</f>
        <v>Corporate</v>
      </c>
      <c r="P1522">
        <f>VLOOKUP(C1522, Customers!A$2:C$301, 3, FALSE)</f>
        <v>55</v>
      </c>
      <c r="Q1522" t="str">
        <f>VLOOKUP(E1522, Sales_Reps!A$2:C$31, 3, FALSE)</f>
        <v>East</v>
      </c>
      <c r="R1522">
        <f>VLOOKUP(D1522, Products!A$2:D$61, 4, FALSE)</f>
        <v>2865</v>
      </c>
    </row>
    <row r="1523" spans="1:18" x14ac:dyDescent="0.3">
      <c r="A1523" s="13" t="s">
        <v>2016</v>
      </c>
      <c r="B1523" s="14">
        <v>45454</v>
      </c>
      <c r="C1523" s="13" t="s">
        <v>738</v>
      </c>
      <c r="D1523" s="13" t="s">
        <v>234</v>
      </c>
      <c r="E1523" s="13" t="s">
        <v>303</v>
      </c>
      <c r="F1523" s="15">
        <v>7</v>
      </c>
      <c r="G1523" s="15">
        <v>3780</v>
      </c>
      <c r="H1523" s="15">
        <v>18.7</v>
      </c>
      <c r="I1523" s="15">
        <v>21511.98</v>
      </c>
      <c r="J1523" s="13" t="s">
        <v>87</v>
      </c>
      <c r="K1523" s="13" t="s">
        <v>88</v>
      </c>
      <c r="L1523">
        <f>IF(COUNTIF(A$2:A1523, A1523)=1, IF(COUNTIF(A$2:A$2001, A1523)&gt;1, 1, 0), 0)</f>
        <v>0</v>
      </c>
      <c r="M1523" t="b">
        <f>VLOOKUP(D1523, Products!A$2:F$61, 6, FALSE)</f>
        <v>1</v>
      </c>
      <c r="N1523" t="str">
        <f>VLOOKUP(D1523, Products!A$2:C$61, 3, FALSE)</f>
        <v>Grocery</v>
      </c>
      <c r="O1523" t="str">
        <f>VLOOKUP(C1523, Customers!A$2:E$301, 5, FALSE)</f>
        <v>Retail</v>
      </c>
      <c r="P1523">
        <f>VLOOKUP(C1523, Customers!A$2:C$301, 3, FALSE)</f>
        <v>36</v>
      </c>
      <c r="Q1523" t="str">
        <f>VLOOKUP(E1523, Sales_Reps!A$2:C$31, 3, FALSE)</f>
        <v>East</v>
      </c>
      <c r="R1523">
        <f>VLOOKUP(D1523, Products!A$2:D$61, 4, FALSE)</f>
        <v>2436</v>
      </c>
    </row>
    <row r="1524" spans="1:18" x14ac:dyDescent="0.3">
      <c r="A1524" s="13" t="s">
        <v>2017</v>
      </c>
      <c r="B1524" s="14">
        <v>45625</v>
      </c>
      <c r="C1524" s="13" t="s">
        <v>635</v>
      </c>
      <c r="D1524" s="13" t="s">
        <v>91</v>
      </c>
      <c r="E1524" s="13" t="s">
        <v>252</v>
      </c>
      <c r="F1524" s="15">
        <v>4</v>
      </c>
      <c r="G1524" s="15">
        <v>820</v>
      </c>
      <c r="H1524" s="15">
        <v>18.8</v>
      </c>
      <c r="I1524" s="15">
        <v>2663.36</v>
      </c>
      <c r="J1524" s="13" t="s">
        <v>140</v>
      </c>
      <c r="K1524" s="13" t="s">
        <v>99</v>
      </c>
      <c r="L1524">
        <f>IF(COUNTIF(A$2:A1524, A1524)=1, IF(COUNTIF(A$2:A$2001, A1524)&gt;1, 1, 0), 0)</f>
        <v>0</v>
      </c>
      <c r="M1524" t="b">
        <f>VLOOKUP(D1524, Products!A$2:F$61, 6, FALSE)</f>
        <v>1</v>
      </c>
      <c r="N1524" t="str">
        <f>VLOOKUP(D1524, Products!A$2:C$61, 3, FALSE)</f>
        <v>Apparel</v>
      </c>
      <c r="O1524" t="str">
        <f>VLOOKUP(C1524, Customers!A$2:E$301, 5, FALSE)</f>
        <v>Retail</v>
      </c>
      <c r="P1524">
        <f>VLOOKUP(C1524, Customers!A$2:C$301, 3, FALSE)</f>
        <v>49</v>
      </c>
      <c r="Q1524" t="str">
        <f>VLOOKUP(E1524, Sales_Reps!A$2:C$31, 3, FALSE)</f>
        <v>South</v>
      </c>
      <c r="R1524">
        <f>VLOOKUP(D1524, Products!A$2:D$61, 4, FALSE)</f>
        <v>391</v>
      </c>
    </row>
    <row r="1525" spans="1:18" x14ac:dyDescent="0.3">
      <c r="A1525" s="13" t="s">
        <v>2018</v>
      </c>
      <c r="B1525" s="14">
        <v>45600</v>
      </c>
      <c r="C1525" s="13" t="s">
        <v>729</v>
      </c>
      <c r="D1525" s="13" t="s">
        <v>176</v>
      </c>
      <c r="E1525" s="13" t="s">
        <v>285</v>
      </c>
      <c r="F1525" s="15">
        <v>1</v>
      </c>
      <c r="G1525" s="15">
        <v>1650</v>
      </c>
      <c r="H1525" s="15">
        <v>18.8</v>
      </c>
      <c r="I1525" s="15">
        <v>1339.8</v>
      </c>
      <c r="J1525" s="13" t="s">
        <v>140</v>
      </c>
      <c r="K1525" s="13" t="s">
        <v>112</v>
      </c>
      <c r="L1525">
        <f>IF(COUNTIF(A$2:A1525, A1525)=1, IF(COUNTIF(A$2:A$2001, A1525)&gt;1, 1, 0), 0)</f>
        <v>0</v>
      </c>
      <c r="M1525" t="b">
        <f>VLOOKUP(D1525, Products!A$2:F$61, 6, FALSE)</f>
        <v>1</v>
      </c>
      <c r="N1525" t="str">
        <f>VLOOKUP(D1525, Products!A$2:C$61, 3, FALSE)</f>
        <v>Beauty</v>
      </c>
      <c r="O1525" t="str">
        <f>VLOOKUP(C1525, Customers!A$2:E$301, 5, FALSE)</f>
        <v>Retail</v>
      </c>
      <c r="P1525">
        <f>VLOOKUP(C1525, Customers!A$2:C$301, 3, FALSE)</f>
        <v>56</v>
      </c>
      <c r="Q1525" t="str">
        <f>VLOOKUP(E1525, Sales_Reps!A$2:C$31, 3, FALSE)</f>
        <v>East</v>
      </c>
      <c r="R1525">
        <f>VLOOKUP(D1525, Products!A$2:D$61, 4, FALSE)</f>
        <v>1222</v>
      </c>
    </row>
    <row r="1526" spans="1:18" x14ac:dyDescent="0.3">
      <c r="A1526" s="13" t="s">
        <v>2019</v>
      </c>
      <c r="B1526" s="14">
        <v>45397</v>
      </c>
      <c r="C1526" s="13" t="s">
        <v>340</v>
      </c>
      <c r="D1526" s="13" t="s">
        <v>234</v>
      </c>
      <c r="E1526" s="13" t="s">
        <v>158</v>
      </c>
      <c r="F1526" s="15">
        <v>2</v>
      </c>
      <c r="G1526" s="15">
        <v>3780</v>
      </c>
      <c r="H1526" s="15">
        <v>1</v>
      </c>
      <c r="I1526" s="15">
        <v>7484.4</v>
      </c>
      <c r="J1526" s="13" t="s">
        <v>144</v>
      </c>
      <c r="K1526" s="13" t="s">
        <v>88</v>
      </c>
      <c r="L1526">
        <f>IF(COUNTIF(A$2:A1526, A1526)=1, IF(COUNTIF(A$2:A$2001, A1526)&gt;1, 1, 0), 0)</f>
        <v>0</v>
      </c>
      <c r="M1526" t="b">
        <f>VLOOKUP(D1526, Products!A$2:F$61, 6, FALSE)</f>
        <v>1</v>
      </c>
      <c r="N1526" t="str">
        <f>VLOOKUP(D1526, Products!A$2:C$61, 3, FALSE)</f>
        <v>Grocery</v>
      </c>
      <c r="O1526" t="str">
        <f>VLOOKUP(C1526, Customers!A$2:E$301, 5, FALSE)</f>
        <v>Retail</v>
      </c>
      <c r="P1526">
        <f>VLOOKUP(C1526, Customers!A$2:C$301, 3, FALSE)</f>
        <v>25</v>
      </c>
      <c r="Q1526" t="str">
        <f>VLOOKUP(E1526, Sales_Reps!A$2:C$31, 3, FALSE)</f>
        <v>East</v>
      </c>
      <c r="R1526">
        <f>VLOOKUP(D1526, Products!A$2:D$61, 4, FALSE)</f>
        <v>2436</v>
      </c>
    </row>
    <row r="1527" spans="1:18" x14ac:dyDescent="0.3">
      <c r="A1527" s="13" t="s">
        <v>2020</v>
      </c>
      <c r="B1527" s="14">
        <v>45417</v>
      </c>
      <c r="C1527" s="13" t="s">
        <v>447</v>
      </c>
      <c r="D1527" s="13" t="s">
        <v>338</v>
      </c>
      <c r="E1527" s="13" t="s">
        <v>343</v>
      </c>
      <c r="F1527" s="15">
        <v>5</v>
      </c>
      <c r="G1527" s="15">
        <v>2210</v>
      </c>
      <c r="H1527" s="15">
        <v>16.600000000000001</v>
      </c>
      <c r="I1527" s="15">
        <v>9215.7000000000007</v>
      </c>
      <c r="J1527" s="13" t="s">
        <v>87</v>
      </c>
      <c r="K1527" s="13" t="s">
        <v>112</v>
      </c>
      <c r="L1527">
        <f>IF(COUNTIF(A$2:A1527, A1527)=1, IF(COUNTIF(A$2:A$2001, A1527)&gt;1, 1, 0), 0)</f>
        <v>0</v>
      </c>
      <c r="M1527" t="b">
        <f>VLOOKUP(D1527, Products!A$2:F$61, 6, FALSE)</f>
        <v>1</v>
      </c>
      <c r="N1527" t="str">
        <f>VLOOKUP(D1527, Products!A$2:C$61, 3, FALSE)</f>
        <v>Grocery</v>
      </c>
      <c r="O1527" t="str">
        <f>VLOOKUP(C1527, Customers!A$2:E$301, 5, FALSE)</f>
        <v>Retail</v>
      </c>
      <c r="P1527">
        <f>VLOOKUP(C1527, Customers!A$2:C$301, 3, FALSE)</f>
        <v>41</v>
      </c>
      <c r="Q1527" t="str">
        <f>VLOOKUP(E1527, Sales_Reps!A$2:C$31, 3, FALSE)</f>
        <v>West</v>
      </c>
      <c r="R1527">
        <f>VLOOKUP(D1527, Products!A$2:D$61, 4, FALSE)</f>
        <v>1010</v>
      </c>
    </row>
    <row r="1528" spans="1:18" x14ac:dyDescent="0.3">
      <c r="A1528" s="13" t="s">
        <v>2021</v>
      </c>
      <c r="B1528" s="14">
        <v>45487</v>
      </c>
      <c r="C1528" s="13" t="s">
        <v>655</v>
      </c>
      <c r="D1528" s="13" t="s">
        <v>515</v>
      </c>
      <c r="E1528" s="13" t="s">
        <v>132</v>
      </c>
      <c r="F1528" s="15">
        <v>10</v>
      </c>
      <c r="G1528" s="15">
        <v>6940</v>
      </c>
      <c r="H1528" s="15">
        <v>10.6</v>
      </c>
      <c r="I1528" s="15">
        <v>62043.6</v>
      </c>
      <c r="J1528" s="13" t="s">
        <v>87</v>
      </c>
      <c r="K1528" s="13" t="s">
        <v>133</v>
      </c>
      <c r="L1528">
        <f>IF(COUNTIF(A$2:A1528, A1528)=1, IF(COUNTIF(A$2:A$2001, A1528)&gt;1, 1, 0), 0)</f>
        <v>0</v>
      </c>
      <c r="M1528" t="b">
        <f>VLOOKUP(D1528, Products!A$2:F$61, 6, FALSE)</f>
        <v>1</v>
      </c>
      <c r="N1528" t="str">
        <f>VLOOKUP(D1528, Products!A$2:C$61, 3, FALSE)</f>
        <v>Sports</v>
      </c>
      <c r="O1528" t="str">
        <f>VLOOKUP(C1528, Customers!A$2:E$301, 5, FALSE)</f>
        <v>Retail</v>
      </c>
      <c r="P1528">
        <f>VLOOKUP(C1528, Customers!A$2:C$301, 3, FALSE)</f>
        <v>27</v>
      </c>
      <c r="Q1528" t="str">
        <f>VLOOKUP(E1528, Sales_Reps!A$2:C$31, 3, FALSE)</f>
        <v>South</v>
      </c>
      <c r="R1528">
        <f>VLOOKUP(D1528, Products!A$2:D$61, 4, FALSE)</f>
        <v>2827</v>
      </c>
    </row>
    <row r="1529" spans="1:18" x14ac:dyDescent="0.3">
      <c r="A1529" s="13" t="s">
        <v>2022</v>
      </c>
      <c r="B1529" s="14">
        <v>45454</v>
      </c>
      <c r="C1529" s="13" t="s">
        <v>369</v>
      </c>
      <c r="D1529" s="13" t="s">
        <v>386</v>
      </c>
      <c r="E1529" s="13" t="s">
        <v>92</v>
      </c>
      <c r="F1529" s="15">
        <v>8</v>
      </c>
      <c r="G1529" s="15">
        <v>2290</v>
      </c>
      <c r="H1529" s="15">
        <v>12.2</v>
      </c>
      <c r="I1529" s="15">
        <v>16084.96</v>
      </c>
      <c r="J1529" s="13" t="s">
        <v>87</v>
      </c>
      <c r="K1529" s="13" t="s">
        <v>94</v>
      </c>
      <c r="L1529">
        <f>IF(COUNTIF(A$2:A1529, A1529)=1, IF(COUNTIF(A$2:A$2001, A1529)&gt;1, 1, 0), 0)</f>
        <v>0</v>
      </c>
      <c r="M1529" t="b">
        <f>VLOOKUP(D1529, Products!A$2:F$61, 6, FALSE)</f>
        <v>1</v>
      </c>
      <c r="N1529" t="str">
        <f>VLOOKUP(D1529, Products!A$2:C$61, 3, FALSE)</f>
        <v>Beauty</v>
      </c>
      <c r="O1529" t="str">
        <f>VLOOKUP(C1529, Customers!A$2:E$301, 5, FALSE)</f>
        <v>SMB</v>
      </c>
      <c r="P1529">
        <f>VLOOKUP(C1529, Customers!A$2:C$301, 3, FALSE)</f>
        <v>62</v>
      </c>
      <c r="Q1529" t="str">
        <f>VLOOKUP(E1529, Sales_Reps!A$2:C$31, 3, FALSE)</f>
        <v>North</v>
      </c>
      <c r="R1529">
        <f>VLOOKUP(D1529, Products!A$2:D$61, 4, FALSE)</f>
        <v>1219</v>
      </c>
    </row>
    <row r="1530" spans="1:18" x14ac:dyDescent="0.3">
      <c r="A1530" s="13" t="s">
        <v>2023</v>
      </c>
      <c r="B1530" s="14">
        <v>45529</v>
      </c>
      <c r="C1530" s="13" t="s">
        <v>342</v>
      </c>
      <c r="D1530" s="13" t="s">
        <v>295</v>
      </c>
      <c r="E1530" s="13" t="s">
        <v>111</v>
      </c>
      <c r="F1530" s="15">
        <v>5</v>
      </c>
      <c r="G1530" s="15">
        <v>2030</v>
      </c>
      <c r="H1530" s="15">
        <v>23.8</v>
      </c>
      <c r="I1530" s="15">
        <v>7734.3</v>
      </c>
      <c r="J1530" s="13" t="s">
        <v>140</v>
      </c>
      <c r="K1530" s="13" t="s">
        <v>94</v>
      </c>
      <c r="L1530">
        <f>IF(COUNTIF(A$2:A1530, A1530)=1, IF(COUNTIF(A$2:A$2001, A1530)&gt;1, 1, 0), 0)</f>
        <v>0</v>
      </c>
      <c r="M1530" t="b">
        <f>VLOOKUP(D1530, Products!A$2:F$61, 6, FALSE)</f>
        <v>1</v>
      </c>
      <c r="N1530" t="str">
        <f>VLOOKUP(D1530, Products!A$2:C$61, 3, FALSE)</f>
        <v>Home</v>
      </c>
      <c r="O1530" t="str">
        <f>VLOOKUP(C1530, Customers!A$2:E$301, 5, FALSE)</f>
        <v>Retail</v>
      </c>
      <c r="P1530">
        <f>VLOOKUP(C1530, Customers!A$2:C$301, 3, FALSE)</f>
        <v>26</v>
      </c>
      <c r="Q1530" t="str">
        <f>VLOOKUP(E1530, Sales_Reps!A$2:C$31, 3, FALSE)</f>
        <v>West</v>
      </c>
      <c r="R1530">
        <f>VLOOKUP(D1530, Products!A$2:D$61, 4, FALSE)</f>
        <v>1143</v>
      </c>
    </row>
    <row r="1531" spans="1:18" x14ac:dyDescent="0.3">
      <c r="A1531" s="13" t="s">
        <v>2024</v>
      </c>
      <c r="B1531" s="14">
        <v>45546</v>
      </c>
      <c r="C1531" s="13" t="s">
        <v>440</v>
      </c>
      <c r="D1531" s="13" t="s">
        <v>408</v>
      </c>
      <c r="E1531" s="13" t="s">
        <v>229</v>
      </c>
      <c r="F1531" s="15">
        <v>3</v>
      </c>
      <c r="G1531" s="15">
        <v>3970</v>
      </c>
      <c r="H1531" s="15">
        <v>7.7</v>
      </c>
      <c r="I1531" s="15">
        <v>10992.93</v>
      </c>
      <c r="J1531" s="13" t="s">
        <v>87</v>
      </c>
      <c r="K1531" s="13" t="s">
        <v>88</v>
      </c>
      <c r="L1531">
        <f>IF(COUNTIF(A$2:A1531, A1531)=1, IF(COUNTIF(A$2:A$2001, A1531)&gt;1, 1, 0), 0)</f>
        <v>0</v>
      </c>
      <c r="M1531" t="b">
        <f>VLOOKUP(D1531, Products!A$2:F$61, 6, FALSE)</f>
        <v>1</v>
      </c>
      <c r="N1531" t="str">
        <f>VLOOKUP(D1531, Products!A$2:C$61, 3, FALSE)</f>
        <v>Electronics</v>
      </c>
      <c r="O1531" t="str">
        <f>VLOOKUP(C1531, Customers!A$2:E$301, 5, FALSE)</f>
        <v>SMB</v>
      </c>
      <c r="P1531">
        <f>VLOOKUP(C1531, Customers!A$2:C$301, 3, FALSE)</f>
        <v>30</v>
      </c>
      <c r="Q1531" t="str">
        <f>VLOOKUP(E1531, Sales_Reps!A$2:C$31, 3, FALSE)</f>
        <v>West</v>
      </c>
      <c r="R1531">
        <f>VLOOKUP(D1531, Products!A$2:D$61, 4, FALSE)</f>
        <v>2865</v>
      </c>
    </row>
    <row r="1532" spans="1:18" x14ac:dyDescent="0.3">
      <c r="A1532" s="13" t="s">
        <v>2025</v>
      </c>
      <c r="B1532" s="14">
        <v>45481</v>
      </c>
      <c r="C1532" s="13" t="s">
        <v>712</v>
      </c>
      <c r="D1532" s="13" t="s">
        <v>91</v>
      </c>
      <c r="E1532" s="13" t="s">
        <v>346</v>
      </c>
      <c r="F1532" s="15">
        <v>1</v>
      </c>
      <c r="G1532" s="15">
        <v>820</v>
      </c>
      <c r="H1532" s="15">
        <v>5.4</v>
      </c>
      <c r="I1532" s="15">
        <v>775.72</v>
      </c>
      <c r="J1532" s="13" t="s">
        <v>87</v>
      </c>
      <c r="K1532" s="13" t="s">
        <v>112</v>
      </c>
      <c r="L1532">
        <f>IF(COUNTIF(A$2:A1532, A1532)=1, IF(COUNTIF(A$2:A$2001, A1532)&gt;1, 1, 0), 0)</f>
        <v>1</v>
      </c>
      <c r="M1532" t="b">
        <f>VLOOKUP(D1532, Products!A$2:F$61, 6, FALSE)</f>
        <v>1</v>
      </c>
      <c r="N1532" t="str">
        <f>VLOOKUP(D1532, Products!A$2:C$61, 3, FALSE)</f>
        <v>Apparel</v>
      </c>
      <c r="O1532" t="str">
        <f>VLOOKUP(C1532, Customers!A$2:E$301, 5, FALSE)</f>
        <v>Corporate</v>
      </c>
      <c r="P1532">
        <f>VLOOKUP(C1532, Customers!A$2:C$301, 3, FALSE)</f>
        <v>51</v>
      </c>
      <c r="Q1532" t="str">
        <f>VLOOKUP(E1532, Sales_Reps!A$2:C$31, 3, FALSE)</f>
        <v>South</v>
      </c>
      <c r="R1532">
        <f>VLOOKUP(D1532, Products!A$2:D$61, 4, FALSE)</f>
        <v>391</v>
      </c>
    </row>
    <row r="1533" spans="1:18" x14ac:dyDescent="0.3">
      <c r="A1533" s="13" t="s">
        <v>2026</v>
      </c>
      <c r="B1533" s="14">
        <v>45472</v>
      </c>
      <c r="C1533" s="13" t="s">
        <v>322</v>
      </c>
      <c r="D1533" s="13" t="s">
        <v>248</v>
      </c>
      <c r="E1533" s="13" t="s">
        <v>111</v>
      </c>
      <c r="F1533" s="15">
        <v>3</v>
      </c>
      <c r="G1533" s="15">
        <v>3870</v>
      </c>
      <c r="H1533" s="15">
        <v>1.9</v>
      </c>
      <c r="I1533" s="15">
        <v>11389.41</v>
      </c>
      <c r="J1533" s="13" t="s">
        <v>87</v>
      </c>
      <c r="K1533" s="13" t="s">
        <v>99</v>
      </c>
      <c r="L1533">
        <f>IF(COUNTIF(A$2:A1533, A1533)=1, IF(COUNTIF(A$2:A$2001, A1533)&gt;1, 1, 0), 0)</f>
        <v>0</v>
      </c>
      <c r="M1533" t="b">
        <f>VLOOKUP(D1533, Products!A$2:F$61, 6, FALSE)</f>
        <v>1</v>
      </c>
      <c r="N1533" t="str">
        <f>VLOOKUP(D1533, Products!A$2:C$61, 3, FALSE)</f>
        <v>Electronics</v>
      </c>
      <c r="O1533" t="str">
        <f>VLOOKUP(C1533, Customers!A$2:E$301, 5, FALSE)</f>
        <v>Retail</v>
      </c>
      <c r="P1533">
        <f>VLOOKUP(C1533, Customers!A$2:C$301, 3, FALSE)</f>
        <v>31</v>
      </c>
      <c r="Q1533" t="str">
        <f>VLOOKUP(E1533, Sales_Reps!A$2:C$31, 3, FALSE)</f>
        <v>West</v>
      </c>
      <c r="R1533">
        <f>VLOOKUP(D1533, Products!A$2:D$61, 4, FALSE)</f>
        <v>1559</v>
      </c>
    </row>
    <row r="1534" spans="1:18" x14ac:dyDescent="0.3">
      <c r="A1534" s="13" t="s">
        <v>2027</v>
      </c>
      <c r="B1534" s="14">
        <v>45296</v>
      </c>
      <c r="C1534" s="13" t="s">
        <v>528</v>
      </c>
      <c r="D1534" s="13" t="s">
        <v>127</v>
      </c>
      <c r="E1534" s="13" t="s">
        <v>285</v>
      </c>
      <c r="F1534" s="15">
        <v>6</v>
      </c>
      <c r="G1534" s="15">
        <v>970</v>
      </c>
      <c r="H1534" s="15">
        <v>27.1</v>
      </c>
      <c r="I1534" s="15">
        <v>4242.78</v>
      </c>
      <c r="J1534" s="13" t="s">
        <v>87</v>
      </c>
      <c r="K1534" s="13" t="s">
        <v>112</v>
      </c>
      <c r="L1534">
        <f>IF(COUNTIF(A$2:A1534, A1534)=1, IF(COUNTIF(A$2:A$2001, A1534)&gt;1, 1, 0), 0)</f>
        <v>0</v>
      </c>
      <c r="M1534" t="b">
        <f>VLOOKUP(D1534, Products!A$2:F$61, 6, FALSE)</f>
        <v>1</v>
      </c>
      <c r="N1534" t="str">
        <f>VLOOKUP(D1534, Products!A$2:C$61, 3, FALSE)</f>
        <v>Grocery</v>
      </c>
      <c r="O1534" t="str">
        <f>VLOOKUP(C1534, Customers!A$2:E$301, 5, FALSE)</f>
        <v>Retail</v>
      </c>
      <c r="P1534">
        <f>VLOOKUP(C1534, Customers!A$2:C$301, 3, FALSE)</f>
        <v>44</v>
      </c>
      <c r="Q1534" t="str">
        <f>VLOOKUP(E1534, Sales_Reps!A$2:C$31, 3, FALSE)</f>
        <v>East</v>
      </c>
      <c r="R1534">
        <f>VLOOKUP(D1534, Products!A$2:D$61, 4, FALSE)</f>
        <v>434</v>
      </c>
    </row>
    <row r="1535" spans="1:18" x14ac:dyDescent="0.3">
      <c r="A1535" s="13" t="s">
        <v>2028</v>
      </c>
      <c r="B1535" s="14">
        <v>45567</v>
      </c>
      <c r="C1535" s="13" t="s">
        <v>294</v>
      </c>
      <c r="D1535" s="13" t="s">
        <v>184</v>
      </c>
      <c r="E1535" s="13" t="s">
        <v>111</v>
      </c>
      <c r="F1535" s="15">
        <v>1</v>
      </c>
      <c r="G1535" s="15">
        <v>4880</v>
      </c>
      <c r="H1535" s="15">
        <v>26.8</v>
      </c>
      <c r="I1535" s="15">
        <v>3572.16</v>
      </c>
      <c r="J1535" s="13" t="s">
        <v>87</v>
      </c>
      <c r="K1535" s="13" t="s">
        <v>133</v>
      </c>
      <c r="L1535">
        <f>IF(COUNTIF(A$2:A1535, A1535)=1, IF(COUNTIF(A$2:A$2001, A1535)&gt;1, 1, 0), 0)</f>
        <v>0</v>
      </c>
      <c r="M1535" t="b">
        <f>VLOOKUP(D1535, Products!A$2:F$61, 6, FALSE)</f>
        <v>1</v>
      </c>
      <c r="N1535" t="str">
        <f>VLOOKUP(D1535, Products!A$2:C$61, 3, FALSE)</f>
        <v>Beauty</v>
      </c>
      <c r="O1535" t="str">
        <f>VLOOKUP(C1535, Customers!A$2:E$301, 5, FALSE)</f>
        <v>SMB</v>
      </c>
      <c r="P1535">
        <f>VLOOKUP(C1535, Customers!A$2:C$301, 3, FALSE)</f>
        <v>43</v>
      </c>
      <c r="Q1535" t="str">
        <f>VLOOKUP(E1535, Sales_Reps!A$2:C$31, 3, FALSE)</f>
        <v>West</v>
      </c>
      <c r="R1535">
        <f>VLOOKUP(D1535, Products!A$2:D$61, 4, FALSE)</f>
        <v>2768</v>
      </c>
    </row>
    <row r="1536" spans="1:18" x14ac:dyDescent="0.3">
      <c r="A1536" s="13" t="s">
        <v>2029</v>
      </c>
      <c r="B1536" s="14">
        <v>45337</v>
      </c>
      <c r="C1536" s="13" t="s">
        <v>841</v>
      </c>
      <c r="D1536" s="13" t="s">
        <v>245</v>
      </c>
      <c r="E1536" s="13" t="s">
        <v>154</v>
      </c>
      <c r="F1536" s="15">
        <v>1</v>
      </c>
      <c r="G1536" s="15">
        <v>2270</v>
      </c>
      <c r="H1536" s="15">
        <v>22.2</v>
      </c>
      <c r="I1536" s="15">
        <v>1766.06</v>
      </c>
      <c r="J1536" s="13" t="s">
        <v>87</v>
      </c>
      <c r="K1536" s="13" t="s">
        <v>117</v>
      </c>
      <c r="L1536">
        <f>IF(COUNTIF(A$2:A1536, A1536)=1, IF(COUNTIF(A$2:A$2001, A1536)&gt;1, 1, 0), 0)</f>
        <v>0</v>
      </c>
      <c r="M1536" t="b">
        <f>VLOOKUP(D1536, Products!A$2:F$61, 6, FALSE)</f>
        <v>1</v>
      </c>
      <c r="N1536" t="str">
        <f>VLOOKUP(D1536, Products!A$2:C$61, 3, FALSE)</f>
        <v>Grocery</v>
      </c>
      <c r="O1536" t="str">
        <f>VLOOKUP(C1536, Customers!A$2:E$301, 5, FALSE)</f>
        <v>Corporate</v>
      </c>
      <c r="P1536">
        <f>VLOOKUP(C1536, Customers!A$2:C$301, 3, FALSE)</f>
        <v>41</v>
      </c>
      <c r="Q1536" t="str">
        <f>VLOOKUP(E1536, Sales_Reps!A$2:C$31, 3, FALSE)</f>
        <v>East</v>
      </c>
      <c r="R1536">
        <f>VLOOKUP(D1536, Products!A$2:D$61, 4, FALSE)</f>
        <v>1412</v>
      </c>
    </row>
    <row r="1537" spans="1:18" x14ac:dyDescent="0.3">
      <c r="A1537" s="13" t="s">
        <v>2030</v>
      </c>
      <c r="B1537" s="14">
        <v>45376</v>
      </c>
      <c r="C1537" s="13" t="s">
        <v>153</v>
      </c>
      <c r="D1537" s="13" t="s">
        <v>157</v>
      </c>
      <c r="E1537" s="13" t="s">
        <v>201</v>
      </c>
      <c r="F1537" s="15">
        <v>10</v>
      </c>
      <c r="G1537" s="15">
        <v>3450</v>
      </c>
      <c r="H1537" s="15">
        <v>21.9</v>
      </c>
      <c r="I1537" s="15">
        <v>26944.5</v>
      </c>
      <c r="J1537" s="13" t="s">
        <v>87</v>
      </c>
      <c r="K1537" s="13" t="s">
        <v>117</v>
      </c>
      <c r="L1537">
        <f>IF(COUNTIF(A$2:A1537, A1537)=1, IF(COUNTIF(A$2:A$2001, A1537)&gt;1, 1, 0), 0)</f>
        <v>0</v>
      </c>
      <c r="M1537" t="b">
        <f>VLOOKUP(D1537, Products!A$2:F$61, 6, FALSE)</f>
        <v>1</v>
      </c>
      <c r="N1537" t="str">
        <f>VLOOKUP(D1537, Products!A$2:C$61, 3, FALSE)</f>
        <v>Beauty</v>
      </c>
      <c r="O1537" t="str">
        <f>VLOOKUP(C1537, Customers!A$2:E$301, 5, FALSE)</f>
        <v>SMB</v>
      </c>
      <c r="P1537">
        <f>VLOOKUP(C1537, Customers!A$2:C$301, 3, FALSE)</f>
        <v>46</v>
      </c>
      <c r="Q1537" t="str">
        <f>VLOOKUP(E1537, Sales_Reps!A$2:C$31, 3, FALSE)</f>
        <v>West</v>
      </c>
      <c r="R1537">
        <f>VLOOKUP(D1537, Products!A$2:D$61, 4, FALSE)</f>
        <v>2420</v>
      </c>
    </row>
    <row r="1538" spans="1:18" x14ac:dyDescent="0.3">
      <c r="A1538" s="13" t="s">
        <v>2031</v>
      </c>
      <c r="B1538" s="14">
        <v>45616</v>
      </c>
      <c r="C1538" s="13" t="s">
        <v>561</v>
      </c>
      <c r="D1538" s="13" t="s">
        <v>245</v>
      </c>
      <c r="E1538" s="13" t="s">
        <v>273</v>
      </c>
      <c r="F1538" s="15">
        <v>3</v>
      </c>
      <c r="G1538" s="15">
        <v>2270</v>
      </c>
      <c r="H1538" s="15">
        <v>19.100000000000001</v>
      </c>
      <c r="I1538" s="15">
        <v>5509.29</v>
      </c>
      <c r="J1538" s="13" t="s">
        <v>140</v>
      </c>
      <c r="K1538" s="13" t="s">
        <v>133</v>
      </c>
      <c r="L1538">
        <f>IF(COUNTIF(A$2:A1538, A1538)=1, IF(COUNTIF(A$2:A$2001, A1538)&gt;1, 1, 0), 0)</f>
        <v>0</v>
      </c>
      <c r="M1538" t="b">
        <f>VLOOKUP(D1538, Products!A$2:F$61, 6, FALSE)</f>
        <v>1</v>
      </c>
      <c r="N1538" t="str">
        <f>VLOOKUP(D1538, Products!A$2:C$61, 3, FALSE)</f>
        <v>Grocery</v>
      </c>
      <c r="O1538" t="str">
        <f>VLOOKUP(C1538, Customers!A$2:E$301, 5, FALSE)</f>
        <v>SMB</v>
      </c>
      <c r="P1538">
        <f>VLOOKUP(C1538, Customers!A$2:C$301, 3, FALSE)</f>
        <v>43</v>
      </c>
      <c r="Q1538" t="str">
        <f>VLOOKUP(E1538, Sales_Reps!A$2:C$31, 3, FALSE)</f>
        <v>South</v>
      </c>
      <c r="R1538">
        <f>VLOOKUP(D1538, Products!A$2:D$61, 4, FALSE)</f>
        <v>1412</v>
      </c>
    </row>
    <row r="1539" spans="1:18" x14ac:dyDescent="0.3">
      <c r="A1539" s="13" t="s">
        <v>2032</v>
      </c>
      <c r="B1539" s="14">
        <v>45360</v>
      </c>
      <c r="C1539" s="13" t="s">
        <v>921</v>
      </c>
      <c r="D1539" s="13" t="s">
        <v>338</v>
      </c>
      <c r="E1539" s="13" t="s">
        <v>170</v>
      </c>
      <c r="F1539" s="15">
        <v>10</v>
      </c>
      <c r="G1539" s="15">
        <v>2210</v>
      </c>
      <c r="H1539" s="15">
        <v>22.3</v>
      </c>
      <c r="I1539" s="15">
        <v>17171.7</v>
      </c>
      <c r="J1539" s="13" t="s">
        <v>87</v>
      </c>
      <c r="K1539" s="13" t="s">
        <v>117</v>
      </c>
      <c r="L1539">
        <f>IF(COUNTIF(A$2:A1539, A1539)=1, IF(COUNTIF(A$2:A$2001, A1539)&gt;1, 1, 0), 0)</f>
        <v>0</v>
      </c>
      <c r="M1539" t="b">
        <f>VLOOKUP(D1539, Products!A$2:F$61, 6, FALSE)</f>
        <v>1</v>
      </c>
      <c r="N1539" t="str">
        <f>VLOOKUP(D1539, Products!A$2:C$61, 3, FALSE)</f>
        <v>Grocery</v>
      </c>
      <c r="O1539" t="str">
        <f>VLOOKUP(C1539, Customers!A$2:E$301, 5, FALSE)</f>
        <v>Retail</v>
      </c>
      <c r="P1539">
        <f>VLOOKUP(C1539, Customers!A$2:C$301, 3, FALSE)</f>
        <v>28</v>
      </c>
      <c r="Q1539" t="str">
        <f>VLOOKUP(E1539, Sales_Reps!A$2:C$31, 3, FALSE)</f>
        <v>West</v>
      </c>
      <c r="R1539">
        <f>VLOOKUP(D1539, Products!A$2:D$61, 4, FALSE)</f>
        <v>1010</v>
      </c>
    </row>
    <row r="1540" spans="1:18" x14ac:dyDescent="0.3">
      <c r="A1540" s="13" t="s">
        <v>2033</v>
      </c>
      <c r="B1540" s="14">
        <v>45465</v>
      </c>
      <c r="C1540" s="13" t="s">
        <v>474</v>
      </c>
      <c r="D1540" s="13" t="s">
        <v>295</v>
      </c>
      <c r="E1540" s="13" t="s">
        <v>273</v>
      </c>
      <c r="F1540" s="15">
        <v>9</v>
      </c>
      <c r="G1540" s="15">
        <v>2030</v>
      </c>
      <c r="H1540" s="15">
        <v>24.8</v>
      </c>
      <c r="I1540" s="15">
        <v>13739.04</v>
      </c>
      <c r="J1540" s="13" t="s">
        <v>87</v>
      </c>
      <c r="K1540" s="13" t="s">
        <v>99</v>
      </c>
      <c r="L1540">
        <f>IF(COUNTIF(A$2:A1540, A1540)=1, IF(COUNTIF(A$2:A$2001, A1540)&gt;1, 1, 0), 0)</f>
        <v>0</v>
      </c>
      <c r="M1540" t="b">
        <f>VLOOKUP(D1540, Products!A$2:F$61, 6, FALSE)</f>
        <v>1</v>
      </c>
      <c r="N1540" t="str">
        <f>VLOOKUP(D1540, Products!A$2:C$61, 3, FALSE)</f>
        <v>Home</v>
      </c>
      <c r="O1540" t="str">
        <f>VLOOKUP(C1540, Customers!A$2:E$301, 5, FALSE)</f>
        <v>SMB</v>
      </c>
      <c r="P1540">
        <f>VLOOKUP(C1540, Customers!A$2:C$301, 3, FALSE)</f>
        <v>59</v>
      </c>
      <c r="Q1540" t="str">
        <f>VLOOKUP(E1540, Sales_Reps!A$2:C$31, 3, FALSE)</f>
        <v>South</v>
      </c>
      <c r="R1540">
        <f>VLOOKUP(D1540, Products!A$2:D$61, 4, FALSE)</f>
        <v>1143</v>
      </c>
    </row>
    <row r="1541" spans="1:18" x14ac:dyDescent="0.3">
      <c r="A1541" s="13" t="s">
        <v>2034</v>
      </c>
      <c r="B1541" s="14">
        <v>45380</v>
      </c>
      <c r="C1541" s="13" t="s">
        <v>388</v>
      </c>
      <c r="D1541" s="13" t="s">
        <v>179</v>
      </c>
      <c r="E1541" s="13" t="s">
        <v>154</v>
      </c>
      <c r="F1541" s="15">
        <v>5</v>
      </c>
      <c r="G1541" s="15">
        <v>3350</v>
      </c>
      <c r="H1541" s="15">
        <v>18.2</v>
      </c>
      <c r="I1541" s="15">
        <v>13701.5</v>
      </c>
      <c r="J1541" s="13" t="s">
        <v>87</v>
      </c>
      <c r="K1541" s="13" t="s">
        <v>133</v>
      </c>
      <c r="L1541">
        <f>IF(COUNTIF(A$2:A1541, A1541)=1, IF(COUNTIF(A$2:A$2001, A1541)&gt;1, 1, 0), 0)</f>
        <v>0</v>
      </c>
      <c r="M1541" t="b">
        <f>VLOOKUP(D1541, Products!A$2:F$61, 6, FALSE)</f>
        <v>1</v>
      </c>
      <c r="N1541" t="str">
        <f>VLOOKUP(D1541, Products!A$2:C$61, 3, FALSE)</f>
        <v>Beauty</v>
      </c>
      <c r="O1541" t="str">
        <f>VLOOKUP(C1541, Customers!A$2:E$301, 5, FALSE)</f>
        <v>Retail</v>
      </c>
      <c r="P1541">
        <f>VLOOKUP(C1541, Customers!A$2:C$301, 3, FALSE)</f>
        <v>44</v>
      </c>
      <c r="Q1541" t="str">
        <f>VLOOKUP(E1541, Sales_Reps!A$2:C$31, 3, FALSE)</f>
        <v>East</v>
      </c>
      <c r="R1541">
        <f>VLOOKUP(D1541, Products!A$2:D$61, 4, FALSE)</f>
        <v>1728</v>
      </c>
    </row>
    <row r="1542" spans="1:18" x14ac:dyDescent="0.3">
      <c r="A1542" s="13" t="s">
        <v>2035</v>
      </c>
      <c r="B1542" s="14">
        <v>45358</v>
      </c>
      <c r="C1542" s="13" t="s">
        <v>1628</v>
      </c>
      <c r="D1542" s="13" t="s">
        <v>237</v>
      </c>
      <c r="E1542" s="13" t="s">
        <v>107</v>
      </c>
      <c r="F1542" s="15">
        <v>7</v>
      </c>
      <c r="G1542" s="15">
        <v>3640</v>
      </c>
      <c r="H1542" s="15">
        <v>14.4</v>
      </c>
      <c r="I1542" s="15">
        <v>21810.880000000001</v>
      </c>
      <c r="J1542" s="13" t="s">
        <v>87</v>
      </c>
      <c r="K1542" s="13" t="s">
        <v>94</v>
      </c>
      <c r="L1542">
        <f>IF(COUNTIF(A$2:A1542, A1542)=1, IF(COUNTIF(A$2:A$2001, A1542)&gt;1, 1, 0), 0)</f>
        <v>0</v>
      </c>
      <c r="M1542" t="b">
        <f>VLOOKUP(D1542, Products!A$2:F$61, 6, FALSE)</f>
        <v>1</v>
      </c>
      <c r="N1542" t="str">
        <f>VLOOKUP(D1542, Products!A$2:C$61, 3, FALSE)</f>
        <v>Apparel</v>
      </c>
      <c r="O1542" t="str">
        <f>VLOOKUP(C1542, Customers!A$2:E$301, 5, FALSE)</f>
        <v>Retail</v>
      </c>
      <c r="P1542">
        <f>VLOOKUP(C1542, Customers!A$2:C$301, 3, FALSE)</f>
        <v>35</v>
      </c>
      <c r="Q1542" t="str">
        <f>VLOOKUP(E1542, Sales_Reps!A$2:C$31, 3, FALSE)</f>
        <v>North</v>
      </c>
      <c r="R1542">
        <f>VLOOKUP(D1542, Products!A$2:D$61, 4, FALSE)</f>
        <v>2611</v>
      </c>
    </row>
    <row r="1543" spans="1:18" x14ac:dyDescent="0.3">
      <c r="A1543" s="13" t="s">
        <v>2036</v>
      </c>
      <c r="B1543" s="14">
        <v>45385</v>
      </c>
      <c r="C1543" s="13" t="s">
        <v>902</v>
      </c>
      <c r="D1543" s="13" t="s">
        <v>161</v>
      </c>
      <c r="E1543" s="13" t="s">
        <v>303</v>
      </c>
      <c r="F1543" s="15">
        <v>9</v>
      </c>
      <c r="G1543" s="15">
        <v>3450</v>
      </c>
      <c r="H1543" s="15">
        <v>20.100000000000001</v>
      </c>
      <c r="I1543" s="15">
        <v>24808.95</v>
      </c>
      <c r="J1543" s="13" t="s">
        <v>87</v>
      </c>
      <c r="K1543" s="13" t="s">
        <v>112</v>
      </c>
      <c r="L1543">
        <f>IF(COUNTIF(A$2:A1543, A1543)=1, IF(COUNTIF(A$2:A$2001, A1543)&gt;1, 1, 0), 0)</f>
        <v>0</v>
      </c>
      <c r="M1543" t="b">
        <f>VLOOKUP(D1543, Products!A$2:F$61, 6, FALSE)</f>
        <v>1</v>
      </c>
      <c r="N1543" t="str">
        <f>VLOOKUP(D1543, Products!A$2:C$61, 3, FALSE)</f>
        <v>Sports</v>
      </c>
      <c r="O1543" t="str">
        <f>VLOOKUP(C1543, Customers!A$2:E$301, 5, FALSE)</f>
        <v>Retail</v>
      </c>
      <c r="P1543">
        <f>VLOOKUP(C1543, Customers!A$2:C$301, 3, FALSE)</f>
        <v>37</v>
      </c>
      <c r="Q1543" t="str">
        <f>VLOOKUP(E1543, Sales_Reps!A$2:C$31, 3, FALSE)</f>
        <v>East</v>
      </c>
      <c r="R1543">
        <f>VLOOKUP(D1543, Products!A$2:D$61, 4, FALSE)</f>
        <v>2467</v>
      </c>
    </row>
    <row r="1544" spans="1:18" x14ac:dyDescent="0.3">
      <c r="A1544" s="13" t="s">
        <v>2037</v>
      </c>
      <c r="B1544" s="14">
        <v>45443</v>
      </c>
      <c r="C1544" s="13" t="s">
        <v>868</v>
      </c>
      <c r="D1544" s="13" t="s">
        <v>157</v>
      </c>
      <c r="E1544" s="13" t="s">
        <v>148</v>
      </c>
      <c r="F1544" s="15">
        <v>6</v>
      </c>
      <c r="G1544" s="15">
        <v>3450</v>
      </c>
      <c r="H1544" s="15">
        <v>19.899999999999999</v>
      </c>
      <c r="I1544" s="15">
        <v>16580.7</v>
      </c>
      <c r="J1544" s="13" t="s">
        <v>93</v>
      </c>
      <c r="K1544" s="13" t="s">
        <v>99</v>
      </c>
      <c r="L1544">
        <f>IF(COUNTIF(A$2:A1544, A1544)=1, IF(COUNTIF(A$2:A$2001, A1544)&gt;1, 1, 0), 0)</f>
        <v>0</v>
      </c>
      <c r="M1544" t="b">
        <f>VLOOKUP(D1544, Products!A$2:F$61, 6, FALSE)</f>
        <v>1</v>
      </c>
      <c r="N1544" t="str">
        <f>VLOOKUP(D1544, Products!A$2:C$61, 3, FALSE)</f>
        <v>Beauty</v>
      </c>
      <c r="O1544" t="str">
        <f>VLOOKUP(C1544, Customers!A$2:E$301, 5, FALSE)</f>
        <v>SMB</v>
      </c>
      <c r="P1544">
        <f>VLOOKUP(C1544, Customers!A$2:C$301, 3, FALSE)</f>
        <v>38</v>
      </c>
      <c r="Q1544" t="str">
        <f>VLOOKUP(E1544, Sales_Reps!A$2:C$31, 3, FALSE)</f>
        <v>North</v>
      </c>
      <c r="R1544">
        <f>VLOOKUP(D1544, Products!A$2:D$61, 4, FALSE)</f>
        <v>2420</v>
      </c>
    </row>
    <row r="1545" spans="1:18" x14ac:dyDescent="0.3">
      <c r="A1545" s="13" t="s">
        <v>2038</v>
      </c>
      <c r="B1545" s="14">
        <v>45599</v>
      </c>
      <c r="C1545" s="13" t="s">
        <v>181</v>
      </c>
      <c r="D1545" s="13" t="s">
        <v>386</v>
      </c>
      <c r="E1545" s="13" t="s">
        <v>285</v>
      </c>
      <c r="F1545" s="15">
        <v>4</v>
      </c>
      <c r="G1545" s="15">
        <v>2290</v>
      </c>
      <c r="H1545" s="15">
        <v>4.8</v>
      </c>
      <c r="I1545" s="15">
        <v>8720.32</v>
      </c>
      <c r="J1545" s="13" t="s">
        <v>93</v>
      </c>
      <c r="K1545" s="13" t="s">
        <v>99</v>
      </c>
      <c r="L1545">
        <f>IF(COUNTIF(A$2:A1545, A1545)=1, IF(COUNTIF(A$2:A$2001, A1545)&gt;1, 1, 0), 0)</f>
        <v>0</v>
      </c>
      <c r="M1545" t="b">
        <f>VLOOKUP(D1545, Products!A$2:F$61, 6, FALSE)</f>
        <v>1</v>
      </c>
      <c r="N1545" t="str">
        <f>VLOOKUP(D1545, Products!A$2:C$61, 3, FALSE)</f>
        <v>Beauty</v>
      </c>
      <c r="O1545" t="str">
        <f>VLOOKUP(C1545, Customers!A$2:E$301, 5, FALSE)</f>
        <v>Retail</v>
      </c>
      <c r="P1545">
        <f>VLOOKUP(C1545, Customers!A$2:C$301, 3, FALSE)</f>
        <v>31</v>
      </c>
      <c r="Q1545" t="str">
        <f>VLOOKUP(E1545, Sales_Reps!A$2:C$31, 3, FALSE)</f>
        <v>East</v>
      </c>
      <c r="R1545">
        <f>VLOOKUP(D1545, Products!A$2:D$61, 4, FALSE)</f>
        <v>1219</v>
      </c>
    </row>
    <row r="1546" spans="1:18" x14ac:dyDescent="0.3">
      <c r="A1546" s="13" t="s">
        <v>2039</v>
      </c>
      <c r="B1546" s="14">
        <v>45479</v>
      </c>
      <c r="C1546" s="13" t="s">
        <v>697</v>
      </c>
      <c r="D1546" s="13" t="s">
        <v>115</v>
      </c>
      <c r="E1546" s="13" t="s">
        <v>132</v>
      </c>
      <c r="F1546" s="15">
        <v>9</v>
      </c>
      <c r="G1546" s="15">
        <v>960</v>
      </c>
      <c r="H1546" s="15">
        <v>2.4</v>
      </c>
      <c r="I1546" s="15">
        <v>8432.64</v>
      </c>
      <c r="J1546" s="13" t="s">
        <v>87</v>
      </c>
      <c r="K1546" s="13" t="s">
        <v>133</v>
      </c>
      <c r="L1546">
        <f>IF(COUNTIF(A$2:A1546, A1546)=1, IF(COUNTIF(A$2:A$2001, A1546)&gt;1, 1, 0), 0)</f>
        <v>0</v>
      </c>
      <c r="M1546" t="b">
        <f>VLOOKUP(D1546, Products!A$2:F$61, 6, FALSE)</f>
        <v>1</v>
      </c>
      <c r="N1546" t="str">
        <f>VLOOKUP(D1546, Products!A$2:C$61, 3, FALSE)</f>
        <v>Sports</v>
      </c>
      <c r="O1546" t="str">
        <f>VLOOKUP(C1546, Customers!A$2:E$301, 5, FALSE)</f>
        <v>Retail</v>
      </c>
      <c r="P1546">
        <f>VLOOKUP(C1546, Customers!A$2:C$301, 3, FALSE)</f>
        <v>65</v>
      </c>
      <c r="Q1546" t="str">
        <f>VLOOKUP(E1546, Sales_Reps!A$2:C$31, 3, FALSE)</f>
        <v>South</v>
      </c>
      <c r="R1546">
        <f>VLOOKUP(D1546, Products!A$2:D$61, 4, FALSE)</f>
        <v>705</v>
      </c>
    </row>
    <row r="1547" spans="1:18" x14ac:dyDescent="0.3">
      <c r="A1547" s="13" t="s">
        <v>2040</v>
      </c>
      <c r="B1547" s="14">
        <v>45489</v>
      </c>
      <c r="C1547" s="13" t="s">
        <v>725</v>
      </c>
      <c r="D1547" s="13" t="s">
        <v>270</v>
      </c>
      <c r="E1547" s="13" t="s">
        <v>111</v>
      </c>
      <c r="F1547" s="15">
        <v>9</v>
      </c>
      <c r="G1547" s="15">
        <v>4610</v>
      </c>
      <c r="H1547" s="15">
        <v>21.3</v>
      </c>
      <c r="I1547" s="15">
        <v>32652.63</v>
      </c>
      <c r="J1547" s="13" t="s">
        <v>87</v>
      </c>
      <c r="K1547" s="13" t="s">
        <v>99</v>
      </c>
      <c r="L1547">
        <f>IF(COUNTIF(A$2:A1547, A1547)=1, IF(COUNTIF(A$2:A$2001, A1547)&gt;1, 1, 0), 0)</f>
        <v>0</v>
      </c>
      <c r="M1547" t="b">
        <f>VLOOKUP(D1547, Products!A$2:F$61, 6, FALSE)</f>
        <v>1</v>
      </c>
      <c r="N1547" t="str">
        <f>VLOOKUP(D1547, Products!A$2:C$61, 3, FALSE)</f>
        <v>Home</v>
      </c>
      <c r="O1547" t="str">
        <f>VLOOKUP(C1547, Customers!A$2:E$301, 5, FALSE)</f>
        <v>SMB</v>
      </c>
      <c r="P1547">
        <f>VLOOKUP(C1547, Customers!A$2:C$301, 3, FALSE)</f>
        <v>26</v>
      </c>
      <c r="Q1547" t="str">
        <f>VLOOKUP(E1547, Sales_Reps!A$2:C$31, 3, FALSE)</f>
        <v>West</v>
      </c>
      <c r="R1547">
        <f>VLOOKUP(D1547, Products!A$2:D$61, 4, FALSE)</f>
        <v>1850</v>
      </c>
    </row>
    <row r="1548" spans="1:18" x14ac:dyDescent="0.3">
      <c r="A1548" s="13" t="s">
        <v>2041</v>
      </c>
      <c r="B1548" s="14">
        <v>45514</v>
      </c>
      <c r="C1548" s="13" t="s">
        <v>1072</v>
      </c>
      <c r="D1548" s="13" t="s">
        <v>102</v>
      </c>
      <c r="E1548" s="13" t="s">
        <v>148</v>
      </c>
      <c r="F1548" s="15">
        <v>1</v>
      </c>
      <c r="G1548" s="15">
        <v>3660</v>
      </c>
      <c r="H1548" s="15">
        <v>15.6</v>
      </c>
      <c r="I1548" s="15">
        <v>3089.04</v>
      </c>
      <c r="J1548" s="13" t="s">
        <v>87</v>
      </c>
      <c r="K1548" s="13" t="s">
        <v>112</v>
      </c>
      <c r="L1548">
        <f>IF(COUNTIF(A$2:A1548, A1548)=1, IF(COUNTIF(A$2:A$2001, A1548)&gt;1, 1, 0), 0)</f>
        <v>0</v>
      </c>
      <c r="M1548" t="b">
        <f>VLOOKUP(D1548, Products!A$2:F$61, 6, FALSE)</f>
        <v>0</v>
      </c>
      <c r="N1548" t="str">
        <f>VLOOKUP(D1548, Products!A$2:C$61, 3, FALSE)</f>
        <v>Grocery</v>
      </c>
      <c r="O1548" t="str">
        <f>VLOOKUP(C1548, Customers!A$2:E$301, 5, FALSE)</f>
        <v>SMB</v>
      </c>
      <c r="P1548">
        <f>VLOOKUP(C1548, Customers!A$2:C$301, 3, FALSE)</f>
        <v>53</v>
      </c>
      <c r="Q1548" t="str">
        <f>VLOOKUP(E1548, Sales_Reps!A$2:C$31, 3, FALSE)</f>
        <v>North</v>
      </c>
      <c r="R1548">
        <f>VLOOKUP(D1548, Products!A$2:D$61, 4, FALSE)</f>
        <v>2214</v>
      </c>
    </row>
    <row r="1549" spans="1:18" x14ac:dyDescent="0.3">
      <c r="A1549" s="13" t="s">
        <v>2042</v>
      </c>
      <c r="B1549" s="14">
        <v>45653</v>
      </c>
      <c r="C1549" s="13" t="s">
        <v>305</v>
      </c>
      <c r="D1549" s="13" t="s">
        <v>279</v>
      </c>
      <c r="E1549" s="13" t="s">
        <v>325</v>
      </c>
      <c r="F1549" s="15">
        <v>5</v>
      </c>
      <c r="G1549" s="15">
        <v>2660</v>
      </c>
      <c r="H1549" s="15">
        <v>20.399999999999999</v>
      </c>
      <c r="I1549" s="15">
        <v>10586.8</v>
      </c>
      <c r="J1549" s="13" t="s">
        <v>87</v>
      </c>
      <c r="K1549" s="13" t="s">
        <v>133</v>
      </c>
      <c r="L1549">
        <f>IF(COUNTIF(A$2:A1549, A1549)=1, IF(COUNTIF(A$2:A$2001, A1549)&gt;1, 1, 0), 0)</f>
        <v>0</v>
      </c>
      <c r="M1549" t="b">
        <f>VLOOKUP(D1549, Products!A$2:F$61, 6, FALSE)</f>
        <v>0</v>
      </c>
      <c r="N1549" t="str">
        <f>VLOOKUP(D1549, Products!A$2:C$61, 3, FALSE)</f>
        <v>Electronics</v>
      </c>
      <c r="O1549" t="str">
        <f>VLOOKUP(C1549, Customers!A$2:E$301, 5, FALSE)</f>
        <v>Corporate</v>
      </c>
      <c r="P1549">
        <f>VLOOKUP(C1549, Customers!A$2:C$301, 3, FALSE)</f>
        <v>46</v>
      </c>
      <c r="Q1549" t="str">
        <f>VLOOKUP(E1549, Sales_Reps!A$2:C$31, 3, FALSE)</f>
        <v>South</v>
      </c>
      <c r="R1549">
        <f>VLOOKUP(D1549, Products!A$2:D$61, 4, FALSE)</f>
        <v>1259</v>
      </c>
    </row>
    <row r="1550" spans="1:18" x14ac:dyDescent="0.3">
      <c r="A1550" s="13" t="s">
        <v>2043</v>
      </c>
      <c r="B1550" s="14">
        <v>45401</v>
      </c>
      <c r="C1550" s="13" t="s">
        <v>868</v>
      </c>
      <c r="D1550" s="13" t="s">
        <v>259</v>
      </c>
      <c r="E1550" s="13" t="s">
        <v>201</v>
      </c>
      <c r="F1550" s="15">
        <v>8</v>
      </c>
      <c r="G1550" s="15">
        <v>1540</v>
      </c>
      <c r="H1550" s="15">
        <v>0.5</v>
      </c>
      <c r="I1550" s="15">
        <v>12258.4</v>
      </c>
      <c r="J1550" s="13" t="s">
        <v>87</v>
      </c>
      <c r="K1550" s="13" t="s">
        <v>99</v>
      </c>
      <c r="L1550">
        <f>IF(COUNTIF(A$2:A1550, A1550)=1, IF(COUNTIF(A$2:A$2001, A1550)&gt;1, 1, 0), 0)</f>
        <v>0</v>
      </c>
      <c r="M1550" t="b">
        <f>VLOOKUP(D1550, Products!A$2:F$61, 6, FALSE)</f>
        <v>0</v>
      </c>
      <c r="N1550" t="str">
        <f>VLOOKUP(D1550, Products!A$2:C$61, 3, FALSE)</f>
        <v>Beauty</v>
      </c>
      <c r="O1550" t="str">
        <f>VLOOKUP(C1550, Customers!A$2:E$301, 5, FALSE)</f>
        <v>SMB</v>
      </c>
      <c r="P1550">
        <f>VLOOKUP(C1550, Customers!A$2:C$301, 3, FALSE)</f>
        <v>38</v>
      </c>
      <c r="Q1550" t="str">
        <f>VLOOKUP(E1550, Sales_Reps!A$2:C$31, 3, FALSE)</f>
        <v>West</v>
      </c>
      <c r="R1550">
        <f>VLOOKUP(D1550, Products!A$2:D$61, 4, FALSE)</f>
        <v>647</v>
      </c>
    </row>
    <row r="1551" spans="1:18" x14ac:dyDescent="0.3">
      <c r="A1551" s="13" t="s">
        <v>2044</v>
      </c>
      <c r="B1551" s="14">
        <v>45621</v>
      </c>
      <c r="C1551" s="13" t="s">
        <v>507</v>
      </c>
      <c r="D1551" s="13" t="s">
        <v>408</v>
      </c>
      <c r="E1551" s="13" t="s">
        <v>139</v>
      </c>
      <c r="F1551" s="15">
        <v>4</v>
      </c>
      <c r="G1551" s="15">
        <v>3970</v>
      </c>
      <c r="H1551" s="15">
        <v>22.5</v>
      </c>
      <c r="I1551" s="15">
        <v>12307</v>
      </c>
      <c r="J1551" s="13" t="s">
        <v>87</v>
      </c>
      <c r="K1551" s="13" t="s">
        <v>88</v>
      </c>
      <c r="L1551">
        <f>IF(COUNTIF(A$2:A1551, A1551)=1, IF(COUNTIF(A$2:A$2001, A1551)&gt;1, 1, 0), 0)</f>
        <v>0</v>
      </c>
      <c r="M1551" t="b">
        <f>VLOOKUP(D1551, Products!A$2:F$61, 6, FALSE)</f>
        <v>1</v>
      </c>
      <c r="N1551" t="str">
        <f>VLOOKUP(D1551, Products!A$2:C$61, 3, FALSE)</f>
        <v>Electronics</v>
      </c>
      <c r="O1551" t="str">
        <f>VLOOKUP(C1551, Customers!A$2:E$301, 5, FALSE)</f>
        <v>Retail</v>
      </c>
      <c r="P1551">
        <f>VLOOKUP(C1551, Customers!A$2:C$301, 3, FALSE)</f>
        <v>59</v>
      </c>
      <c r="Q1551" t="str">
        <f>VLOOKUP(E1551, Sales_Reps!A$2:C$31, 3, FALSE)</f>
        <v>North</v>
      </c>
      <c r="R1551">
        <f>VLOOKUP(D1551, Products!A$2:D$61, 4, FALSE)</f>
        <v>2865</v>
      </c>
    </row>
    <row r="1552" spans="1:18" x14ac:dyDescent="0.3">
      <c r="A1552" s="13" t="s">
        <v>2045</v>
      </c>
      <c r="B1552" s="14">
        <v>45368</v>
      </c>
      <c r="C1552" s="13" t="s">
        <v>369</v>
      </c>
      <c r="D1552" s="13" t="s">
        <v>461</v>
      </c>
      <c r="E1552" s="13" t="s">
        <v>86</v>
      </c>
      <c r="F1552" s="15">
        <v>8</v>
      </c>
      <c r="G1552" s="15">
        <v>3780</v>
      </c>
      <c r="H1552" s="15">
        <v>3.8</v>
      </c>
      <c r="I1552" s="15">
        <v>29090.880000000001</v>
      </c>
      <c r="J1552" s="13" t="s">
        <v>87</v>
      </c>
      <c r="K1552" s="13" t="s">
        <v>94</v>
      </c>
      <c r="L1552">
        <f>IF(COUNTIF(A$2:A1552, A1552)=1, IF(COUNTIF(A$2:A$2001, A1552)&gt;1, 1, 0), 0)</f>
        <v>0</v>
      </c>
      <c r="M1552" t="b">
        <f>VLOOKUP(D1552, Products!A$2:F$61, 6, FALSE)</f>
        <v>1</v>
      </c>
      <c r="N1552" t="str">
        <f>VLOOKUP(D1552, Products!A$2:C$61, 3, FALSE)</f>
        <v>Sports</v>
      </c>
      <c r="O1552" t="str">
        <f>VLOOKUP(C1552, Customers!A$2:E$301, 5, FALSE)</f>
        <v>SMB</v>
      </c>
      <c r="P1552">
        <f>VLOOKUP(C1552, Customers!A$2:C$301, 3, FALSE)</f>
        <v>62</v>
      </c>
      <c r="Q1552" t="str">
        <f>VLOOKUP(E1552, Sales_Reps!A$2:C$31, 3, FALSE)</f>
        <v>North</v>
      </c>
      <c r="R1552">
        <f>VLOOKUP(D1552, Products!A$2:D$61, 4, FALSE)</f>
        <v>1860</v>
      </c>
    </row>
    <row r="1553" spans="1:18" x14ac:dyDescent="0.3">
      <c r="A1553" s="13" t="s">
        <v>2046</v>
      </c>
      <c r="B1553" s="14">
        <v>45550</v>
      </c>
      <c r="C1553" s="13" t="s">
        <v>394</v>
      </c>
      <c r="D1553" s="13" t="s">
        <v>245</v>
      </c>
      <c r="E1553" s="13" t="s">
        <v>139</v>
      </c>
      <c r="F1553" s="15">
        <v>4</v>
      </c>
      <c r="G1553" s="15">
        <v>2270</v>
      </c>
      <c r="H1553" s="15">
        <v>3.8</v>
      </c>
      <c r="I1553" s="15">
        <v>8734.9599999999991</v>
      </c>
      <c r="J1553" s="13" t="s">
        <v>140</v>
      </c>
      <c r="K1553" s="13" t="s">
        <v>117</v>
      </c>
      <c r="L1553">
        <f>IF(COUNTIF(A$2:A1553, A1553)=1, IF(COUNTIF(A$2:A$2001, A1553)&gt;1, 1, 0), 0)</f>
        <v>0</v>
      </c>
      <c r="M1553" t="b">
        <f>VLOOKUP(D1553, Products!A$2:F$61, 6, FALSE)</f>
        <v>1</v>
      </c>
      <c r="N1553" t="str">
        <f>VLOOKUP(D1553, Products!A$2:C$61, 3, FALSE)</f>
        <v>Grocery</v>
      </c>
      <c r="O1553" t="str">
        <f>VLOOKUP(C1553, Customers!A$2:E$301, 5, FALSE)</f>
        <v>SMB</v>
      </c>
      <c r="P1553">
        <f>VLOOKUP(C1553, Customers!A$2:C$301, 3, FALSE)</f>
        <v>28</v>
      </c>
      <c r="Q1553" t="str">
        <f>VLOOKUP(E1553, Sales_Reps!A$2:C$31, 3, FALSE)</f>
        <v>North</v>
      </c>
      <c r="R1553">
        <f>VLOOKUP(D1553, Products!A$2:D$61, 4, FALSE)</f>
        <v>1412</v>
      </c>
    </row>
    <row r="1554" spans="1:18" x14ac:dyDescent="0.3">
      <c r="A1554" s="13" t="s">
        <v>2047</v>
      </c>
      <c r="B1554" s="14">
        <v>45304</v>
      </c>
      <c r="C1554" s="13" t="s">
        <v>333</v>
      </c>
      <c r="D1554" s="13" t="s">
        <v>267</v>
      </c>
      <c r="E1554" s="13" t="s">
        <v>204</v>
      </c>
      <c r="F1554" s="15">
        <v>10</v>
      </c>
      <c r="G1554" s="15">
        <v>1220</v>
      </c>
      <c r="H1554" s="15">
        <v>19.5</v>
      </c>
      <c r="I1554" s="15">
        <v>9821</v>
      </c>
      <c r="J1554" s="13" t="s">
        <v>87</v>
      </c>
      <c r="K1554" s="13" t="s">
        <v>133</v>
      </c>
      <c r="L1554">
        <f>IF(COUNTIF(A$2:A1554, A1554)=1, IF(COUNTIF(A$2:A$2001, A1554)&gt;1, 1, 0), 0)</f>
        <v>0</v>
      </c>
      <c r="M1554" t="b">
        <f>VLOOKUP(D1554, Products!A$2:F$61, 6, FALSE)</f>
        <v>1</v>
      </c>
      <c r="N1554" t="str">
        <f>VLOOKUP(D1554, Products!A$2:C$61, 3, FALSE)</f>
        <v>Electronics</v>
      </c>
      <c r="O1554" t="str">
        <f>VLOOKUP(C1554, Customers!A$2:E$301, 5, FALSE)</f>
        <v>SMB</v>
      </c>
      <c r="P1554">
        <f>VLOOKUP(C1554, Customers!A$2:C$301, 3, FALSE)</f>
        <v>65</v>
      </c>
      <c r="Q1554" t="str">
        <f>VLOOKUP(E1554, Sales_Reps!A$2:C$31, 3, FALSE)</f>
        <v>South</v>
      </c>
      <c r="R1554">
        <f>VLOOKUP(D1554, Products!A$2:D$61, 4, FALSE)</f>
        <v>517</v>
      </c>
    </row>
    <row r="1555" spans="1:18" x14ac:dyDescent="0.3">
      <c r="A1555" s="13" t="s">
        <v>2048</v>
      </c>
      <c r="B1555" s="14">
        <v>45321</v>
      </c>
      <c r="C1555" s="13" t="s">
        <v>299</v>
      </c>
      <c r="D1555" s="13" t="s">
        <v>179</v>
      </c>
      <c r="E1555" s="13" t="s">
        <v>188</v>
      </c>
      <c r="F1555" s="15">
        <v>10</v>
      </c>
      <c r="G1555" s="15">
        <v>3350</v>
      </c>
      <c r="H1555" s="15">
        <v>7.8</v>
      </c>
      <c r="I1555" s="15">
        <v>30887</v>
      </c>
      <c r="J1555" s="13" t="s">
        <v>87</v>
      </c>
      <c r="K1555" s="13" t="s">
        <v>133</v>
      </c>
      <c r="L1555">
        <f>IF(COUNTIF(A$2:A1555, A1555)=1, IF(COUNTIF(A$2:A$2001, A1555)&gt;1, 1, 0), 0)</f>
        <v>0</v>
      </c>
      <c r="M1555" t="b">
        <f>VLOOKUP(D1555, Products!A$2:F$61, 6, FALSE)</f>
        <v>1</v>
      </c>
      <c r="N1555" t="str">
        <f>VLOOKUP(D1555, Products!A$2:C$61, 3, FALSE)</f>
        <v>Beauty</v>
      </c>
      <c r="O1555" t="str">
        <f>VLOOKUP(C1555, Customers!A$2:E$301, 5, FALSE)</f>
        <v>Retail</v>
      </c>
      <c r="P1555">
        <f>VLOOKUP(C1555, Customers!A$2:C$301, 3, FALSE)</f>
        <v>29</v>
      </c>
      <c r="Q1555" t="str">
        <f>VLOOKUP(E1555, Sales_Reps!A$2:C$31, 3, FALSE)</f>
        <v>South</v>
      </c>
      <c r="R1555">
        <f>VLOOKUP(D1555, Products!A$2:D$61, 4, FALSE)</f>
        <v>1728</v>
      </c>
    </row>
    <row r="1556" spans="1:18" x14ac:dyDescent="0.3">
      <c r="A1556" s="13" t="s">
        <v>2049</v>
      </c>
      <c r="B1556" s="14">
        <v>45358</v>
      </c>
      <c r="C1556" s="13" t="s">
        <v>2050</v>
      </c>
      <c r="D1556" s="13" t="s">
        <v>179</v>
      </c>
      <c r="E1556" s="13" t="s">
        <v>170</v>
      </c>
      <c r="F1556" s="15">
        <v>7</v>
      </c>
      <c r="G1556" s="15">
        <v>3350</v>
      </c>
      <c r="H1556" s="15">
        <v>14.5</v>
      </c>
      <c r="I1556" s="15">
        <v>20049.75</v>
      </c>
      <c r="J1556" s="13" t="s">
        <v>87</v>
      </c>
      <c r="K1556" s="13" t="s">
        <v>117</v>
      </c>
      <c r="L1556">
        <f>IF(COUNTIF(A$2:A1556, A1556)=1, IF(COUNTIF(A$2:A$2001, A1556)&gt;1, 1, 0), 0)</f>
        <v>0</v>
      </c>
      <c r="M1556" t="b">
        <f>VLOOKUP(D1556, Products!A$2:F$61, 6, FALSE)</f>
        <v>1</v>
      </c>
      <c r="N1556" t="str">
        <f>VLOOKUP(D1556, Products!A$2:C$61, 3, FALSE)</f>
        <v>Beauty</v>
      </c>
      <c r="O1556" t="e">
        <f>VLOOKUP(C1556, Customers!A$2:E$301, 5, FALSE)</f>
        <v>#N/A</v>
      </c>
      <c r="P1556" t="e">
        <f>VLOOKUP(C1556, Customers!A$2:C$301, 3, FALSE)</f>
        <v>#N/A</v>
      </c>
      <c r="Q1556" t="str">
        <f>VLOOKUP(E1556, Sales_Reps!A$2:C$31, 3, FALSE)</f>
        <v>West</v>
      </c>
      <c r="R1556">
        <f>VLOOKUP(D1556, Products!A$2:D$61, 4, FALSE)</f>
        <v>1728</v>
      </c>
    </row>
    <row r="1557" spans="1:18" x14ac:dyDescent="0.3">
      <c r="A1557" s="13" t="s">
        <v>2051</v>
      </c>
      <c r="B1557" s="14">
        <v>45440</v>
      </c>
      <c r="C1557" s="13" t="s">
        <v>217</v>
      </c>
      <c r="D1557" s="13" t="s">
        <v>124</v>
      </c>
      <c r="E1557" s="13" t="s">
        <v>98</v>
      </c>
      <c r="F1557" s="15">
        <v>6</v>
      </c>
      <c r="G1557" s="15">
        <v>5490</v>
      </c>
      <c r="H1557" s="15">
        <v>8</v>
      </c>
      <c r="I1557" s="15">
        <v>30304.799999999999</v>
      </c>
      <c r="J1557" s="13" t="s">
        <v>87</v>
      </c>
      <c r="K1557" s="13" t="s">
        <v>94</v>
      </c>
      <c r="L1557">
        <f>IF(COUNTIF(A$2:A1557, A1557)=1, IF(COUNTIF(A$2:A$2001, A1557)&gt;1, 1, 0), 0)</f>
        <v>0</v>
      </c>
      <c r="M1557" t="b">
        <f>VLOOKUP(D1557, Products!A$2:F$61, 6, FALSE)</f>
        <v>1</v>
      </c>
      <c r="N1557" t="str">
        <f>VLOOKUP(D1557, Products!A$2:C$61, 3, FALSE)</f>
        <v>Home</v>
      </c>
      <c r="O1557" t="str">
        <f>VLOOKUP(C1557, Customers!A$2:E$301, 5, FALSE)</f>
        <v>Retail</v>
      </c>
      <c r="P1557">
        <f>VLOOKUP(C1557, Customers!A$2:C$301, 3, FALSE)</f>
        <v>51</v>
      </c>
      <c r="Q1557" t="str">
        <f>VLOOKUP(E1557, Sales_Reps!A$2:C$31, 3, FALSE)</f>
        <v>South</v>
      </c>
      <c r="R1557">
        <f>VLOOKUP(D1557, Products!A$2:D$61, 4, FALSE)</f>
        <v>2549</v>
      </c>
    </row>
    <row r="1558" spans="1:18" x14ac:dyDescent="0.3">
      <c r="A1558" s="13" t="s">
        <v>2052</v>
      </c>
      <c r="B1558" s="14">
        <v>45618</v>
      </c>
      <c r="C1558" s="13" t="s">
        <v>2053</v>
      </c>
      <c r="D1558" s="13" t="s">
        <v>195</v>
      </c>
      <c r="E1558" s="13" t="s">
        <v>303</v>
      </c>
      <c r="F1558" s="15">
        <v>3</v>
      </c>
      <c r="G1558" s="15">
        <v>2860</v>
      </c>
      <c r="H1558" s="15">
        <v>19.899999999999999</v>
      </c>
      <c r="I1558" s="15">
        <v>6872.58</v>
      </c>
      <c r="J1558" s="13" t="s">
        <v>87</v>
      </c>
      <c r="K1558" s="13" t="s">
        <v>133</v>
      </c>
      <c r="L1558">
        <f>IF(COUNTIF(A$2:A1558, A1558)=1, IF(COUNTIF(A$2:A$2001, A1558)&gt;1, 1, 0), 0)</f>
        <v>0</v>
      </c>
      <c r="M1558" t="b">
        <f>VLOOKUP(D1558, Products!A$2:F$61, 6, FALSE)</f>
        <v>1</v>
      </c>
      <c r="N1558" t="str">
        <f>VLOOKUP(D1558, Products!A$2:C$61, 3, FALSE)</f>
        <v>Sports</v>
      </c>
      <c r="O1558" t="str">
        <f>VLOOKUP(C1558, Customers!A$2:E$301, 5, FALSE)</f>
        <v>SMB</v>
      </c>
      <c r="P1558">
        <f>VLOOKUP(C1558, Customers!A$2:C$301, 3, FALSE)</f>
        <v>39</v>
      </c>
      <c r="Q1558" t="str">
        <f>VLOOKUP(E1558, Sales_Reps!A$2:C$31, 3, FALSE)</f>
        <v>East</v>
      </c>
      <c r="R1558">
        <f>VLOOKUP(D1558, Products!A$2:D$61, 4, FALSE)</f>
        <v>2028</v>
      </c>
    </row>
    <row r="1559" spans="1:18" x14ac:dyDescent="0.3">
      <c r="A1559" s="13" t="s">
        <v>2054</v>
      </c>
      <c r="B1559" s="14">
        <v>45295</v>
      </c>
      <c r="C1559" s="13" t="s">
        <v>717</v>
      </c>
      <c r="D1559" s="13" t="s">
        <v>135</v>
      </c>
      <c r="E1559" s="13" t="s">
        <v>116</v>
      </c>
      <c r="F1559" s="15">
        <v>3</v>
      </c>
      <c r="G1559" s="15">
        <v>2640</v>
      </c>
      <c r="H1559" s="15">
        <v>29.3</v>
      </c>
      <c r="I1559" s="15">
        <v>5599.44</v>
      </c>
      <c r="J1559" s="13" t="s">
        <v>87</v>
      </c>
      <c r="K1559" s="13" t="s">
        <v>94</v>
      </c>
      <c r="L1559">
        <f>IF(COUNTIF(A$2:A1559, A1559)=1, IF(COUNTIF(A$2:A$2001, A1559)&gt;1, 1, 0), 0)</f>
        <v>0</v>
      </c>
      <c r="M1559" t="b">
        <f>VLOOKUP(D1559, Products!A$2:F$61, 6, FALSE)</f>
        <v>1</v>
      </c>
      <c r="N1559" t="str">
        <f>VLOOKUP(D1559, Products!A$2:C$61, 3, FALSE)</f>
        <v>Electronics</v>
      </c>
      <c r="O1559" t="str">
        <f>VLOOKUP(C1559, Customers!A$2:E$301, 5, FALSE)</f>
        <v>Retail</v>
      </c>
      <c r="P1559">
        <f>VLOOKUP(C1559, Customers!A$2:C$301, 3, FALSE)</f>
        <v>24</v>
      </c>
      <c r="Q1559" t="str">
        <f>VLOOKUP(E1559, Sales_Reps!A$2:C$31, 3, FALSE)</f>
        <v>West</v>
      </c>
      <c r="R1559">
        <f>VLOOKUP(D1559, Products!A$2:D$61, 4, FALSE)</f>
        <v>1149</v>
      </c>
    </row>
    <row r="1560" spans="1:18" x14ac:dyDescent="0.3">
      <c r="A1560" s="13" t="s">
        <v>2055</v>
      </c>
      <c r="B1560" s="14">
        <v>45384</v>
      </c>
      <c r="C1560" s="13" t="s">
        <v>541</v>
      </c>
      <c r="D1560" s="13" t="s">
        <v>452</v>
      </c>
      <c r="E1560" s="13" t="s">
        <v>229</v>
      </c>
      <c r="F1560" s="15">
        <v>8</v>
      </c>
      <c r="G1560" s="15">
        <v>3450</v>
      </c>
      <c r="H1560" s="15">
        <v>15.2</v>
      </c>
      <c r="I1560" s="15">
        <v>23404.799999999999</v>
      </c>
      <c r="J1560" s="13" t="s">
        <v>140</v>
      </c>
      <c r="K1560" s="13" t="s">
        <v>94</v>
      </c>
      <c r="L1560">
        <f>IF(COUNTIF(A$2:A1560, A1560)=1, IF(COUNTIF(A$2:A$2001, A1560)&gt;1, 1, 0), 0)</f>
        <v>0</v>
      </c>
      <c r="M1560" t="b">
        <f>VLOOKUP(D1560, Products!A$2:F$61, 6, FALSE)</f>
        <v>1</v>
      </c>
      <c r="N1560" t="str">
        <f>VLOOKUP(D1560, Products!A$2:C$61, 3, FALSE)</f>
        <v>Apparel</v>
      </c>
      <c r="O1560" t="str">
        <f>VLOOKUP(C1560, Customers!A$2:E$301, 5, FALSE)</f>
        <v>Corporate</v>
      </c>
      <c r="P1560">
        <f>VLOOKUP(C1560, Customers!A$2:C$301, 3, FALSE)</f>
        <v>34</v>
      </c>
      <c r="Q1560" t="str">
        <f>VLOOKUP(E1560, Sales_Reps!A$2:C$31, 3, FALSE)</f>
        <v>West</v>
      </c>
      <c r="R1560">
        <f>VLOOKUP(D1560, Products!A$2:D$61, 4, FALSE)</f>
        <v>1748</v>
      </c>
    </row>
    <row r="1561" spans="1:18" x14ac:dyDescent="0.3">
      <c r="A1561" s="13" t="s">
        <v>2056</v>
      </c>
      <c r="B1561" s="14">
        <v>45349</v>
      </c>
      <c r="C1561" s="13" t="s">
        <v>868</v>
      </c>
      <c r="D1561" s="13" t="s">
        <v>110</v>
      </c>
      <c r="E1561" s="13" t="s">
        <v>111</v>
      </c>
      <c r="F1561" s="15">
        <v>6</v>
      </c>
      <c r="G1561" s="15">
        <v>370</v>
      </c>
      <c r="H1561" s="15">
        <v>7</v>
      </c>
      <c r="I1561" s="15">
        <v>2064.6</v>
      </c>
      <c r="J1561" s="13" t="s">
        <v>87</v>
      </c>
      <c r="K1561" s="13" t="s">
        <v>99</v>
      </c>
      <c r="L1561">
        <f>IF(COUNTIF(A$2:A1561, A1561)=1, IF(COUNTIF(A$2:A$2001, A1561)&gt;1, 1, 0), 0)</f>
        <v>0</v>
      </c>
      <c r="M1561" t="b">
        <f>VLOOKUP(D1561, Products!A$2:F$61, 6, FALSE)</f>
        <v>1</v>
      </c>
      <c r="N1561" t="str">
        <f>VLOOKUP(D1561, Products!A$2:C$61, 3, FALSE)</f>
        <v>Home</v>
      </c>
      <c r="O1561" t="str">
        <f>VLOOKUP(C1561, Customers!A$2:E$301, 5, FALSE)</f>
        <v>SMB</v>
      </c>
      <c r="P1561">
        <f>VLOOKUP(C1561, Customers!A$2:C$301, 3, FALSE)</f>
        <v>38</v>
      </c>
      <c r="Q1561" t="str">
        <f>VLOOKUP(E1561, Sales_Reps!A$2:C$31, 3, FALSE)</f>
        <v>West</v>
      </c>
      <c r="R1561">
        <f>VLOOKUP(D1561, Products!A$2:D$61, 4, FALSE)</f>
        <v>288</v>
      </c>
    </row>
    <row r="1562" spans="1:18" x14ac:dyDescent="0.3">
      <c r="A1562" s="13" t="s">
        <v>2057</v>
      </c>
      <c r="B1562" s="14">
        <v>45439</v>
      </c>
      <c r="C1562" s="13" t="s">
        <v>350</v>
      </c>
      <c r="D1562" s="13" t="s">
        <v>351</v>
      </c>
      <c r="E1562" s="13" t="s">
        <v>229</v>
      </c>
      <c r="F1562" s="15">
        <v>10</v>
      </c>
      <c r="G1562" s="15">
        <v>4060</v>
      </c>
      <c r="H1562" s="15">
        <v>4.7</v>
      </c>
      <c r="I1562" s="15">
        <v>38691.800000000003</v>
      </c>
      <c r="J1562" s="13" t="s">
        <v>140</v>
      </c>
      <c r="K1562" s="13" t="s">
        <v>112</v>
      </c>
      <c r="L1562">
        <f>IF(COUNTIF(A$2:A1562, A1562)=1, IF(COUNTIF(A$2:A$2001, A1562)&gt;1, 1, 0), 0)</f>
        <v>0</v>
      </c>
      <c r="M1562" t="b">
        <f>VLOOKUP(D1562, Products!A$2:F$61, 6, FALSE)</f>
        <v>1</v>
      </c>
      <c r="N1562" t="str">
        <f>VLOOKUP(D1562, Products!A$2:C$61, 3, FALSE)</f>
        <v>Grocery</v>
      </c>
      <c r="O1562" t="str">
        <f>VLOOKUP(C1562, Customers!A$2:E$301, 5, FALSE)</f>
        <v>SMB</v>
      </c>
      <c r="P1562">
        <f>VLOOKUP(C1562, Customers!A$2:C$301, 3, FALSE)</f>
        <v>22</v>
      </c>
      <c r="Q1562" t="str">
        <f>VLOOKUP(E1562, Sales_Reps!A$2:C$31, 3, FALSE)</f>
        <v>West</v>
      </c>
      <c r="R1562">
        <f>VLOOKUP(D1562, Products!A$2:D$61, 4, FALSE)</f>
        <v>2911</v>
      </c>
    </row>
    <row r="1563" spans="1:18" x14ac:dyDescent="0.3">
      <c r="A1563" s="13" t="s">
        <v>2058</v>
      </c>
      <c r="B1563" s="14">
        <v>45426</v>
      </c>
      <c r="C1563" s="13" t="s">
        <v>1038</v>
      </c>
      <c r="D1563" s="13" t="s">
        <v>248</v>
      </c>
      <c r="E1563" s="13" t="s">
        <v>116</v>
      </c>
      <c r="F1563" s="15">
        <v>1</v>
      </c>
      <c r="G1563" s="15">
        <v>3870</v>
      </c>
      <c r="H1563" s="15">
        <v>18.2</v>
      </c>
      <c r="I1563" s="15">
        <v>3165.66</v>
      </c>
      <c r="J1563" s="13" t="s">
        <v>93</v>
      </c>
      <c r="K1563" s="13" t="s">
        <v>117</v>
      </c>
      <c r="L1563">
        <f>IF(COUNTIF(A$2:A1563, A1563)=1, IF(COUNTIF(A$2:A$2001, A1563)&gt;1, 1, 0), 0)</f>
        <v>0</v>
      </c>
      <c r="M1563" t="b">
        <f>VLOOKUP(D1563, Products!A$2:F$61, 6, FALSE)</f>
        <v>1</v>
      </c>
      <c r="N1563" t="str">
        <f>VLOOKUP(D1563, Products!A$2:C$61, 3, FALSE)</f>
        <v>Electronics</v>
      </c>
      <c r="O1563" t="str">
        <f>VLOOKUP(C1563, Customers!A$2:E$301, 5, FALSE)</f>
        <v>Corporate</v>
      </c>
      <c r="P1563">
        <f>VLOOKUP(C1563, Customers!A$2:C$301, 3, FALSE)</f>
        <v>55</v>
      </c>
      <c r="Q1563" t="str">
        <f>VLOOKUP(E1563, Sales_Reps!A$2:C$31, 3, FALSE)</f>
        <v>West</v>
      </c>
      <c r="R1563">
        <f>VLOOKUP(D1563, Products!A$2:D$61, 4, FALSE)</f>
        <v>1559</v>
      </c>
    </row>
    <row r="1564" spans="1:18" x14ac:dyDescent="0.3">
      <c r="A1564" s="13" t="s">
        <v>2059</v>
      </c>
      <c r="B1564" s="14">
        <v>45385</v>
      </c>
      <c r="C1564" s="13" t="s">
        <v>1096</v>
      </c>
      <c r="D1564" s="13" t="s">
        <v>364</v>
      </c>
      <c r="E1564" s="13" t="s">
        <v>103</v>
      </c>
      <c r="F1564" s="15">
        <v>1</v>
      </c>
      <c r="G1564" s="15">
        <v>5330</v>
      </c>
      <c r="H1564" s="15">
        <v>3.9</v>
      </c>
      <c r="I1564" s="15">
        <v>5122.13</v>
      </c>
      <c r="J1564" s="13" t="s">
        <v>144</v>
      </c>
      <c r="K1564" s="13" t="s">
        <v>88</v>
      </c>
      <c r="L1564">
        <f>IF(COUNTIF(A$2:A1564, A1564)=1, IF(COUNTIF(A$2:A$2001, A1564)&gt;1, 1, 0), 0)</f>
        <v>0</v>
      </c>
      <c r="M1564" t="b">
        <f>VLOOKUP(D1564, Products!A$2:F$61, 6, FALSE)</f>
        <v>1</v>
      </c>
      <c r="N1564" t="str">
        <f>VLOOKUP(D1564, Products!A$2:C$61, 3, FALSE)</f>
        <v>Electronics</v>
      </c>
      <c r="O1564" t="str">
        <f>VLOOKUP(C1564, Customers!A$2:E$301, 5, FALSE)</f>
        <v>Corporate</v>
      </c>
      <c r="P1564">
        <f>VLOOKUP(C1564, Customers!A$2:C$301, 3, FALSE)</f>
        <v>42</v>
      </c>
      <c r="Q1564" t="str">
        <f>VLOOKUP(E1564, Sales_Reps!A$2:C$31, 3, FALSE)</f>
        <v>North</v>
      </c>
      <c r="R1564">
        <f>VLOOKUP(D1564, Products!A$2:D$61, 4, FALSE)</f>
        <v>2405</v>
      </c>
    </row>
    <row r="1565" spans="1:18" x14ac:dyDescent="0.3">
      <c r="A1565" s="13" t="s">
        <v>2060</v>
      </c>
      <c r="B1565" s="14">
        <v>45312</v>
      </c>
      <c r="C1565" s="13" t="s">
        <v>655</v>
      </c>
      <c r="D1565" s="13" t="s">
        <v>110</v>
      </c>
      <c r="E1565" s="13" t="s">
        <v>192</v>
      </c>
      <c r="F1565" s="15">
        <v>8</v>
      </c>
      <c r="G1565" s="15">
        <v>370</v>
      </c>
      <c r="H1565" s="15">
        <v>1.3</v>
      </c>
      <c r="I1565" s="15">
        <v>2921.52</v>
      </c>
      <c r="J1565" s="13" t="s">
        <v>87</v>
      </c>
      <c r="K1565" s="13" t="s">
        <v>133</v>
      </c>
      <c r="L1565">
        <f>IF(COUNTIF(A$2:A1565, A1565)=1, IF(COUNTIF(A$2:A$2001, A1565)&gt;1, 1, 0), 0)</f>
        <v>0</v>
      </c>
      <c r="M1565" t="b">
        <f>VLOOKUP(D1565, Products!A$2:F$61, 6, FALSE)</f>
        <v>1</v>
      </c>
      <c r="N1565" t="str">
        <f>VLOOKUP(D1565, Products!A$2:C$61, 3, FALSE)</f>
        <v>Home</v>
      </c>
      <c r="O1565" t="str">
        <f>VLOOKUP(C1565, Customers!A$2:E$301, 5, FALSE)</f>
        <v>Retail</v>
      </c>
      <c r="P1565">
        <f>VLOOKUP(C1565, Customers!A$2:C$301, 3, FALSE)</f>
        <v>27</v>
      </c>
      <c r="Q1565" t="str">
        <f>VLOOKUP(E1565, Sales_Reps!A$2:C$31, 3, FALSE)</f>
        <v>East</v>
      </c>
      <c r="R1565">
        <f>VLOOKUP(D1565, Products!A$2:D$61, 4, FALSE)</f>
        <v>288</v>
      </c>
    </row>
    <row r="1566" spans="1:18" x14ac:dyDescent="0.3">
      <c r="A1566" s="13" t="s">
        <v>2061</v>
      </c>
      <c r="B1566" s="14">
        <v>45622</v>
      </c>
      <c r="C1566" s="13" t="s">
        <v>465</v>
      </c>
      <c r="D1566" s="13" t="s">
        <v>282</v>
      </c>
      <c r="E1566" s="13" t="s">
        <v>192</v>
      </c>
      <c r="F1566" s="15">
        <v>7</v>
      </c>
      <c r="G1566" s="15">
        <v>300</v>
      </c>
      <c r="H1566" s="15">
        <v>7.1</v>
      </c>
      <c r="I1566" s="15">
        <v>1950.9</v>
      </c>
      <c r="J1566" s="13" t="s">
        <v>87</v>
      </c>
      <c r="K1566" s="13" t="s">
        <v>112</v>
      </c>
      <c r="L1566">
        <f>IF(COUNTIF(A$2:A1566, A1566)=1, IF(COUNTIF(A$2:A$2001, A1566)&gt;1, 1, 0), 0)</f>
        <v>0</v>
      </c>
      <c r="M1566" t="b">
        <f>VLOOKUP(D1566, Products!A$2:F$61, 6, FALSE)</f>
        <v>1</v>
      </c>
      <c r="N1566" t="str">
        <f>VLOOKUP(D1566, Products!A$2:C$61, 3, FALSE)</f>
        <v>Electronics</v>
      </c>
      <c r="O1566" t="str">
        <f>VLOOKUP(C1566, Customers!A$2:E$301, 5, FALSE)</f>
        <v>Retail</v>
      </c>
      <c r="P1566">
        <f>VLOOKUP(C1566, Customers!A$2:C$301, 3, FALSE)</f>
        <v>61</v>
      </c>
      <c r="Q1566" t="str">
        <f>VLOOKUP(E1566, Sales_Reps!A$2:C$31, 3, FALSE)</f>
        <v>East</v>
      </c>
      <c r="R1566">
        <f>VLOOKUP(D1566, Products!A$2:D$61, 4, FALSE)</f>
        <v>128</v>
      </c>
    </row>
    <row r="1567" spans="1:18" x14ac:dyDescent="0.3">
      <c r="A1567" s="13" t="s">
        <v>2062</v>
      </c>
      <c r="B1567" s="14">
        <v>45508</v>
      </c>
      <c r="C1567" s="13" t="s">
        <v>615</v>
      </c>
      <c r="D1567" s="13" t="s">
        <v>179</v>
      </c>
      <c r="E1567" s="13" t="s">
        <v>325</v>
      </c>
      <c r="F1567" s="15">
        <v>8</v>
      </c>
      <c r="G1567" s="15">
        <v>3350</v>
      </c>
      <c r="H1567" s="15">
        <v>11.2</v>
      </c>
      <c r="I1567" s="15">
        <v>23798.400000000001</v>
      </c>
      <c r="J1567" s="13" t="s">
        <v>87</v>
      </c>
      <c r="K1567" s="13" t="s">
        <v>112</v>
      </c>
      <c r="L1567">
        <f>IF(COUNTIF(A$2:A1567, A1567)=1, IF(COUNTIF(A$2:A$2001, A1567)&gt;1, 1, 0), 0)</f>
        <v>0</v>
      </c>
      <c r="M1567" t="b">
        <f>VLOOKUP(D1567, Products!A$2:F$61, 6, FALSE)</f>
        <v>1</v>
      </c>
      <c r="N1567" t="str">
        <f>VLOOKUP(D1567, Products!A$2:C$61, 3, FALSE)</f>
        <v>Beauty</v>
      </c>
      <c r="O1567" t="str">
        <f>VLOOKUP(C1567, Customers!A$2:E$301, 5, FALSE)</f>
        <v>Retail</v>
      </c>
      <c r="P1567">
        <f>VLOOKUP(C1567, Customers!A$2:C$301, 3, FALSE)</f>
        <v>53</v>
      </c>
      <c r="Q1567" t="str">
        <f>VLOOKUP(E1567, Sales_Reps!A$2:C$31, 3, FALSE)</f>
        <v>South</v>
      </c>
      <c r="R1567">
        <f>VLOOKUP(D1567, Products!A$2:D$61, 4, FALSE)</f>
        <v>1728</v>
      </c>
    </row>
    <row r="1568" spans="1:18" x14ac:dyDescent="0.3">
      <c r="A1568" s="13" t="s">
        <v>2063</v>
      </c>
      <c r="B1568" s="14">
        <v>45528</v>
      </c>
      <c r="C1568" s="13" t="s">
        <v>1308</v>
      </c>
      <c r="D1568" s="13" t="s">
        <v>515</v>
      </c>
      <c r="E1568" s="13" t="s">
        <v>204</v>
      </c>
      <c r="F1568" s="15">
        <v>6</v>
      </c>
      <c r="G1568" s="15">
        <v>6940</v>
      </c>
      <c r="H1568" s="15">
        <v>0.3</v>
      </c>
      <c r="I1568" s="15">
        <v>41515.08</v>
      </c>
      <c r="J1568" s="13" t="s">
        <v>87</v>
      </c>
      <c r="K1568" s="13" t="s">
        <v>94</v>
      </c>
      <c r="L1568">
        <f>IF(COUNTIF(A$2:A1568, A1568)=1, IF(COUNTIF(A$2:A$2001, A1568)&gt;1, 1, 0), 0)</f>
        <v>0</v>
      </c>
      <c r="M1568" t="b">
        <f>VLOOKUP(D1568, Products!A$2:F$61, 6, FALSE)</f>
        <v>1</v>
      </c>
      <c r="N1568" t="str">
        <f>VLOOKUP(D1568, Products!A$2:C$61, 3, FALSE)</f>
        <v>Sports</v>
      </c>
      <c r="O1568" t="str">
        <f>VLOOKUP(C1568, Customers!A$2:E$301, 5, FALSE)</f>
        <v>SMB</v>
      </c>
      <c r="P1568">
        <f>VLOOKUP(C1568, Customers!A$2:C$301, 3, FALSE)</f>
        <v>51</v>
      </c>
      <c r="Q1568" t="str">
        <f>VLOOKUP(E1568, Sales_Reps!A$2:C$31, 3, FALSE)</f>
        <v>South</v>
      </c>
      <c r="R1568">
        <f>VLOOKUP(D1568, Products!A$2:D$61, 4, FALSE)</f>
        <v>2827</v>
      </c>
    </row>
    <row r="1569" spans="1:18" x14ac:dyDescent="0.3">
      <c r="A1569" s="13" t="s">
        <v>2064</v>
      </c>
      <c r="B1569" s="14">
        <v>45483</v>
      </c>
      <c r="C1569" s="13" t="s">
        <v>752</v>
      </c>
      <c r="D1569" s="13" t="s">
        <v>380</v>
      </c>
      <c r="E1569" s="13" t="s">
        <v>107</v>
      </c>
      <c r="F1569" s="15">
        <v>10</v>
      </c>
      <c r="G1569" s="15">
        <v>960</v>
      </c>
      <c r="H1569" s="15">
        <v>9.3000000000000007</v>
      </c>
      <c r="I1569" s="15">
        <v>8707.2000000000007</v>
      </c>
      <c r="J1569" s="13" t="s">
        <v>140</v>
      </c>
      <c r="K1569" s="13" t="s">
        <v>117</v>
      </c>
      <c r="L1569">
        <f>IF(COUNTIF(A$2:A1569, A1569)=1, IF(COUNTIF(A$2:A$2001, A1569)&gt;1, 1, 0), 0)</f>
        <v>0</v>
      </c>
      <c r="M1569" t="b">
        <f>VLOOKUP(D1569, Products!A$2:F$61, 6, FALSE)</f>
        <v>1</v>
      </c>
      <c r="N1569" t="str">
        <f>VLOOKUP(D1569, Products!A$2:C$61, 3, FALSE)</f>
        <v>Beauty</v>
      </c>
      <c r="O1569" t="str">
        <f>VLOOKUP(C1569, Customers!A$2:E$301, 5, FALSE)</f>
        <v>Retail</v>
      </c>
      <c r="P1569">
        <f>VLOOKUP(C1569, Customers!A$2:C$301, 3, FALSE)</f>
        <v>32</v>
      </c>
      <c r="Q1569" t="str">
        <f>VLOOKUP(E1569, Sales_Reps!A$2:C$31, 3, FALSE)</f>
        <v>North</v>
      </c>
      <c r="R1569">
        <f>VLOOKUP(D1569, Products!A$2:D$61, 4, FALSE)</f>
        <v>675</v>
      </c>
    </row>
    <row r="1570" spans="1:18" x14ac:dyDescent="0.3">
      <c r="A1570" s="13" t="s">
        <v>2065</v>
      </c>
      <c r="B1570" s="14">
        <v>45625</v>
      </c>
      <c r="C1570" s="13" t="s">
        <v>1350</v>
      </c>
      <c r="D1570" s="13" t="s">
        <v>200</v>
      </c>
      <c r="E1570" s="13" t="s">
        <v>158</v>
      </c>
      <c r="F1570" s="15">
        <v>10</v>
      </c>
      <c r="G1570" s="15">
        <v>2760</v>
      </c>
      <c r="H1570" s="15">
        <v>17.2</v>
      </c>
      <c r="I1570" s="15">
        <v>22852.799999999999</v>
      </c>
      <c r="J1570" s="13" t="s">
        <v>87</v>
      </c>
      <c r="K1570" s="13" t="s">
        <v>112</v>
      </c>
      <c r="L1570">
        <f>IF(COUNTIF(A$2:A1570, A1570)=1, IF(COUNTIF(A$2:A$2001, A1570)&gt;1, 1, 0), 0)</f>
        <v>0</v>
      </c>
      <c r="M1570" t="b">
        <f>VLOOKUP(D1570, Products!A$2:F$61, 6, FALSE)</f>
        <v>1</v>
      </c>
      <c r="N1570" t="str">
        <f>VLOOKUP(D1570, Products!A$2:C$61, 3, FALSE)</f>
        <v>Grocery</v>
      </c>
      <c r="O1570" t="str">
        <f>VLOOKUP(C1570, Customers!A$2:E$301, 5, FALSE)</f>
        <v>Retail</v>
      </c>
      <c r="P1570">
        <f>VLOOKUP(C1570, Customers!A$2:C$301, 3, FALSE)</f>
        <v>38</v>
      </c>
      <c r="Q1570" t="str">
        <f>VLOOKUP(E1570, Sales_Reps!A$2:C$31, 3, FALSE)</f>
        <v>East</v>
      </c>
      <c r="R1570">
        <f>VLOOKUP(D1570, Products!A$2:D$61, 4, FALSE)</f>
        <v>1435</v>
      </c>
    </row>
    <row r="1571" spans="1:18" x14ac:dyDescent="0.3">
      <c r="A1571" s="13" t="s">
        <v>2066</v>
      </c>
      <c r="B1571" s="14">
        <v>45358</v>
      </c>
      <c r="C1571" s="13" t="s">
        <v>231</v>
      </c>
      <c r="D1571" s="13" t="s">
        <v>131</v>
      </c>
      <c r="E1571" s="13" t="s">
        <v>201</v>
      </c>
      <c r="F1571" s="15">
        <v>4</v>
      </c>
      <c r="G1571" s="15">
        <v>2270</v>
      </c>
      <c r="H1571" s="15">
        <v>26.8</v>
      </c>
      <c r="I1571" s="15">
        <v>6646.56</v>
      </c>
      <c r="J1571" s="13" t="s">
        <v>87</v>
      </c>
      <c r="K1571" s="13" t="s">
        <v>117</v>
      </c>
      <c r="L1571">
        <f>IF(COUNTIF(A$2:A1571, A1571)=1, IF(COUNTIF(A$2:A$2001, A1571)&gt;1, 1, 0), 0)</f>
        <v>0</v>
      </c>
      <c r="M1571" t="b">
        <f>VLOOKUP(D1571, Products!A$2:F$61, 6, FALSE)</f>
        <v>1</v>
      </c>
      <c r="N1571" t="str">
        <f>VLOOKUP(D1571, Products!A$2:C$61, 3, FALSE)</f>
        <v>Grocery</v>
      </c>
      <c r="O1571" t="str">
        <f>VLOOKUP(C1571, Customers!A$2:E$301, 5, FALSE)</f>
        <v>SMB</v>
      </c>
      <c r="P1571">
        <f>VLOOKUP(C1571, Customers!A$2:C$301, 3, FALSE)</f>
        <v>64</v>
      </c>
      <c r="Q1571" t="str">
        <f>VLOOKUP(E1571, Sales_Reps!A$2:C$31, 3, FALSE)</f>
        <v>West</v>
      </c>
      <c r="R1571">
        <f>VLOOKUP(D1571, Products!A$2:D$61, 4, FALSE)</f>
        <v>1203</v>
      </c>
    </row>
    <row r="1572" spans="1:18" x14ac:dyDescent="0.3">
      <c r="A1572" s="13" t="s">
        <v>2067</v>
      </c>
      <c r="B1572" s="14">
        <v>45342</v>
      </c>
      <c r="C1572" s="13" t="s">
        <v>418</v>
      </c>
      <c r="D1572" s="13" t="s">
        <v>138</v>
      </c>
      <c r="E1572" s="13" t="s">
        <v>158</v>
      </c>
      <c r="F1572" s="15">
        <v>2</v>
      </c>
      <c r="G1572" s="15">
        <v>2600</v>
      </c>
      <c r="H1572" s="15">
        <v>27</v>
      </c>
      <c r="I1572" s="15">
        <v>3796</v>
      </c>
      <c r="J1572" s="13" t="s">
        <v>87</v>
      </c>
      <c r="K1572" s="13" t="s">
        <v>133</v>
      </c>
      <c r="L1572">
        <f>IF(COUNTIF(A$2:A1572, A1572)=1, IF(COUNTIF(A$2:A$2001, A1572)&gt;1, 1, 0), 0)</f>
        <v>0</v>
      </c>
      <c r="M1572" t="b">
        <f>VLOOKUP(D1572, Products!A$2:F$61, 6, FALSE)</f>
        <v>1</v>
      </c>
      <c r="N1572" t="str">
        <f>VLOOKUP(D1572, Products!A$2:C$61, 3, FALSE)</f>
        <v>Electronics</v>
      </c>
      <c r="O1572" t="str">
        <f>VLOOKUP(C1572, Customers!A$2:E$301, 5, FALSE)</f>
        <v>Retail</v>
      </c>
      <c r="P1572">
        <f>VLOOKUP(C1572, Customers!A$2:C$301, 3, FALSE)</f>
        <v>22</v>
      </c>
      <c r="Q1572" t="str">
        <f>VLOOKUP(E1572, Sales_Reps!A$2:C$31, 3, FALSE)</f>
        <v>East</v>
      </c>
      <c r="R1572">
        <f>VLOOKUP(D1572, Products!A$2:D$61, 4, FALSE)</f>
        <v>1052</v>
      </c>
    </row>
    <row r="1573" spans="1:18" x14ac:dyDescent="0.3">
      <c r="A1573" s="13" t="s">
        <v>2068</v>
      </c>
      <c r="B1573" s="14">
        <v>45304</v>
      </c>
      <c r="C1573" s="13" t="s">
        <v>983</v>
      </c>
      <c r="D1573" s="13" t="s">
        <v>187</v>
      </c>
      <c r="E1573" s="13" t="s">
        <v>116</v>
      </c>
      <c r="F1573" s="15">
        <v>4</v>
      </c>
      <c r="G1573" s="15">
        <v>3570</v>
      </c>
      <c r="H1573" s="15">
        <v>12.3</v>
      </c>
      <c r="I1573" s="15">
        <v>12523.56</v>
      </c>
      <c r="J1573" s="13" t="s">
        <v>87</v>
      </c>
      <c r="K1573" s="13" t="s">
        <v>117</v>
      </c>
      <c r="L1573">
        <f>IF(COUNTIF(A$2:A1573, A1573)=1, IF(COUNTIF(A$2:A$2001, A1573)&gt;1, 1, 0), 0)</f>
        <v>0</v>
      </c>
      <c r="M1573" t="b">
        <f>VLOOKUP(D1573, Products!A$2:F$61, 6, FALSE)</f>
        <v>1</v>
      </c>
      <c r="N1573" t="str">
        <f>VLOOKUP(D1573, Products!A$2:C$61, 3, FALSE)</f>
        <v>Electronics</v>
      </c>
      <c r="O1573" t="str">
        <f>VLOOKUP(C1573, Customers!A$2:E$301, 5, FALSE)</f>
        <v>SMB</v>
      </c>
      <c r="P1573">
        <f>VLOOKUP(C1573, Customers!A$2:C$301, 3, FALSE)</f>
        <v>36</v>
      </c>
      <c r="Q1573" t="str">
        <f>VLOOKUP(E1573, Sales_Reps!A$2:C$31, 3, FALSE)</f>
        <v>West</v>
      </c>
      <c r="R1573">
        <f>VLOOKUP(D1573, Products!A$2:D$61, 4, FALSE)</f>
        <v>1665</v>
      </c>
    </row>
    <row r="1574" spans="1:18" x14ac:dyDescent="0.3">
      <c r="A1574" s="13" t="s">
        <v>2069</v>
      </c>
      <c r="B1574" s="14">
        <v>45316</v>
      </c>
      <c r="C1574" s="13" t="s">
        <v>553</v>
      </c>
      <c r="D1574" s="13" t="s">
        <v>443</v>
      </c>
      <c r="E1574" s="13" t="s">
        <v>346</v>
      </c>
      <c r="F1574" s="15">
        <v>5</v>
      </c>
      <c r="G1574" s="15">
        <v>5080</v>
      </c>
      <c r="H1574" s="15">
        <v>1.3</v>
      </c>
      <c r="I1574" s="15">
        <v>25069.8</v>
      </c>
      <c r="J1574" s="13" t="s">
        <v>87</v>
      </c>
      <c r="K1574" s="13" t="s">
        <v>112</v>
      </c>
      <c r="L1574">
        <f>IF(COUNTIF(A$2:A1574, A1574)=1, IF(COUNTIF(A$2:A$2001, A1574)&gt;1, 1, 0), 0)</f>
        <v>0</v>
      </c>
      <c r="M1574" t="b">
        <f>VLOOKUP(D1574, Products!A$2:F$61, 6, FALSE)</f>
        <v>1</v>
      </c>
      <c r="N1574" t="str">
        <f>VLOOKUP(D1574, Products!A$2:C$61, 3, FALSE)</f>
        <v>Home</v>
      </c>
      <c r="O1574" t="str">
        <f>VLOOKUP(C1574, Customers!A$2:E$301, 5, FALSE)</f>
        <v>Retail</v>
      </c>
      <c r="P1574">
        <f>VLOOKUP(C1574, Customers!A$2:C$301, 3, FALSE)</f>
        <v>65</v>
      </c>
      <c r="Q1574" t="str">
        <f>VLOOKUP(E1574, Sales_Reps!A$2:C$31, 3, FALSE)</f>
        <v>South</v>
      </c>
      <c r="R1574">
        <f>VLOOKUP(D1574, Products!A$2:D$61, 4, FALSE)</f>
        <v>2459</v>
      </c>
    </row>
    <row r="1575" spans="1:18" x14ac:dyDescent="0.3">
      <c r="A1575" s="13" t="s">
        <v>2070</v>
      </c>
      <c r="B1575" s="14">
        <v>45340</v>
      </c>
      <c r="C1575" s="13" t="s">
        <v>970</v>
      </c>
      <c r="D1575" s="13" t="s">
        <v>380</v>
      </c>
      <c r="E1575" s="13" t="s">
        <v>346</v>
      </c>
      <c r="F1575" s="15">
        <v>5</v>
      </c>
      <c r="G1575" s="15">
        <v>960</v>
      </c>
      <c r="H1575" s="15">
        <v>25.2</v>
      </c>
      <c r="I1575" s="15">
        <v>3590.4</v>
      </c>
      <c r="J1575" s="13" t="s">
        <v>87</v>
      </c>
      <c r="K1575" s="13" t="s">
        <v>112</v>
      </c>
      <c r="L1575">
        <f>IF(COUNTIF(A$2:A1575, A1575)=1, IF(COUNTIF(A$2:A$2001, A1575)&gt;1, 1, 0), 0)</f>
        <v>0</v>
      </c>
      <c r="M1575" t="b">
        <f>VLOOKUP(D1575, Products!A$2:F$61, 6, FALSE)</f>
        <v>1</v>
      </c>
      <c r="N1575" t="str">
        <f>VLOOKUP(D1575, Products!A$2:C$61, 3, FALSE)</f>
        <v>Beauty</v>
      </c>
      <c r="O1575" t="str">
        <f>VLOOKUP(C1575, Customers!A$2:E$301, 5, FALSE)</f>
        <v>Retail</v>
      </c>
      <c r="P1575">
        <f>VLOOKUP(C1575, Customers!A$2:C$301, 3, FALSE)</f>
        <v>40</v>
      </c>
      <c r="Q1575" t="str">
        <f>VLOOKUP(E1575, Sales_Reps!A$2:C$31, 3, FALSE)</f>
        <v>South</v>
      </c>
      <c r="R1575">
        <f>VLOOKUP(D1575, Products!A$2:D$61, 4, FALSE)</f>
        <v>675</v>
      </c>
    </row>
    <row r="1576" spans="1:18" x14ac:dyDescent="0.3">
      <c r="A1576" s="13" t="s">
        <v>2071</v>
      </c>
      <c r="B1576" s="14">
        <v>45604</v>
      </c>
      <c r="C1576" s="13" t="s">
        <v>878</v>
      </c>
      <c r="D1576" s="13" t="s">
        <v>97</v>
      </c>
      <c r="E1576" s="13" t="s">
        <v>132</v>
      </c>
      <c r="F1576" s="15">
        <v>7</v>
      </c>
      <c r="G1576" s="15">
        <v>470</v>
      </c>
      <c r="H1576" s="15">
        <v>21.6</v>
      </c>
      <c r="I1576" s="15">
        <v>2579.36</v>
      </c>
      <c r="J1576" s="13" t="s">
        <v>87</v>
      </c>
      <c r="K1576" s="13" t="s">
        <v>112</v>
      </c>
      <c r="L1576">
        <f>IF(COUNTIF(A$2:A1576, A1576)=1, IF(COUNTIF(A$2:A$2001, A1576)&gt;1, 1, 0), 0)</f>
        <v>0</v>
      </c>
      <c r="M1576" t="b">
        <f>VLOOKUP(D1576, Products!A$2:F$61, 6, FALSE)</f>
        <v>0</v>
      </c>
      <c r="N1576" t="str">
        <f>VLOOKUP(D1576, Products!A$2:C$61, 3, FALSE)</f>
        <v>Sports</v>
      </c>
      <c r="O1576" t="str">
        <f>VLOOKUP(C1576, Customers!A$2:E$301, 5, FALSE)</f>
        <v>Corporate</v>
      </c>
      <c r="P1576">
        <f>VLOOKUP(C1576, Customers!A$2:C$301, 3, FALSE)</f>
        <v>62</v>
      </c>
      <c r="Q1576" t="str">
        <f>VLOOKUP(E1576, Sales_Reps!A$2:C$31, 3, FALSE)</f>
        <v>South</v>
      </c>
      <c r="R1576">
        <f>VLOOKUP(D1576, Products!A$2:D$61, 4, FALSE)</f>
        <v>302</v>
      </c>
    </row>
    <row r="1577" spans="1:18" x14ac:dyDescent="0.3">
      <c r="A1577" s="13" t="s">
        <v>2072</v>
      </c>
      <c r="B1577" s="14">
        <v>45625</v>
      </c>
      <c r="C1577" s="13" t="s">
        <v>705</v>
      </c>
      <c r="D1577" s="13" t="s">
        <v>267</v>
      </c>
      <c r="E1577" s="13" t="s">
        <v>343</v>
      </c>
      <c r="F1577" s="15">
        <v>4</v>
      </c>
      <c r="G1577" s="15">
        <v>1220</v>
      </c>
      <c r="H1577" s="15">
        <v>12.6</v>
      </c>
      <c r="I1577" s="15">
        <v>4265.12</v>
      </c>
      <c r="J1577" s="13" t="s">
        <v>87</v>
      </c>
      <c r="K1577" s="13" t="s">
        <v>99</v>
      </c>
      <c r="L1577">
        <f>IF(COUNTIF(A$2:A1577, A1577)=1, IF(COUNTIF(A$2:A$2001, A1577)&gt;1, 1, 0), 0)</f>
        <v>0</v>
      </c>
      <c r="M1577" t="b">
        <f>VLOOKUP(D1577, Products!A$2:F$61, 6, FALSE)</f>
        <v>1</v>
      </c>
      <c r="N1577" t="str">
        <f>VLOOKUP(D1577, Products!A$2:C$61, 3, FALSE)</f>
        <v>Electronics</v>
      </c>
      <c r="O1577" t="str">
        <f>VLOOKUP(C1577, Customers!A$2:E$301, 5, FALSE)</f>
        <v>Retail</v>
      </c>
      <c r="P1577">
        <f>VLOOKUP(C1577, Customers!A$2:C$301, 3, FALSE)</f>
        <v>53</v>
      </c>
      <c r="Q1577" t="str">
        <f>VLOOKUP(E1577, Sales_Reps!A$2:C$31, 3, FALSE)</f>
        <v>West</v>
      </c>
      <c r="R1577">
        <f>VLOOKUP(D1577, Products!A$2:D$61, 4, FALSE)</f>
        <v>517</v>
      </c>
    </row>
    <row r="1578" spans="1:18" x14ac:dyDescent="0.3">
      <c r="A1578" s="13" t="s">
        <v>2073</v>
      </c>
      <c r="B1578" s="14">
        <v>45293</v>
      </c>
      <c r="C1578" s="13" t="s">
        <v>613</v>
      </c>
      <c r="D1578" s="13" t="s">
        <v>182</v>
      </c>
      <c r="E1578" s="13" t="s">
        <v>107</v>
      </c>
      <c r="F1578" s="15">
        <v>4</v>
      </c>
      <c r="G1578" s="15">
        <v>1010</v>
      </c>
      <c r="H1578" s="15">
        <v>11.3</v>
      </c>
      <c r="I1578" s="15">
        <v>3583.48</v>
      </c>
      <c r="J1578" s="13" t="s">
        <v>87</v>
      </c>
      <c r="K1578" s="13" t="s">
        <v>112</v>
      </c>
      <c r="L1578">
        <f>IF(COUNTIF(A$2:A1578, A1578)=1, IF(COUNTIF(A$2:A$2001, A1578)&gt;1, 1, 0), 0)</f>
        <v>0</v>
      </c>
      <c r="M1578" t="b">
        <f>VLOOKUP(D1578, Products!A$2:F$61, 6, FALSE)</f>
        <v>1</v>
      </c>
      <c r="N1578" t="str">
        <f>VLOOKUP(D1578, Products!A$2:C$61, 3, FALSE)</f>
        <v>Sports</v>
      </c>
      <c r="O1578" t="str">
        <f>VLOOKUP(C1578, Customers!A$2:E$301, 5, FALSE)</f>
        <v>Retail</v>
      </c>
      <c r="P1578">
        <f>VLOOKUP(C1578, Customers!A$2:C$301, 3, FALSE)</f>
        <v>44</v>
      </c>
      <c r="Q1578" t="str">
        <f>VLOOKUP(E1578, Sales_Reps!A$2:C$31, 3, FALSE)</f>
        <v>North</v>
      </c>
      <c r="R1578">
        <f>VLOOKUP(D1578, Products!A$2:D$61, 4, FALSE)</f>
        <v>516</v>
      </c>
    </row>
    <row r="1579" spans="1:18" x14ac:dyDescent="0.3">
      <c r="A1579" s="13" t="s">
        <v>2074</v>
      </c>
      <c r="B1579" s="14">
        <v>45454</v>
      </c>
      <c r="C1579" s="13" t="s">
        <v>333</v>
      </c>
      <c r="D1579" s="13" t="s">
        <v>102</v>
      </c>
      <c r="E1579" s="13" t="s">
        <v>92</v>
      </c>
      <c r="F1579" s="15">
        <v>4</v>
      </c>
      <c r="G1579" s="15">
        <v>3660</v>
      </c>
      <c r="H1579" s="15">
        <v>7.2</v>
      </c>
      <c r="I1579" s="15">
        <v>13585.92</v>
      </c>
      <c r="J1579" s="13" t="s">
        <v>87</v>
      </c>
      <c r="K1579" s="13" t="s">
        <v>133</v>
      </c>
      <c r="L1579">
        <f>IF(COUNTIF(A$2:A1579, A1579)=1, IF(COUNTIF(A$2:A$2001, A1579)&gt;1, 1, 0), 0)</f>
        <v>0</v>
      </c>
      <c r="M1579" t="b">
        <f>VLOOKUP(D1579, Products!A$2:F$61, 6, FALSE)</f>
        <v>0</v>
      </c>
      <c r="N1579" t="str">
        <f>VLOOKUP(D1579, Products!A$2:C$61, 3, FALSE)</f>
        <v>Grocery</v>
      </c>
      <c r="O1579" t="str">
        <f>VLOOKUP(C1579, Customers!A$2:E$301, 5, FALSE)</f>
        <v>SMB</v>
      </c>
      <c r="P1579">
        <f>VLOOKUP(C1579, Customers!A$2:C$301, 3, FALSE)</f>
        <v>65</v>
      </c>
      <c r="Q1579" t="str">
        <f>VLOOKUP(E1579, Sales_Reps!A$2:C$31, 3, FALSE)</f>
        <v>North</v>
      </c>
      <c r="R1579">
        <f>VLOOKUP(D1579, Products!A$2:D$61, 4, FALSE)</f>
        <v>2214</v>
      </c>
    </row>
    <row r="1580" spans="1:18" x14ac:dyDescent="0.3">
      <c r="A1580" s="13" t="s">
        <v>2075</v>
      </c>
      <c r="B1580" s="14">
        <v>45345</v>
      </c>
      <c r="C1580" s="13" t="s">
        <v>795</v>
      </c>
      <c r="D1580" s="13" t="s">
        <v>124</v>
      </c>
      <c r="E1580" s="13" t="s">
        <v>132</v>
      </c>
      <c r="F1580" s="15">
        <v>4</v>
      </c>
      <c r="G1580" s="15">
        <v>5490</v>
      </c>
      <c r="H1580" s="15">
        <v>8</v>
      </c>
      <c r="I1580" s="15">
        <v>20203.2</v>
      </c>
      <c r="J1580" s="13" t="s">
        <v>87</v>
      </c>
      <c r="K1580" s="13" t="s">
        <v>94</v>
      </c>
      <c r="L1580">
        <f>IF(COUNTIF(A$2:A1580, A1580)=1, IF(COUNTIF(A$2:A$2001, A1580)&gt;1, 1, 0), 0)</f>
        <v>0</v>
      </c>
      <c r="M1580" t="b">
        <f>VLOOKUP(D1580, Products!A$2:F$61, 6, FALSE)</f>
        <v>1</v>
      </c>
      <c r="N1580" t="str">
        <f>VLOOKUP(D1580, Products!A$2:C$61, 3, FALSE)</f>
        <v>Home</v>
      </c>
      <c r="O1580" t="str">
        <f>VLOOKUP(C1580, Customers!A$2:E$301, 5, FALSE)</f>
        <v>Retail</v>
      </c>
      <c r="P1580">
        <f>VLOOKUP(C1580, Customers!A$2:C$301, 3, FALSE)</f>
        <v>22</v>
      </c>
      <c r="Q1580" t="str">
        <f>VLOOKUP(E1580, Sales_Reps!A$2:C$31, 3, FALSE)</f>
        <v>South</v>
      </c>
      <c r="R1580">
        <f>VLOOKUP(D1580, Products!A$2:D$61, 4, FALSE)</f>
        <v>2549</v>
      </c>
    </row>
    <row r="1581" spans="1:18" x14ac:dyDescent="0.3">
      <c r="A1581" s="13" t="s">
        <v>2076</v>
      </c>
      <c r="B1581" s="14">
        <v>45645</v>
      </c>
      <c r="C1581" s="13" t="s">
        <v>427</v>
      </c>
      <c r="D1581" s="13" t="s">
        <v>245</v>
      </c>
      <c r="E1581" s="13" t="s">
        <v>148</v>
      </c>
      <c r="F1581" s="15">
        <v>6</v>
      </c>
      <c r="G1581" s="15">
        <v>2270</v>
      </c>
      <c r="H1581" s="15">
        <v>17.100000000000001</v>
      </c>
      <c r="I1581" s="15">
        <v>11290.98</v>
      </c>
      <c r="J1581" s="13" t="s">
        <v>87</v>
      </c>
      <c r="K1581" s="13" t="s">
        <v>88</v>
      </c>
      <c r="L1581">
        <f>IF(COUNTIF(A$2:A1581, A1581)=1, IF(COUNTIF(A$2:A$2001, A1581)&gt;1, 1, 0), 0)</f>
        <v>0</v>
      </c>
      <c r="M1581" t="b">
        <f>VLOOKUP(D1581, Products!A$2:F$61, 6, FALSE)</f>
        <v>1</v>
      </c>
      <c r="N1581" t="str">
        <f>VLOOKUP(D1581, Products!A$2:C$61, 3, FALSE)</f>
        <v>Grocery</v>
      </c>
      <c r="O1581" t="str">
        <f>VLOOKUP(C1581, Customers!A$2:E$301, 5, FALSE)</f>
        <v>Corporate</v>
      </c>
      <c r="P1581">
        <f>VLOOKUP(C1581, Customers!A$2:C$301, 3, FALSE)</f>
        <v>48</v>
      </c>
      <c r="Q1581" t="str">
        <f>VLOOKUP(E1581, Sales_Reps!A$2:C$31, 3, FALSE)</f>
        <v>North</v>
      </c>
      <c r="R1581">
        <f>VLOOKUP(D1581, Products!A$2:D$61, 4, FALSE)</f>
        <v>1412</v>
      </c>
    </row>
    <row r="1582" spans="1:18" x14ac:dyDescent="0.3">
      <c r="A1582" s="13" t="s">
        <v>2077</v>
      </c>
      <c r="B1582" s="14">
        <v>45588</v>
      </c>
      <c r="C1582" s="13" t="s">
        <v>281</v>
      </c>
      <c r="D1582" s="13" t="s">
        <v>245</v>
      </c>
      <c r="E1582" s="13" t="s">
        <v>188</v>
      </c>
      <c r="F1582" s="15">
        <v>8</v>
      </c>
      <c r="G1582" s="15">
        <v>2270</v>
      </c>
      <c r="H1582" s="15">
        <v>11.9</v>
      </c>
      <c r="I1582" s="15">
        <v>15998.96</v>
      </c>
      <c r="J1582" s="13" t="s">
        <v>93</v>
      </c>
      <c r="K1582" s="13" t="s">
        <v>88</v>
      </c>
      <c r="L1582">
        <f>IF(COUNTIF(A$2:A1582, A1582)=1, IF(COUNTIF(A$2:A$2001, A1582)&gt;1, 1, 0), 0)</f>
        <v>0</v>
      </c>
      <c r="M1582" t="b">
        <f>VLOOKUP(D1582, Products!A$2:F$61, 6, FALSE)</f>
        <v>1</v>
      </c>
      <c r="N1582" t="str">
        <f>VLOOKUP(D1582, Products!A$2:C$61, 3, FALSE)</f>
        <v>Grocery</v>
      </c>
      <c r="O1582" t="str">
        <f>VLOOKUP(C1582, Customers!A$2:E$301, 5, FALSE)</f>
        <v>Retail</v>
      </c>
      <c r="P1582">
        <f>VLOOKUP(C1582, Customers!A$2:C$301, 3, FALSE)</f>
        <v>25</v>
      </c>
      <c r="Q1582" t="str">
        <f>VLOOKUP(E1582, Sales_Reps!A$2:C$31, 3, FALSE)</f>
        <v>South</v>
      </c>
      <c r="R1582">
        <f>VLOOKUP(D1582, Products!A$2:D$61, 4, FALSE)</f>
        <v>1412</v>
      </c>
    </row>
    <row r="1583" spans="1:18" x14ac:dyDescent="0.3">
      <c r="A1583" s="13" t="s">
        <v>2078</v>
      </c>
      <c r="B1583" s="14">
        <v>45592</v>
      </c>
      <c r="C1583" s="13" t="s">
        <v>316</v>
      </c>
      <c r="D1583" s="13" t="s">
        <v>138</v>
      </c>
      <c r="E1583" s="13" t="s">
        <v>303</v>
      </c>
      <c r="F1583" s="15">
        <v>6</v>
      </c>
      <c r="G1583" s="15">
        <v>2600</v>
      </c>
      <c r="H1583" s="15">
        <v>5.0999999999999996</v>
      </c>
      <c r="I1583" s="15">
        <v>14804.4</v>
      </c>
      <c r="J1583" s="13" t="s">
        <v>87</v>
      </c>
      <c r="K1583" s="13" t="s">
        <v>88</v>
      </c>
      <c r="L1583">
        <f>IF(COUNTIF(A$2:A1583, A1583)=1, IF(COUNTIF(A$2:A$2001, A1583)&gt;1, 1, 0), 0)</f>
        <v>0</v>
      </c>
      <c r="M1583" t="b">
        <f>VLOOKUP(D1583, Products!A$2:F$61, 6, FALSE)</f>
        <v>1</v>
      </c>
      <c r="N1583" t="str">
        <f>VLOOKUP(D1583, Products!A$2:C$61, 3, FALSE)</f>
        <v>Electronics</v>
      </c>
      <c r="O1583" t="str">
        <f>VLOOKUP(C1583, Customers!A$2:E$301, 5, FALSE)</f>
        <v>SMB</v>
      </c>
      <c r="P1583">
        <f>VLOOKUP(C1583, Customers!A$2:C$301, 3, FALSE)</f>
        <v>60</v>
      </c>
      <c r="Q1583" t="str">
        <f>VLOOKUP(E1583, Sales_Reps!A$2:C$31, 3, FALSE)</f>
        <v>East</v>
      </c>
      <c r="R1583">
        <f>VLOOKUP(D1583, Products!A$2:D$61, 4, FALSE)</f>
        <v>1052</v>
      </c>
    </row>
    <row r="1584" spans="1:18" x14ac:dyDescent="0.3">
      <c r="A1584" s="13" t="s">
        <v>2079</v>
      </c>
      <c r="B1584" s="14">
        <v>45403</v>
      </c>
      <c r="C1584" s="13" t="s">
        <v>169</v>
      </c>
      <c r="D1584" s="13" t="s">
        <v>248</v>
      </c>
      <c r="E1584" s="13" t="s">
        <v>343</v>
      </c>
      <c r="F1584" s="15">
        <v>9</v>
      </c>
      <c r="G1584" s="15">
        <v>3870</v>
      </c>
      <c r="H1584" s="15">
        <v>1.8</v>
      </c>
      <c r="I1584" s="15">
        <v>34203.06</v>
      </c>
      <c r="J1584" s="13" t="s">
        <v>140</v>
      </c>
      <c r="K1584" s="13" t="s">
        <v>112</v>
      </c>
      <c r="L1584">
        <f>IF(COUNTIF(A$2:A1584, A1584)=1, IF(COUNTIF(A$2:A$2001, A1584)&gt;1, 1, 0), 0)</f>
        <v>0</v>
      </c>
      <c r="M1584" t="b">
        <f>VLOOKUP(D1584, Products!A$2:F$61, 6, FALSE)</f>
        <v>1</v>
      </c>
      <c r="N1584" t="str">
        <f>VLOOKUP(D1584, Products!A$2:C$61, 3, FALSE)</f>
        <v>Electronics</v>
      </c>
      <c r="O1584" t="str">
        <f>VLOOKUP(C1584, Customers!A$2:E$301, 5, FALSE)</f>
        <v>Retail</v>
      </c>
      <c r="P1584">
        <f>VLOOKUP(C1584, Customers!A$2:C$301, 3, FALSE)</f>
        <v>34</v>
      </c>
      <c r="Q1584" t="str">
        <f>VLOOKUP(E1584, Sales_Reps!A$2:C$31, 3, FALSE)</f>
        <v>West</v>
      </c>
      <c r="R1584">
        <f>VLOOKUP(D1584, Products!A$2:D$61, 4, FALSE)</f>
        <v>1559</v>
      </c>
    </row>
    <row r="1585" spans="1:18" x14ac:dyDescent="0.3">
      <c r="A1585" s="13" t="s">
        <v>2080</v>
      </c>
      <c r="B1585" s="14">
        <v>45459</v>
      </c>
      <c r="C1585" s="13" t="s">
        <v>407</v>
      </c>
      <c r="D1585" s="13" t="s">
        <v>408</v>
      </c>
      <c r="E1585" s="13" t="s">
        <v>103</v>
      </c>
      <c r="F1585" s="15">
        <v>3</v>
      </c>
      <c r="G1585" s="15">
        <v>3970</v>
      </c>
      <c r="H1585" s="15">
        <v>8.1999999999999993</v>
      </c>
      <c r="I1585" s="15">
        <v>10933.38</v>
      </c>
      <c r="J1585" s="13" t="s">
        <v>87</v>
      </c>
      <c r="K1585" s="13" t="s">
        <v>88</v>
      </c>
      <c r="L1585">
        <f>IF(COUNTIF(A$2:A1585, A1585)=1, IF(COUNTIF(A$2:A$2001, A1585)&gt;1, 1, 0), 0)</f>
        <v>0</v>
      </c>
      <c r="M1585" t="b">
        <f>VLOOKUP(D1585, Products!A$2:F$61, 6, FALSE)</f>
        <v>1</v>
      </c>
      <c r="N1585" t="str">
        <f>VLOOKUP(D1585, Products!A$2:C$61, 3, FALSE)</f>
        <v>Electronics</v>
      </c>
      <c r="O1585" t="str">
        <f>VLOOKUP(C1585, Customers!A$2:E$301, 5, FALSE)</f>
        <v>SMB</v>
      </c>
      <c r="P1585">
        <f>VLOOKUP(C1585, Customers!A$2:C$301, 3, FALSE)</f>
        <v>53</v>
      </c>
      <c r="Q1585" t="str">
        <f>VLOOKUP(E1585, Sales_Reps!A$2:C$31, 3, FALSE)</f>
        <v>North</v>
      </c>
      <c r="R1585">
        <f>VLOOKUP(D1585, Products!A$2:D$61, 4, FALSE)</f>
        <v>2865</v>
      </c>
    </row>
    <row r="1586" spans="1:18" x14ac:dyDescent="0.3">
      <c r="A1586" s="13" t="s">
        <v>2081</v>
      </c>
      <c r="B1586" s="14">
        <v>45438</v>
      </c>
      <c r="C1586" s="13" t="s">
        <v>284</v>
      </c>
      <c r="D1586" s="13" t="s">
        <v>380</v>
      </c>
      <c r="E1586" s="13" t="s">
        <v>128</v>
      </c>
      <c r="F1586" s="15">
        <v>9</v>
      </c>
      <c r="G1586" s="15">
        <v>960</v>
      </c>
      <c r="H1586" s="15">
        <v>21.7</v>
      </c>
      <c r="I1586" s="15">
        <v>6765.12</v>
      </c>
      <c r="J1586" s="13" t="s">
        <v>140</v>
      </c>
      <c r="K1586" s="13" t="s">
        <v>94</v>
      </c>
      <c r="L1586">
        <f>IF(COUNTIF(A$2:A1586, A1586)=1, IF(COUNTIF(A$2:A$2001, A1586)&gt;1, 1, 0), 0)</f>
        <v>0</v>
      </c>
      <c r="M1586" t="b">
        <f>VLOOKUP(D1586, Products!A$2:F$61, 6, FALSE)</f>
        <v>1</v>
      </c>
      <c r="N1586" t="str">
        <f>VLOOKUP(D1586, Products!A$2:C$61, 3, FALSE)</f>
        <v>Beauty</v>
      </c>
      <c r="O1586" t="str">
        <f>VLOOKUP(C1586, Customers!A$2:E$301, 5, FALSE)</f>
        <v>Retail</v>
      </c>
      <c r="P1586">
        <f>VLOOKUP(C1586, Customers!A$2:C$301, 3, FALSE)</f>
        <v>28</v>
      </c>
      <c r="Q1586" t="str">
        <f>VLOOKUP(E1586, Sales_Reps!A$2:C$31, 3, FALSE)</f>
        <v>West</v>
      </c>
      <c r="R1586">
        <f>VLOOKUP(D1586, Products!A$2:D$61, 4, FALSE)</f>
        <v>675</v>
      </c>
    </row>
    <row r="1587" spans="1:18" x14ac:dyDescent="0.3">
      <c r="A1587" s="13" t="s">
        <v>2082</v>
      </c>
      <c r="B1587" s="14">
        <v>45632</v>
      </c>
      <c r="C1587" s="13" t="s">
        <v>797</v>
      </c>
      <c r="D1587" s="13" t="s">
        <v>360</v>
      </c>
      <c r="E1587" s="13" t="s">
        <v>111</v>
      </c>
      <c r="F1587" s="15">
        <v>3</v>
      </c>
      <c r="G1587" s="15">
        <v>5410</v>
      </c>
      <c r="H1587" s="15">
        <v>20.3</v>
      </c>
      <c r="I1587" s="15">
        <v>12935.31</v>
      </c>
      <c r="J1587" s="13" t="s">
        <v>87</v>
      </c>
      <c r="K1587" s="13" t="s">
        <v>99</v>
      </c>
      <c r="L1587">
        <f>IF(COUNTIF(A$2:A1587, A1587)=1, IF(COUNTIF(A$2:A$2001, A1587)&gt;1, 1, 0), 0)</f>
        <v>0</v>
      </c>
      <c r="M1587" t="b">
        <f>VLOOKUP(D1587, Products!A$2:F$61, 6, FALSE)</f>
        <v>1</v>
      </c>
      <c r="N1587" t="str">
        <f>VLOOKUP(D1587, Products!A$2:C$61, 3, FALSE)</f>
        <v>Sports</v>
      </c>
      <c r="O1587" t="str">
        <f>VLOOKUP(C1587, Customers!A$2:E$301, 5, FALSE)</f>
        <v>Retail</v>
      </c>
      <c r="P1587">
        <f>VLOOKUP(C1587, Customers!A$2:C$301, 3, FALSE)</f>
        <v>63</v>
      </c>
      <c r="Q1587" t="str">
        <f>VLOOKUP(E1587, Sales_Reps!A$2:C$31, 3, FALSE)</f>
        <v>West</v>
      </c>
      <c r="R1587">
        <f>VLOOKUP(D1587, Products!A$2:D$61, 4, FALSE)</f>
        <v>2265</v>
      </c>
    </row>
    <row r="1588" spans="1:18" x14ac:dyDescent="0.3">
      <c r="A1588" s="13" t="s">
        <v>2083</v>
      </c>
      <c r="B1588" s="14">
        <v>45579</v>
      </c>
      <c r="C1588" s="13" t="s">
        <v>886</v>
      </c>
      <c r="D1588" s="13" t="s">
        <v>452</v>
      </c>
      <c r="E1588" s="13" t="s">
        <v>92</v>
      </c>
      <c r="F1588" s="15">
        <v>3</v>
      </c>
      <c r="G1588" s="15">
        <v>3450</v>
      </c>
      <c r="H1588" s="15">
        <v>11.6</v>
      </c>
      <c r="I1588" s="15">
        <v>9149.4</v>
      </c>
      <c r="J1588" s="13" t="s">
        <v>87</v>
      </c>
      <c r="K1588" s="13" t="s">
        <v>94</v>
      </c>
      <c r="L1588">
        <f>IF(COUNTIF(A$2:A1588, A1588)=1, IF(COUNTIF(A$2:A$2001, A1588)&gt;1, 1, 0), 0)</f>
        <v>0</v>
      </c>
      <c r="M1588" t="b">
        <f>VLOOKUP(D1588, Products!A$2:F$61, 6, FALSE)</f>
        <v>1</v>
      </c>
      <c r="N1588" t="str">
        <f>VLOOKUP(D1588, Products!A$2:C$61, 3, FALSE)</f>
        <v>Apparel</v>
      </c>
      <c r="O1588" t="str">
        <f>VLOOKUP(C1588, Customers!A$2:E$301, 5, FALSE)</f>
        <v>Corporate</v>
      </c>
      <c r="P1588">
        <f>VLOOKUP(C1588, Customers!A$2:C$301, 3, FALSE)</f>
        <v>44</v>
      </c>
      <c r="Q1588" t="str">
        <f>VLOOKUP(E1588, Sales_Reps!A$2:C$31, 3, FALSE)</f>
        <v>North</v>
      </c>
      <c r="R1588">
        <f>VLOOKUP(D1588, Products!A$2:D$61, 4, FALSE)</f>
        <v>1748</v>
      </c>
    </row>
    <row r="1589" spans="1:18" x14ac:dyDescent="0.3">
      <c r="A1589" s="13" t="s">
        <v>2084</v>
      </c>
      <c r="B1589" s="14">
        <v>45392</v>
      </c>
      <c r="C1589" s="13" t="s">
        <v>223</v>
      </c>
      <c r="D1589" s="13" t="s">
        <v>276</v>
      </c>
      <c r="E1589" s="13" t="s">
        <v>107</v>
      </c>
      <c r="F1589" s="15">
        <v>2</v>
      </c>
      <c r="G1589" s="15">
        <v>3020</v>
      </c>
      <c r="H1589" s="15">
        <v>20.8</v>
      </c>
      <c r="I1589" s="15">
        <v>4783.68</v>
      </c>
      <c r="J1589" s="13" t="s">
        <v>93</v>
      </c>
      <c r="K1589" s="13" t="s">
        <v>99</v>
      </c>
      <c r="L1589">
        <f>IF(COUNTIF(A$2:A1589, A1589)=1, IF(COUNTIF(A$2:A$2001, A1589)&gt;1, 1, 0), 0)</f>
        <v>0</v>
      </c>
      <c r="M1589" t="b">
        <f>VLOOKUP(D1589, Products!A$2:F$61, 6, FALSE)</f>
        <v>1</v>
      </c>
      <c r="N1589" t="str">
        <f>VLOOKUP(D1589, Products!A$2:C$61, 3, FALSE)</f>
        <v>Beauty</v>
      </c>
      <c r="O1589" t="str">
        <f>VLOOKUP(C1589, Customers!A$2:E$301, 5, FALSE)</f>
        <v>Retail</v>
      </c>
      <c r="P1589">
        <f>VLOOKUP(C1589, Customers!A$2:C$301, 3, FALSE)</f>
        <v>53</v>
      </c>
      <c r="Q1589" t="str">
        <f>VLOOKUP(E1589, Sales_Reps!A$2:C$31, 3, FALSE)</f>
        <v>North</v>
      </c>
      <c r="R1589">
        <f>VLOOKUP(D1589, Products!A$2:D$61, 4, FALSE)</f>
        <v>1626</v>
      </c>
    </row>
    <row r="1590" spans="1:18" x14ac:dyDescent="0.3">
      <c r="A1590" s="13" t="s">
        <v>2085</v>
      </c>
      <c r="B1590" s="14">
        <v>45563</v>
      </c>
      <c r="C1590" s="13" t="s">
        <v>1062</v>
      </c>
      <c r="D1590" s="13" t="s">
        <v>147</v>
      </c>
      <c r="E1590" s="13" t="s">
        <v>297</v>
      </c>
      <c r="F1590" s="15">
        <v>3</v>
      </c>
      <c r="G1590" s="15">
        <v>190</v>
      </c>
      <c r="H1590" s="15">
        <v>10.7</v>
      </c>
      <c r="I1590" s="15">
        <v>509.01</v>
      </c>
      <c r="J1590" s="13" t="s">
        <v>87</v>
      </c>
      <c r="K1590" s="13" t="s">
        <v>112</v>
      </c>
      <c r="L1590">
        <f>IF(COUNTIF(A$2:A1590, A1590)=1, IF(COUNTIF(A$2:A$2001, A1590)&gt;1, 1, 0), 0)</f>
        <v>0</v>
      </c>
      <c r="M1590" t="b">
        <f>VLOOKUP(D1590, Products!A$2:F$61, 6, FALSE)</f>
        <v>1</v>
      </c>
      <c r="N1590" t="str">
        <f>VLOOKUP(D1590, Products!A$2:C$61, 3, FALSE)</f>
        <v>Sports</v>
      </c>
      <c r="O1590" t="str">
        <f>VLOOKUP(C1590, Customers!A$2:E$301, 5, FALSE)</f>
        <v>SMB</v>
      </c>
      <c r="P1590">
        <f>VLOOKUP(C1590, Customers!A$2:C$301, 3, FALSE)</f>
        <v>54</v>
      </c>
      <c r="Q1590" t="str">
        <f>VLOOKUP(E1590, Sales_Reps!A$2:C$31, 3, FALSE)</f>
        <v>North</v>
      </c>
      <c r="R1590">
        <f>VLOOKUP(D1590, Products!A$2:D$61, 4, FALSE)</f>
        <v>147</v>
      </c>
    </row>
    <row r="1591" spans="1:18" x14ac:dyDescent="0.3">
      <c r="A1591" s="13" t="s">
        <v>2086</v>
      </c>
      <c r="B1591" s="14">
        <v>45294</v>
      </c>
      <c r="C1591" s="13" t="s">
        <v>194</v>
      </c>
      <c r="D1591" s="13" t="s">
        <v>226</v>
      </c>
      <c r="E1591" s="13" t="s">
        <v>325</v>
      </c>
      <c r="F1591" s="15">
        <v>4</v>
      </c>
      <c r="G1591" s="15">
        <v>3730</v>
      </c>
      <c r="H1591" s="15">
        <v>6.9</v>
      </c>
      <c r="I1591" s="15">
        <v>13890.52</v>
      </c>
      <c r="J1591" s="13" t="s">
        <v>87</v>
      </c>
      <c r="K1591" s="13" t="s">
        <v>88</v>
      </c>
      <c r="L1591">
        <f>IF(COUNTIF(A$2:A1591, A1591)=1, IF(COUNTIF(A$2:A$2001, A1591)&gt;1, 1, 0), 0)</f>
        <v>0</v>
      </c>
      <c r="M1591" t="b">
        <f>VLOOKUP(D1591, Products!A$2:F$61, 6, FALSE)</f>
        <v>1</v>
      </c>
      <c r="N1591" t="str">
        <f>VLOOKUP(D1591, Products!A$2:C$61, 3, FALSE)</f>
        <v>Home</v>
      </c>
      <c r="O1591" t="str">
        <f>VLOOKUP(C1591, Customers!A$2:E$301, 5, FALSE)</f>
        <v>SMB</v>
      </c>
      <c r="P1591">
        <f>VLOOKUP(C1591, Customers!A$2:C$301, 3, FALSE)</f>
        <v>44</v>
      </c>
      <c r="Q1591" t="str">
        <f>VLOOKUP(E1591, Sales_Reps!A$2:C$31, 3, FALSE)</f>
        <v>South</v>
      </c>
      <c r="R1591">
        <f>VLOOKUP(D1591, Products!A$2:D$61, 4, FALSE)</f>
        <v>2135</v>
      </c>
    </row>
    <row r="1592" spans="1:18" x14ac:dyDescent="0.3">
      <c r="A1592" s="13" t="s">
        <v>2087</v>
      </c>
      <c r="B1592" s="14">
        <v>45503</v>
      </c>
      <c r="C1592" s="13" t="s">
        <v>1027</v>
      </c>
      <c r="D1592" s="13" t="s">
        <v>161</v>
      </c>
      <c r="E1592" s="13" t="s">
        <v>111</v>
      </c>
      <c r="F1592" s="15">
        <v>9</v>
      </c>
      <c r="G1592" s="15">
        <v>3450</v>
      </c>
      <c r="H1592" s="15">
        <v>22.2</v>
      </c>
      <c r="I1592" s="15">
        <v>24156.9</v>
      </c>
      <c r="J1592" s="13" t="s">
        <v>140</v>
      </c>
      <c r="K1592" s="13" t="s">
        <v>112</v>
      </c>
      <c r="L1592">
        <f>IF(COUNTIF(A$2:A1592, A1592)=1, IF(COUNTIF(A$2:A$2001, A1592)&gt;1, 1, 0), 0)</f>
        <v>0</v>
      </c>
      <c r="M1592" t="b">
        <f>VLOOKUP(D1592, Products!A$2:F$61, 6, FALSE)</f>
        <v>1</v>
      </c>
      <c r="N1592" t="str">
        <f>VLOOKUP(D1592, Products!A$2:C$61, 3, FALSE)</f>
        <v>Sports</v>
      </c>
      <c r="O1592" t="str">
        <f>VLOOKUP(C1592, Customers!A$2:E$301, 5, FALSE)</f>
        <v>SMB</v>
      </c>
      <c r="P1592">
        <f>VLOOKUP(C1592, Customers!A$2:C$301, 3, FALSE)</f>
        <v>47</v>
      </c>
      <c r="Q1592" t="str">
        <f>VLOOKUP(E1592, Sales_Reps!A$2:C$31, 3, FALSE)</f>
        <v>West</v>
      </c>
      <c r="R1592">
        <f>VLOOKUP(D1592, Products!A$2:D$61, 4, FALSE)</f>
        <v>2467</v>
      </c>
    </row>
    <row r="1593" spans="1:18" x14ac:dyDescent="0.3">
      <c r="A1593" s="13" t="s">
        <v>2088</v>
      </c>
      <c r="B1593" s="14">
        <v>45336</v>
      </c>
      <c r="C1593" s="13" t="s">
        <v>504</v>
      </c>
      <c r="D1593" s="13" t="s">
        <v>408</v>
      </c>
      <c r="E1593" s="13" t="s">
        <v>297</v>
      </c>
      <c r="F1593" s="15">
        <v>3</v>
      </c>
      <c r="G1593" s="15">
        <v>3970</v>
      </c>
      <c r="H1593" s="15">
        <v>6.8</v>
      </c>
      <c r="I1593" s="15">
        <v>11100.12</v>
      </c>
      <c r="J1593" s="13" t="s">
        <v>87</v>
      </c>
      <c r="K1593" s="13" t="s">
        <v>117</v>
      </c>
      <c r="L1593">
        <f>IF(COUNTIF(A$2:A1593, A1593)=1, IF(COUNTIF(A$2:A$2001, A1593)&gt;1, 1, 0), 0)</f>
        <v>0</v>
      </c>
      <c r="M1593" t="b">
        <f>VLOOKUP(D1593, Products!A$2:F$61, 6, FALSE)</f>
        <v>1</v>
      </c>
      <c r="N1593" t="str">
        <f>VLOOKUP(D1593, Products!A$2:C$61, 3, FALSE)</f>
        <v>Electronics</v>
      </c>
      <c r="O1593" t="str">
        <f>VLOOKUP(C1593, Customers!A$2:E$301, 5, FALSE)</f>
        <v>Corporate</v>
      </c>
      <c r="P1593">
        <f>VLOOKUP(C1593, Customers!A$2:C$301, 3, FALSE)</f>
        <v>36</v>
      </c>
      <c r="Q1593" t="str">
        <f>VLOOKUP(E1593, Sales_Reps!A$2:C$31, 3, FALSE)</f>
        <v>North</v>
      </c>
      <c r="R1593">
        <f>VLOOKUP(D1593, Products!A$2:D$61, 4, FALSE)</f>
        <v>2865</v>
      </c>
    </row>
    <row r="1594" spans="1:18" x14ac:dyDescent="0.3">
      <c r="A1594" s="13" t="s">
        <v>2089</v>
      </c>
      <c r="B1594" s="14">
        <v>45462</v>
      </c>
      <c r="C1594" s="13" t="s">
        <v>606</v>
      </c>
      <c r="D1594" s="13" t="s">
        <v>502</v>
      </c>
      <c r="E1594" s="13" t="s">
        <v>285</v>
      </c>
      <c r="F1594" s="15">
        <v>3</v>
      </c>
      <c r="G1594" s="15">
        <v>1090</v>
      </c>
      <c r="H1594" s="15">
        <v>23.7</v>
      </c>
      <c r="I1594" s="15">
        <v>2495.0100000000002</v>
      </c>
      <c r="J1594" s="13" t="s">
        <v>87</v>
      </c>
      <c r="K1594" s="13" t="s">
        <v>112</v>
      </c>
      <c r="L1594">
        <f>IF(COUNTIF(A$2:A1594, A1594)=1, IF(COUNTIF(A$2:A$2001, A1594)&gt;1, 1, 0), 0)</f>
        <v>0</v>
      </c>
      <c r="M1594" t="b">
        <f>VLOOKUP(D1594, Products!A$2:F$61, 6, FALSE)</f>
        <v>1</v>
      </c>
      <c r="N1594" t="str">
        <f>VLOOKUP(D1594, Products!A$2:C$61, 3, FALSE)</f>
        <v>Home</v>
      </c>
      <c r="O1594" t="str">
        <f>VLOOKUP(C1594, Customers!A$2:E$301, 5, FALSE)</f>
        <v>Retail</v>
      </c>
      <c r="P1594">
        <f>VLOOKUP(C1594, Customers!A$2:C$301, 3, FALSE)</f>
        <v>52</v>
      </c>
      <c r="Q1594" t="str">
        <f>VLOOKUP(E1594, Sales_Reps!A$2:C$31, 3, FALSE)</f>
        <v>East</v>
      </c>
      <c r="R1594">
        <f>VLOOKUP(D1594, Products!A$2:D$61, 4, FALSE)</f>
        <v>464</v>
      </c>
    </row>
    <row r="1595" spans="1:18" x14ac:dyDescent="0.3">
      <c r="A1595" s="13" t="s">
        <v>2090</v>
      </c>
      <c r="B1595" s="14">
        <v>45300</v>
      </c>
      <c r="C1595" s="13" t="s">
        <v>479</v>
      </c>
      <c r="D1595" s="13" t="s">
        <v>295</v>
      </c>
      <c r="E1595" s="13" t="s">
        <v>154</v>
      </c>
      <c r="F1595" s="15">
        <v>3</v>
      </c>
      <c r="G1595" s="15">
        <v>2030</v>
      </c>
      <c r="H1595" s="15">
        <v>18.8</v>
      </c>
      <c r="I1595" s="15">
        <v>4945.08</v>
      </c>
      <c r="J1595" s="13" t="s">
        <v>87</v>
      </c>
      <c r="K1595" s="13" t="s">
        <v>88</v>
      </c>
      <c r="L1595">
        <f>IF(COUNTIF(A$2:A1595, A1595)=1, IF(COUNTIF(A$2:A$2001, A1595)&gt;1, 1, 0), 0)</f>
        <v>0</v>
      </c>
      <c r="M1595" t="b">
        <f>VLOOKUP(D1595, Products!A$2:F$61, 6, FALSE)</f>
        <v>1</v>
      </c>
      <c r="N1595" t="str">
        <f>VLOOKUP(D1595, Products!A$2:C$61, 3, FALSE)</f>
        <v>Home</v>
      </c>
      <c r="O1595" t="str">
        <f>VLOOKUP(C1595, Customers!A$2:E$301, 5, FALSE)</f>
        <v>SMB</v>
      </c>
      <c r="P1595">
        <f>VLOOKUP(C1595, Customers!A$2:C$301, 3, FALSE)</f>
        <v>49</v>
      </c>
      <c r="Q1595" t="str">
        <f>VLOOKUP(E1595, Sales_Reps!A$2:C$31, 3, FALSE)</f>
        <v>East</v>
      </c>
      <c r="R1595">
        <f>VLOOKUP(D1595, Products!A$2:D$61, 4, FALSE)</f>
        <v>1143</v>
      </c>
    </row>
    <row r="1596" spans="1:18" x14ac:dyDescent="0.3">
      <c r="A1596" s="13" t="s">
        <v>2091</v>
      </c>
      <c r="B1596" s="14">
        <v>45367</v>
      </c>
      <c r="C1596" s="13" t="s">
        <v>621</v>
      </c>
      <c r="D1596" s="13" t="s">
        <v>264</v>
      </c>
      <c r="E1596" s="13" t="s">
        <v>107</v>
      </c>
      <c r="F1596" s="15">
        <v>2</v>
      </c>
      <c r="G1596" s="15">
        <v>4070</v>
      </c>
      <c r="H1596" s="15">
        <v>14.3</v>
      </c>
      <c r="I1596" s="15">
        <v>6975.98</v>
      </c>
      <c r="J1596" s="13" t="s">
        <v>87</v>
      </c>
      <c r="K1596" s="13" t="s">
        <v>2092</v>
      </c>
      <c r="L1596">
        <f>IF(COUNTIF(A$2:A1596, A1596)=1, IF(COUNTIF(A$2:A$2001, A1596)&gt;1, 1, 0), 0)</f>
        <v>0</v>
      </c>
      <c r="M1596" t="b">
        <f>VLOOKUP(D1596, Products!A$2:F$61, 6, FALSE)</f>
        <v>1</v>
      </c>
      <c r="N1596" t="str">
        <f>VLOOKUP(D1596, Products!A$2:C$61, 3, FALSE)</f>
        <v>Grocery</v>
      </c>
      <c r="O1596" t="str">
        <f>VLOOKUP(C1596, Customers!A$2:E$301, 5, FALSE)</f>
        <v>Corporate</v>
      </c>
      <c r="P1596">
        <f>VLOOKUP(C1596, Customers!A$2:C$301, 3, FALSE)</f>
        <v>22</v>
      </c>
      <c r="Q1596" t="str">
        <f>VLOOKUP(E1596, Sales_Reps!A$2:C$31, 3, FALSE)</f>
        <v>North</v>
      </c>
      <c r="R1596">
        <f>VLOOKUP(D1596, Products!A$2:D$61, 4, FALSE)</f>
        <v>2027</v>
      </c>
    </row>
    <row r="1597" spans="1:18" x14ac:dyDescent="0.3">
      <c r="A1597" s="13" t="s">
        <v>2093</v>
      </c>
      <c r="B1597" s="14">
        <v>45410</v>
      </c>
      <c r="C1597" s="13" t="s">
        <v>1180</v>
      </c>
      <c r="D1597" s="13" t="s">
        <v>85</v>
      </c>
      <c r="E1597" s="13" t="s">
        <v>128</v>
      </c>
      <c r="F1597" s="15">
        <v>3</v>
      </c>
      <c r="G1597" s="15">
        <v>3620</v>
      </c>
      <c r="H1597" s="15">
        <v>13.5</v>
      </c>
      <c r="I1597" s="15">
        <v>9393.9</v>
      </c>
      <c r="J1597" s="13" t="s">
        <v>87</v>
      </c>
      <c r="K1597" s="13" t="s">
        <v>94</v>
      </c>
      <c r="L1597">
        <f>IF(COUNTIF(A$2:A1597, A1597)=1, IF(COUNTIF(A$2:A$2001, A1597)&gt;1, 1, 0), 0)</f>
        <v>0</v>
      </c>
      <c r="M1597" t="b">
        <f>VLOOKUP(D1597, Products!A$2:F$61, 6, FALSE)</f>
        <v>1</v>
      </c>
      <c r="N1597" t="str">
        <f>VLOOKUP(D1597, Products!A$2:C$61, 3, FALSE)</f>
        <v>Apparel</v>
      </c>
      <c r="O1597" t="str">
        <f>VLOOKUP(C1597, Customers!A$2:E$301, 5, FALSE)</f>
        <v>Corporate</v>
      </c>
      <c r="P1597">
        <f>VLOOKUP(C1597, Customers!A$2:C$301, 3, FALSE)</f>
        <v>49</v>
      </c>
      <c r="Q1597" t="str">
        <f>VLOOKUP(E1597, Sales_Reps!A$2:C$31, 3, FALSE)</f>
        <v>West</v>
      </c>
      <c r="R1597">
        <f>VLOOKUP(D1597, Products!A$2:D$61, 4, FALSE)</f>
        <v>2509</v>
      </c>
    </row>
    <row r="1598" spans="1:18" x14ac:dyDescent="0.3">
      <c r="A1598" s="13" t="s">
        <v>2094</v>
      </c>
      <c r="B1598" s="14">
        <v>45623</v>
      </c>
      <c r="C1598" s="13" t="s">
        <v>785</v>
      </c>
      <c r="D1598" s="13" t="s">
        <v>182</v>
      </c>
      <c r="E1598" s="13" t="s">
        <v>215</v>
      </c>
      <c r="F1598" s="15">
        <v>4</v>
      </c>
      <c r="G1598" s="15">
        <v>1010</v>
      </c>
      <c r="H1598" s="15">
        <v>3.3</v>
      </c>
      <c r="I1598" s="15">
        <v>3906.68</v>
      </c>
      <c r="J1598" s="13" t="s">
        <v>87</v>
      </c>
      <c r="K1598" s="13" t="s">
        <v>88</v>
      </c>
      <c r="L1598">
        <f>IF(COUNTIF(A$2:A1598, A1598)=1, IF(COUNTIF(A$2:A$2001, A1598)&gt;1, 1, 0), 0)</f>
        <v>0</v>
      </c>
      <c r="M1598" t="b">
        <f>VLOOKUP(D1598, Products!A$2:F$61, 6, FALSE)</f>
        <v>1</v>
      </c>
      <c r="N1598" t="str">
        <f>VLOOKUP(D1598, Products!A$2:C$61, 3, FALSE)</f>
        <v>Sports</v>
      </c>
      <c r="O1598" t="str">
        <f>VLOOKUP(C1598, Customers!A$2:E$301, 5, FALSE)</f>
        <v>Retail</v>
      </c>
      <c r="P1598">
        <f>VLOOKUP(C1598, Customers!A$2:C$301, 3, FALSE)</f>
        <v>31</v>
      </c>
      <c r="Q1598" t="str">
        <f>VLOOKUP(E1598, Sales_Reps!A$2:C$31, 3, FALSE)</f>
        <v>North</v>
      </c>
      <c r="R1598">
        <f>VLOOKUP(D1598, Products!A$2:D$61, 4, FALSE)</f>
        <v>516</v>
      </c>
    </row>
    <row r="1599" spans="1:18" x14ac:dyDescent="0.3">
      <c r="A1599" s="13" t="s">
        <v>2095</v>
      </c>
      <c r="B1599" s="14">
        <v>45491</v>
      </c>
      <c r="C1599" s="13" t="s">
        <v>357</v>
      </c>
      <c r="D1599" s="13" t="s">
        <v>127</v>
      </c>
      <c r="E1599" s="13" t="s">
        <v>92</v>
      </c>
      <c r="F1599" s="15">
        <v>7</v>
      </c>
      <c r="G1599" s="15">
        <v>970</v>
      </c>
      <c r="H1599" s="15">
        <v>0.1</v>
      </c>
      <c r="I1599" s="15">
        <v>6783.21</v>
      </c>
      <c r="J1599" s="13" t="s">
        <v>87</v>
      </c>
      <c r="K1599" s="13" t="s">
        <v>99</v>
      </c>
      <c r="L1599">
        <f>IF(COUNTIF(A$2:A1599, A1599)=1, IF(COUNTIF(A$2:A$2001, A1599)&gt;1, 1, 0), 0)</f>
        <v>0</v>
      </c>
      <c r="M1599" t="b">
        <f>VLOOKUP(D1599, Products!A$2:F$61, 6, FALSE)</f>
        <v>1</v>
      </c>
      <c r="N1599" t="str">
        <f>VLOOKUP(D1599, Products!A$2:C$61, 3, FALSE)</f>
        <v>Grocery</v>
      </c>
      <c r="O1599" t="str">
        <f>VLOOKUP(C1599, Customers!A$2:E$301, 5, FALSE)</f>
        <v>SMB</v>
      </c>
      <c r="P1599">
        <f>VLOOKUP(C1599, Customers!A$2:C$301, 3, FALSE)</f>
        <v>38</v>
      </c>
      <c r="Q1599" t="str">
        <f>VLOOKUP(E1599, Sales_Reps!A$2:C$31, 3, FALSE)</f>
        <v>North</v>
      </c>
      <c r="R1599">
        <f>VLOOKUP(D1599, Products!A$2:D$61, 4, FALSE)</f>
        <v>434</v>
      </c>
    </row>
    <row r="1600" spans="1:18" x14ac:dyDescent="0.3">
      <c r="A1600" s="13" t="s">
        <v>2096</v>
      </c>
      <c r="B1600" s="14">
        <v>45571</v>
      </c>
      <c r="C1600" s="13" t="s">
        <v>870</v>
      </c>
      <c r="D1600" s="13" t="s">
        <v>97</v>
      </c>
      <c r="E1600" s="13" t="s">
        <v>343</v>
      </c>
      <c r="F1600" s="15">
        <v>5</v>
      </c>
      <c r="G1600" s="15">
        <v>470</v>
      </c>
      <c r="H1600" s="15">
        <v>18.3</v>
      </c>
      <c r="I1600" s="15">
        <v>1919.95</v>
      </c>
      <c r="J1600" s="13" t="s">
        <v>144</v>
      </c>
      <c r="K1600" s="13" t="s">
        <v>117</v>
      </c>
      <c r="L1600">
        <f>IF(COUNTIF(A$2:A1600, A1600)=1, IF(COUNTIF(A$2:A$2001, A1600)&gt;1, 1, 0), 0)</f>
        <v>0</v>
      </c>
      <c r="M1600" t="b">
        <f>VLOOKUP(D1600, Products!A$2:F$61, 6, FALSE)</f>
        <v>0</v>
      </c>
      <c r="N1600" t="str">
        <f>VLOOKUP(D1600, Products!A$2:C$61, 3, FALSE)</f>
        <v>Sports</v>
      </c>
      <c r="O1600" t="str">
        <f>VLOOKUP(C1600, Customers!A$2:E$301, 5, FALSE)</f>
        <v>Retail</v>
      </c>
      <c r="P1600">
        <f>VLOOKUP(C1600, Customers!A$2:C$301, 3, FALSE)</f>
        <v>47</v>
      </c>
      <c r="Q1600" t="str">
        <f>VLOOKUP(E1600, Sales_Reps!A$2:C$31, 3, FALSE)</f>
        <v>West</v>
      </c>
      <c r="R1600">
        <f>VLOOKUP(D1600, Products!A$2:D$61, 4, FALSE)</f>
        <v>302</v>
      </c>
    </row>
    <row r="1601" spans="1:18" x14ac:dyDescent="0.3">
      <c r="A1601" s="13" t="s">
        <v>2097</v>
      </c>
      <c r="B1601" s="14">
        <v>45393</v>
      </c>
      <c r="C1601" s="13" t="s">
        <v>555</v>
      </c>
      <c r="D1601" s="13" t="s">
        <v>452</v>
      </c>
      <c r="E1601" s="13" t="s">
        <v>132</v>
      </c>
      <c r="F1601" s="15">
        <v>8</v>
      </c>
      <c r="G1601" s="15">
        <v>3450</v>
      </c>
      <c r="H1601" s="15">
        <v>5.0999999999999996</v>
      </c>
      <c r="I1601" s="15">
        <v>26192.400000000001</v>
      </c>
      <c r="J1601" s="13" t="s">
        <v>144</v>
      </c>
      <c r="K1601" s="13" t="s">
        <v>112</v>
      </c>
      <c r="L1601">
        <f>IF(COUNTIF(A$2:A1601, A1601)=1, IF(COUNTIF(A$2:A$2001, A1601)&gt;1, 1, 0), 0)</f>
        <v>0</v>
      </c>
      <c r="M1601" t="b">
        <f>VLOOKUP(D1601, Products!A$2:F$61, 6, FALSE)</f>
        <v>1</v>
      </c>
      <c r="N1601" t="str">
        <f>VLOOKUP(D1601, Products!A$2:C$61, 3, FALSE)</f>
        <v>Apparel</v>
      </c>
      <c r="O1601" t="str">
        <f>VLOOKUP(C1601, Customers!A$2:E$301, 5, FALSE)</f>
        <v>Retail</v>
      </c>
      <c r="P1601">
        <f>VLOOKUP(C1601, Customers!A$2:C$301, 3, FALSE)</f>
        <v>37</v>
      </c>
      <c r="Q1601" t="str">
        <f>VLOOKUP(E1601, Sales_Reps!A$2:C$31, 3, FALSE)</f>
        <v>South</v>
      </c>
      <c r="R1601">
        <f>VLOOKUP(D1601, Products!A$2:D$61, 4, FALSE)</f>
        <v>1748</v>
      </c>
    </row>
    <row r="1602" spans="1:18" x14ac:dyDescent="0.3">
      <c r="A1602" s="13" t="s">
        <v>2098</v>
      </c>
      <c r="B1602" s="14">
        <v>45465</v>
      </c>
      <c r="C1602" s="13" t="s">
        <v>608</v>
      </c>
      <c r="D1602" s="13" t="s">
        <v>135</v>
      </c>
      <c r="E1602" s="13" t="s">
        <v>285</v>
      </c>
      <c r="F1602" s="15">
        <v>1</v>
      </c>
      <c r="G1602" s="15">
        <v>2640</v>
      </c>
      <c r="H1602" s="15">
        <v>5.9</v>
      </c>
      <c r="I1602" s="15">
        <v>2484.2399999999998</v>
      </c>
      <c r="J1602" s="13" t="s">
        <v>87</v>
      </c>
      <c r="K1602" s="13" t="s">
        <v>88</v>
      </c>
      <c r="L1602">
        <f>IF(COUNTIF(A$2:A1602, A1602)=1, IF(COUNTIF(A$2:A$2001, A1602)&gt;1, 1, 0), 0)</f>
        <v>0</v>
      </c>
      <c r="M1602" t="b">
        <f>VLOOKUP(D1602, Products!A$2:F$61, 6, FALSE)</f>
        <v>1</v>
      </c>
      <c r="N1602" t="str">
        <f>VLOOKUP(D1602, Products!A$2:C$61, 3, FALSE)</f>
        <v>Electronics</v>
      </c>
      <c r="O1602" t="str">
        <f>VLOOKUP(C1602, Customers!A$2:E$301, 5, FALSE)</f>
        <v>Corporate</v>
      </c>
      <c r="P1602">
        <f>VLOOKUP(C1602, Customers!A$2:C$301, 3, FALSE)</f>
        <v>40</v>
      </c>
      <c r="Q1602" t="str">
        <f>VLOOKUP(E1602, Sales_Reps!A$2:C$31, 3, FALSE)</f>
        <v>East</v>
      </c>
      <c r="R1602">
        <f>VLOOKUP(D1602, Products!A$2:D$61, 4, FALSE)</f>
        <v>1149</v>
      </c>
    </row>
    <row r="1603" spans="1:18" x14ac:dyDescent="0.3">
      <c r="A1603" s="13" t="s">
        <v>2099</v>
      </c>
      <c r="B1603" s="14">
        <v>45354</v>
      </c>
      <c r="C1603" s="13" t="s">
        <v>585</v>
      </c>
      <c r="D1603" s="13" t="s">
        <v>187</v>
      </c>
      <c r="E1603" s="13" t="s">
        <v>192</v>
      </c>
      <c r="F1603" s="15">
        <v>10</v>
      </c>
      <c r="G1603" s="15">
        <v>3570</v>
      </c>
      <c r="H1603" s="15">
        <v>21.5</v>
      </c>
      <c r="I1603" s="15">
        <v>28024.5</v>
      </c>
      <c r="J1603" s="13" t="s">
        <v>87</v>
      </c>
      <c r="K1603" s="13" t="s">
        <v>94</v>
      </c>
      <c r="L1603">
        <f>IF(COUNTIF(A$2:A1603, A1603)=1, IF(COUNTIF(A$2:A$2001, A1603)&gt;1, 1, 0), 0)</f>
        <v>0</v>
      </c>
      <c r="M1603" t="b">
        <f>VLOOKUP(D1603, Products!A$2:F$61, 6, FALSE)</f>
        <v>1</v>
      </c>
      <c r="N1603" t="str">
        <f>VLOOKUP(D1603, Products!A$2:C$61, 3, FALSE)</f>
        <v>Electronics</v>
      </c>
      <c r="O1603" t="str">
        <f>VLOOKUP(C1603, Customers!A$2:E$301, 5, FALSE)</f>
        <v>Retail</v>
      </c>
      <c r="P1603">
        <f>VLOOKUP(C1603, Customers!A$2:C$301, 3, FALSE)</f>
        <v>26</v>
      </c>
      <c r="Q1603" t="str">
        <f>VLOOKUP(E1603, Sales_Reps!A$2:C$31, 3, FALSE)</f>
        <v>East</v>
      </c>
      <c r="R1603">
        <f>VLOOKUP(D1603, Products!A$2:D$61, 4, FALSE)</f>
        <v>1665</v>
      </c>
    </row>
    <row r="1604" spans="1:18" x14ac:dyDescent="0.3">
      <c r="A1604" s="13" t="s">
        <v>2100</v>
      </c>
      <c r="B1604" s="14">
        <v>45581</v>
      </c>
      <c r="C1604" s="13" t="s">
        <v>592</v>
      </c>
      <c r="D1604" s="13" t="s">
        <v>120</v>
      </c>
      <c r="E1604" s="13" t="s">
        <v>346</v>
      </c>
      <c r="F1604" s="15">
        <v>10</v>
      </c>
      <c r="G1604" s="15">
        <v>1430</v>
      </c>
      <c r="H1604" s="15">
        <v>11.4</v>
      </c>
      <c r="I1604" s="15">
        <v>12669.8</v>
      </c>
      <c r="J1604" s="13" t="s">
        <v>140</v>
      </c>
      <c r="K1604" s="13" t="s">
        <v>133</v>
      </c>
      <c r="L1604">
        <f>IF(COUNTIF(A$2:A1604, A1604)=1, IF(COUNTIF(A$2:A$2001, A1604)&gt;1, 1, 0), 0)</f>
        <v>0</v>
      </c>
      <c r="M1604" t="b">
        <f>VLOOKUP(D1604, Products!A$2:F$61, 6, FALSE)</f>
        <v>1</v>
      </c>
      <c r="N1604" t="str">
        <f>VLOOKUP(D1604, Products!A$2:C$61, 3, FALSE)</f>
        <v>Electronics</v>
      </c>
      <c r="O1604" t="str">
        <f>VLOOKUP(C1604, Customers!A$2:E$301, 5, FALSE)</f>
        <v>Retail</v>
      </c>
      <c r="P1604">
        <f>VLOOKUP(C1604, Customers!A$2:C$301, 3, FALSE)</f>
        <v>22</v>
      </c>
      <c r="Q1604" t="str">
        <f>VLOOKUP(E1604, Sales_Reps!A$2:C$31, 3, FALSE)</f>
        <v>South</v>
      </c>
      <c r="R1604">
        <f>VLOOKUP(D1604, Products!A$2:D$61, 4, FALSE)</f>
        <v>861</v>
      </c>
    </row>
    <row r="1605" spans="1:18" x14ac:dyDescent="0.3">
      <c r="A1605" s="13" t="s">
        <v>2101</v>
      </c>
      <c r="B1605" s="14">
        <v>45643</v>
      </c>
      <c r="C1605" s="13" t="s">
        <v>823</v>
      </c>
      <c r="D1605" s="13" t="s">
        <v>115</v>
      </c>
      <c r="E1605" s="13" t="s">
        <v>252</v>
      </c>
      <c r="F1605" s="15">
        <v>7</v>
      </c>
      <c r="G1605" s="15">
        <v>960</v>
      </c>
      <c r="H1605" s="15">
        <v>22.9</v>
      </c>
      <c r="I1605" s="15">
        <v>5181.12</v>
      </c>
      <c r="J1605" s="13" t="s">
        <v>87</v>
      </c>
      <c r="K1605" s="13" t="s">
        <v>94</v>
      </c>
      <c r="L1605">
        <f>IF(COUNTIF(A$2:A1605, A1605)=1, IF(COUNTIF(A$2:A$2001, A1605)&gt;1, 1, 0), 0)</f>
        <v>0</v>
      </c>
      <c r="M1605" t="b">
        <f>VLOOKUP(D1605, Products!A$2:F$61, 6, FALSE)</f>
        <v>1</v>
      </c>
      <c r="N1605" t="str">
        <f>VLOOKUP(D1605, Products!A$2:C$61, 3, FALSE)</f>
        <v>Sports</v>
      </c>
      <c r="O1605" t="str">
        <f>VLOOKUP(C1605, Customers!A$2:E$301, 5, FALSE)</f>
        <v>Retail</v>
      </c>
      <c r="P1605">
        <f>VLOOKUP(C1605, Customers!A$2:C$301, 3, FALSE)</f>
        <v>32</v>
      </c>
      <c r="Q1605" t="str">
        <f>VLOOKUP(E1605, Sales_Reps!A$2:C$31, 3, FALSE)</f>
        <v>South</v>
      </c>
      <c r="R1605">
        <f>VLOOKUP(D1605, Products!A$2:D$61, 4, FALSE)</f>
        <v>705</v>
      </c>
    </row>
    <row r="1606" spans="1:18" x14ac:dyDescent="0.3">
      <c r="A1606" s="13" t="s">
        <v>2102</v>
      </c>
      <c r="B1606" s="14">
        <v>45606</v>
      </c>
      <c r="C1606" s="13" t="s">
        <v>1000</v>
      </c>
      <c r="D1606" s="13" t="s">
        <v>143</v>
      </c>
      <c r="E1606" s="13" t="s">
        <v>132</v>
      </c>
      <c r="F1606" s="15">
        <v>8</v>
      </c>
      <c r="G1606" s="15">
        <v>3250</v>
      </c>
      <c r="H1606" s="15">
        <v>1.9</v>
      </c>
      <c r="I1606" s="15">
        <v>25506</v>
      </c>
      <c r="J1606" s="13" t="s">
        <v>87</v>
      </c>
      <c r="K1606" s="13" t="s">
        <v>117</v>
      </c>
      <c r="L1606">
        <f>IF(COUNTIF(A$2:A1606, A1606)=1, IF(COUNTIF(A$2:A$2001, A1606)&gt;1, 1, 0), 0)</f>
        <v>0</v>
      </c>
      <c r="M1606" t="b">
        <f>VLOOKUP(D1606, Products!A$2:F$61, 6, FALSE)</f>
        <v>1</v>
      </c>
      <c r="N1606" t="str">
        <f>VLOOKUP(D1606, Products!A$2:C$61, 3, FALSE)</f>
        <v>Home</v>
      </c>
      <c r="O1606" t="str">
        <f>VLOOKUP(C1606, Customers!A$2:E$301, 5, FALSE)</f>
        <v>Retail</v>
      </c>
      <c r="P1606">
        <f>VLOOKUP(C1606, Customers!A$2:C$301, 3, FALSE)</f>
        <v>27</v>
      </c>
      <c r="Q1606" t="str">
        <f>VLOOKUP(E1606, Sales_Reps!A$2:C$31, 3, FALSE)</f>
        <v>South</v>
      </c>
      <c r="R1606">
        <f>VLOOKUP(D1606, Products!A$2:D$61, 4, FALSE)</f>
        <v>1556</v>
      </c>
    </row>
    <row r="1607" spans="1:18" x14ac:dyDescent="0.3">
      <c r="A1607" s="13" t="s">
        <v>2103</v>
      </c>
      <c r="B1607" s="14">
        <v>45356</v>
      </c>
      <c r="C1607" s="13" t="s">
        <v>628</v>
      </c>
      <c r="D1607" s="13" t="s">
        <v>161</v>
      </c>
      <c r="E1607" s="13" t="s">
        <v>303</v>
      </c>
      <c r="F1607" s="15">
        <v>9</v>
      </c>
      <c r="G1607" s="15">
        <v>3450</v>
      </c>
      <c r="H1607" s="15">
        <v>18</v>
      </c>
      <c r="I1607" s="15">
        <v>25461</v>
      </c>
      <c r="J1607" s="13" t="s">
        <v>87</v>
      </c>
      <c r="K1607" s="13" t="s">
        <v>133</v>
      </c>
      <c r="L1607">
        <f>IF(COUNTIF(A$2:A1607, A1607)=1, IF(COUNTIF(A$2:A$2001, A1607)&gt;1, 1, 0), 0)</f>
        <v>0</v>
      </c>
      <c r="M1607" t="b">
        <f>VLOOKUP(D1607, Products!A$2:F$61, 6, FALSE)</f>
        <v>1</v>
      </c>
      <c r="N1607" t="str">
        <f>VLOOKUP(D1607, Products!A$2:C$61, 3, FALSE)</f>
        <v>Sports</v>
      </c>
      <c r="O1607" t="str">
        <f>VLOOKUP(C1607, Customers!A$2:E$301, 5, FALSE)</f>
        <v>Corporate</v>
      </c>
      <c r="P1607">
        <f>VLOOKUP(C1607, Customers!A$2:C$301, 3, FALSE)</f>
        <v>22</v>
      </c>
      <c r="Q1607" t="str">
        <f>VLOOKUP(E1607, Sales_Reps!A$2:C$31, 3, FALSE)</f>
        <v>East</v>
      </c>
      <c r="R1607">
        <f>VLOOKUP(D1607, Products!A$2:D$61, 4, FALSE)</f>
        <v>2467</v>
      </c>
    </row>
    <row r="1608" spans="1:18" x14ac:dyDescent="0.3">
      <c r="A1608" s="13" t="s">
        <v>2104</v>
      </c>
      <c r="B1608" s="14">
        <v>45343</v>
      </c>
      <c r="C1608" s="13" t="s">
        <v>175</v>
      </c>
      <c r="D1608" s="13" t="s">
        <v>131</v>
      </c>
      <c r="E1608" s="13" t="s">
        <v>346</v>
      </c>
      <c r="F1608" s="15">
        <v>5</v>
      </c>
      <c r="G1608" s="15">
        <v>2270</v>
      </c>
      <c r="H1608" s="15">
        <v>11.5</v>
      </c>
      <c r="I1608" s="15">
        <v>10044.75</v>
      </c>
      <c r="J1608" s="13" t="s">
        <v>87</v>
      </c>
      <c r="K1608" s="13" t="s">
        <v>133</v>
      </c>
      <c r="L1608">
        <f>IF(COUNTIF(A$2:A1608, A1608)=1, IF(COUNTIF(A$2:A$2001, A1608)&gt;1, 1, 0), 0)</f>
        <v>0</v>
      </c>
      <c r="M1608" t="b">
        <f>VLOOKUP(D1608, Products!A$2:F$61, 6, FALSE)</f>
        <v>1</v>
      </c>
      <c r="N1608" t="str">
        <f>VLOOKUP(D1608, Products!A$2:C$61, 3, FALSE)</f>
        <v>Grocery</v>
      </c>
      <c r="O1608" t="str">
        <f>VLOOKUP(C1608, Customers!A$2:E$301, 5, FALSE)</f>
        <v>SMB</v>
      </c>
      <c r="P1608">
        <f>VLOOKUP(C1608, Customers!A$2:C$301, 3, FALSE)</f>
        <v>40</v>
      </c>
      <c r="Q1608" t="str">
        <f>VLOOKUP(E1608, Sales_Reps!A$2:C$31, 3, FALSE)</f>
        <v>South</v>
      </c>
      <c r="R1608">
        <f>VLOOKUP(D1608, Products!A$2:D$61, 4, FALSE)</f>
        <v>1203</v>
      </c>
    </row>
    <row r="1609" spans="1:18" x14ac:dyDescent="0.3">
      <c r="A1609" s="13" t="s">
        <v>2105</v>
      </c>
      <c r="B1609" s="14">
        <v>45449</v>
      </c>
      <c r="C1609" s="13" t="s">
        <v>895</v>
      </c>
      <c r="D1609" s="13" t="s">
        <v>276</v>
      </c>
      <c r="E1609" s="13" t="s">
        <v>121</v>
      </c>
      <c r="F1609" s="15">
        <v>6</v>
      </c>
      <c r="G1609" s="15">
        <v>3020</v>
      </c>
      <c r="H1609" s="15">
        <v>12.6</v>
      </c>
      <c r="I1609" s="15">
        <v>15836.88</v>
      </c>
      <c r="J1609" s="13" t="s">
        <v>87</v>
      </c>
      <c r="K1609" s="13" t="s">
        <v>117</v>
      </c>
      <c r="L1609">
        <f>IF(COUNTIF(A$2:A1609, A1609)=1, IF(COUNTIF(A$2:A$2001, A1609)&gt;1, 1, 0), 0)</f>
        <v>0</v>
      </c>
      <c r="M1609" t="b">
        <f>VLOOKUP(D1609, Products!A$2:F$61, 6, FALSE)</f>
        <v>1</v>
      </c>
      <c r="N1609" t="str">
        <f>VLOOKUP(D1609, Products!A$2:C$61, 3, FALSE)</f>
        <v>Beauty</v>
      </c>
      <c r="O1609" t="str">
        <f>VLOOKUP(C1609, Customers!A$2:E$301, 5, FALSE)</f>
        <v>Retail</v>
      </c>
      <c r="P1609">
        <f>VLOOKUP(C1609, Customers!A$2:C$301, 3, FALSE)</f>
        <v>46</v>
      </c>
      <c r="Q1609" t="str">
        <f>VLOOKUP(E1609, Sales_Reps!A$2:C$31, 3, FALSE)</f>
        <v>East</v>
      </c>
      <c r="R1609">
        <f>VLOOKUP(D1609, Products!A$2:D$61, 4, FALSE)</f>
        <v>1626</v>
      </c>
    </row>
    <row r="1610" spans="1:18" x14ac:dyDescent="0.3">
      <c r="A1610" s="13" t="s">
        <v>2106</v>
      </c>
      <c r="B1610" s="14">
        <v>45317</v>
      </c>
      <c r="C1610" s="13" t="s">
        <v>463</v>
      </c>
      <c r="D1610" s="13" t="s">
        <v>135</v>
      </c>
      <c r="E1610" s="13" t="s">
        <v>107</v>
      </c>
      <c r="F1610" s="15">
        <v>8</v>
      </c>
      <c r="G1610" s="15">
        <v>2640</v>
      </c>
      <c r="H1610" s="15">
        <v>14.5</v>
      </c>
      <c r="I1610" s="15">
        <v>18057.599999999999</v>
      </c>
      <c r="J1610" s="13" t="s">
        <v>144</v>
      </c>
      <c r="K1610" s="13" t="s">
        <v>117</v>
      </c>
      <c r="L1610">
        <f>IF(COUNTIF(A$2:A1610, A1610)=1, IF(COUNTIF(A$2:A$2001, A1610)&gt;1, 1, 0), 0)</f>
        <v>0</v>
      </c>
      <c r="M1610" t="b">
        <f>VLOOKUP(D1610, Products!A$2:F$61, 6, FALSE)</f>
        <v>1</v>
      </c>
      <c r="N1610" t="str">
        <f>VLOOKUP(D1610, Products!A$2:C$61, 3, FALSE)</f>
        <v>Electronics</v>
      </c>
      <c r="O1610" t="str">
        <f>VLOOKUP(C1610, Customers!A$2:E$301, 5, FALSE)</f>
        <v>Retail</v>
      </c>
      <c r="P1610">
        <f>VLOOKUP(C1610, Customers!A$2:C$301, 3, FALSE)</f>
        <v>55</v>
      </c>
      <c r="Q1610" t="str">
        <f>VLOOKUP(E1610, Sales_Reps!A$2:C$31, 3, FALSE)</f>
        <v>North</v>
      </c>
      <c r="R1610">
        <f>VLOOKUP(D1610, Products!A$2:D$61, 4, FALSE)</f>
        <v>1149</v>
      </c>
    </row>
    <row r="1611" spans="1:18" x14ac:dyDescent="0.3">
      <c r="A1611" s="13" t="s">
        <v>2107</v>
      </c>
      <c r="B1611" s="14">
        <v>45561</v>
      </c>
      <c r="C1611" s="13" t="s">
        <v>123</v>
      </c>
      <c r="D1611" s="13" t="s">
        <v>131</v>
      </c>
      <c r="E1611" s="13" t="s">
        <v>343</v>
      </c>
      <c r="F1611" s="15">
        <v>2</v>
      </c>
      <c r="G1611" s="15">
        <v>2270</v>
      </c>
      <c r="H1611" s="15">
        <v>27</v>
      </c>
      <c r="I1611" s="15">
        <v>3314.2</v>
      </c>
      <c r="J1611" s="13" t="s">
        <v>87</v>
      </c>
      <c r="K1611" s="13" t="s">
        <v>117</v>
      </c>
      <c r="L1611">
        <f>IF(COUNTIF(A$2:A1611, A1611)=1, IF(COUNTIF(A$2:A$2001, A1611)&gt;1, 1, 0), 0)</f>
        <v>0</v>
      </c>
      <c r="M1611" t="b">
        <f>VLOOKUP(D1611, Products!A$2:F$61, 6, FALSE)</f>
        <v>1</v>
      </c>
      <c r="N1611" t="str">
        <f>VLOOKUP(D1611, Products!A$2:C$61, 3, FALSE)</f>
        <v>Grocery</v>
      </c>
      <c r="O1611" t="str">
        <f>VLOOKUP(C1611, Customers!A$2:E$301, 5, FALSE)</f>
        <v>Retail</v>
      </c>
      <c r="P1611">
        <f>VLOOKUP(C1611, Customers!A$2:C$301, 3, FALSE)</f>
        <v>42</v>
      </c>
      <c r="Q1611" t="str">
        <f>VLOOKUP(E1611, Sales_Reps!A$2:C$31, 3, FALSE)</f>
        <v>West</v>
      </c>
      <c r="R1611">
        <f>VLOOKUP(D1611, Products!A$2:D$61, 4, FALSE)</f>
        <v>1203</v>
      </c>
    </row>
    <row r="1612" spans="1:18" x14ac:dyDescent="0.3">
      <c r="A1612" s="13" t="s">
        <v>2108</v>
      </c>
      <c r="B1612" s="14">
        <v>45636</v>
      </c>
      <c r="C1612" s="13" t="s">
        <v>105</v>
      </c>
      <c r="D1612" s="13" t="s">
        <v>200</v>
      </c>
      <c r="E1612" s="13" t="s">
        <v>343</v>
      </c>
      <c r="F1612" s="15">
        <v>8</v>
      </c>
      <c r="G1612" s="15">
        <v>2760</v>
      </c>
      <c r="H1612" s="15">
        <v>18</v>
      </c>
      <c r="I1612" s="15">
        <v>18105.599999999999</v>
      </c>
      <c r="J1612" s="13" t="s">
        <v>140</v>
      </c>
      <c r="K1612" s="13" t="s">
        <v>94</v>
      </c>
      <c r="L1612">
        <f>IF(COUNTIF(A$2:A1612, A1612)=1, IF(COUNTIF(A$2:A$2001, A1612)&gt;1, 1, 0), 0)</f>
        <v>0</v>
      </c>
      <c r="M1612" t="b">
        <f>VLOOKUP(D1612, Products!A$2:F$61, 6, FALSE)</f>
        <v>1</v>
      </c>
      <c r="N1612" t="str">
        <f>VLOOKUP(D1612, Products!A$2:C$61, 3, FALSE)</f>
        <v>Grocery</v>
      </c>
      <c r="O1612" t="str">
        <f>VLOOKUP(C1612, Customers!A$2:E$301, 5, FALSE)</f>
        <v>Retail</v>
      </c>
      <c r="P1612">
        <f>VLOOKUP(C1612, Customers!A$2:C$301, 3, FALSE)</f>
        <v>36</v>
      </c>
      <c r="Q1612" t="str">
        <f>VLOOKUP(E1612, Sales_Reps!A$2:C$31, 3, FALSE)</f>
        <v>West</v>
      </c>
      <c r="R1612">
        <f>VLOOKUP(D1612, Products!A$2:D$61, 4, FALSE)</f>
        <v>1435</v>
      </c>
    </row>
    <row r="1613" spans="1:18" x14ac:dyDescent="0.3">
      <c r="A1613" s="13" t="s">
        <v>2109</v>
      </c>
      <c r="B1613" s="14">
        <v>45398</v>
      </c>
      <c r="C1613" s="13" t="s">
        <v>669</v>
      </c>
      <c r="D1613" s="13" t="s">
        <v>85</v>
      </c>
      <c r="E1613" s="13" t="s">
        <v>154</v>
      </c>
      <c r="F1613" s="15">
        <v>8</v>
      </c>
      <c r="G1613" s="15">
        <v>3620</v>
      </c>
      <c r="H1613" s="15">
        <v>7.1</v>
      </c>
      <c r="I1613" s="15">
        <v>26903.84</v>
      </c>
      <c r="J1613" s="13" t="s">
        <v>87</v>
      </c>
      <c r="K1613" s="13" t="s">
        <v>133</v>
      </c>
      <c r="L1613">
        <f>IF(COUNTIF(A$2:A1613, A1613)=1, IF(COUNTIF(A$2:A$2001, A1613)&gt;1, 1, 0), 0)</f>
        <v>0</v>
      </c>
      <c r="M1613" t="b">
        <f>VLOOKUP(D1613, Products!A$2:F$61, 6, FALSE)</f>
        <v>1</v>
      </c>
      <c r="N1613" t="str">
        <f>VLOOKUP(D1613, Products!A$2:C$61, 3, FALSE)</f>
        <v>Apparel</v>
      </c>
      <c r="O1613" t="str">
        <f>VLOOKUP(C1613, Customers!A$2:E$301, 5, FALSE)</f>
        <v>Retail</v>
      </c>
      <c r="P1613">
        <f>VLOOKUP(C1613, Customers!A$2:C$301, 3, FALSE)</f>
        <v>31</v>
      </c>
      <c r="Q1613" t="str">
        <f>VLOOKUP(E1613, Sales_Reps!A$2:C$31, 3, FALSE)</f>
        <v>East</v>
      </c>
      <c r="R1613">
        <f>VLOOKUP(D1613, Products!A$2:D$61, 4, FALSE)</f>
        <v>2509</v>
      </c>
    </row>
    <row r="1614" spans="1:18" x14ac:dyDescent="0.3">
      <c r="A1614" s="13" t="s">
        <v>2110</v>
      </c>
      <c r="B1614" s="14">
        <v>45477</v>
      </c>
      <c r="C1614" s="13" t="s">
        <v>735</v>
      </c>
      <c r="D1614" s="13" t="s">
        <v>386</v>
      </c>
      <c r="E1614" s="13" t="s">
        <v>158</v>
      </c>
      <c r="F1614" s="15">
        <v>8</v>
      </c>
      <c r="G1614" s="15">
        <v>2290</v>
      </c>
      <c r="H1614" s="15">
        <v>16.399999999999999</v>
      </c>
      <c r="I1614" s="15">
        <v>15315.52</v>
      </c>
      <c r="J1614" s="13" t="s">
        <v>87</v>
      </c>
      <c r="K1614" s="13" t="s">
        <v>88</v>
      </c>
      <c r="L1614">
        <f>IF(COUNTIF(A$2:A1614, A1614)=1, IF(COUNTIF(A$2:A$2001, A1614)&gt;1, 1, 0), 0)</f>
        <v>0</v>
      </c>
      <c r="M1614" t="b">
        <f>VLOOKUP(D1614, Products!A$2:F$61, 6, FALSE)</f>
        <v>1</v>
      </c>
      <c r="N1614" t="str">
        <f>VLOOKUP(D1614, Products!A$2:C$61, 3, FALSE)</f>
        <v>Beauty</v>
      </c>
      <c r="O1614" t="str">
        <f>VLOOKUP(C1614, Customers!A$2:E$301, 5, FALSE)</f>
        <v>Retail</v>
      </c>
      <c r="P1614">
        <f>VLOOKUP(C1614, Customers!A$2:C$301, 3, FALSE)</f>
        <v>54</v>
      </c>
      <c r="Q1614" t="str">
        <f>VLOOKUP(E1614, Sales_Reps!A$2:C$31, 3, FALSE)</f>
        <v>East</v>
      </c>
      <c r="R1614">
        <f>VLOOKUP(D1614, Products!A$2:D$61, 4, FALSE)</f>
        <v>1219</v>
      </c>
    </row>
    <row r="1615" spans="1:18" x14ac:dyDescent="0.3">
      <c r="A1615" s="13" t="s">
        <v>2111</v>
      </c>
      <c r="B1615" s="14">
        <v>45462</v>
      </c>
      <c r="C1615" s="13" t="s">
        <v>841</v>
      </c>
      <c r="D1615" s="13" t="s">
        <v>176</v>
      </c>
      <c r="E1615" s="13" t="s">
        <v>121</v>
      </c>
      <c r="F1615" s="15">
        <v>3</v>
      </c>
      <c r="G1615" s="15">
        <v>1650</v>
      </c>
      <c r="H1615" s="15">
        <v>1.8</v>
      </c>
      <c r="I1615" s="15">
        <v>4860.8999999999996</v>
      </c>
      <c r="J1615" s="13" t="s">
        <v>140</v>
      </c>
      <c r="K1615" s="13" t="s">
        <v>117</v>
      </c>
      <c r="L1615">
        <f>IF(COUNTIF(A$2:A1615, A1615)=1, IF(COUNTIF(A$2:A$2001, A1615)&gt;1, 1, 0), 0)</f>
        <v>0</v>
      </c>
      <c r="M1615" t="b">
        <f>VLOOKUP(D1615, Products!A$2:F$61, 6, FALSE)</f>
        <v>1</v>
      </c>
      <c r="N1615" t="str">
        <f>VLOOKUP(D1615, Products!A$2:C$61, 3, FALSE)</f>
        <v>Beauty</v>
      </c>
      <c r="O1615" t="str">
        <f>VLOOKUP(C1615, Customers!A$2:E$301, 5, FALSE)</f>
        <v>Corporate</v>
      </c>
      <c r="P1615">
        <f>VLOOKUP(C1615, Customers!A$2:C$301, 3, FALSE)</f>
        <v>41</v>
      </c>
      <c r="Q1615" t="str">
        <f>VLOOKUP(E1615, Sales_Reps!A$2:C$31, 3, FALSE)</f>
        <v>East</v>
      </c>
      <c r="R1615">
        <f>VLOOKUP(D1615, Products!A$2:D$61, 4, FALSE)</f>
        <v>1222</v>
      </c>
    </row>
    <row r="1616" spans="1:18" x14ac:dyDescent="0.3">
      <c r="A1616" s="13" t="s">
        <v>2112</v>
      </c>
      <c r="B1616" s="14">
        <v>45642</v>
      </c>
      <c r="C1616" s="13" t="s">
        <v>520</v>
      </c>
      <c r="D1616" s="13" t="s">
        <v>364</v>
      </c>
      <c r="E1616" s="13" t="s">
        <v>303</v>
      </c>
      <c r="F1616" s="15">
        <v>3</v>
      </c>
      <c r="G1616" s="15">
        <v>5330</v>
      </c>
      <c r="H1616" s="15">
        <v>22.2</v>
      </c>
      <c r="I1616" s="15">
        <v>12440.22</v>
      </c>
      <c r="J1616" s="13" t="s">
        <v>87</v>
      </c>
      <c r="K1616" s="13" t="s">
        <v>112</v>
      </c>
      <c r="L1616">
        <f>IF(COUNTIF(A$2:A1616, A1616)=1, IF(COUNTIF(A$2:A$2001, A1616)&gt;1, 1, 0), 0)</f>
        <v>0</v>
      </c>
      <c r="M1616" t="b">
        <f>VLOOKUP(D1616, Products!A$2:F$61, 6, FALSE)</f>
        <v>1</v>
      </c>
      <c r="N1616" t="str">
        <f>VLOOKUP(D1616, Products!A$2:C$61, 3, FALSE)</f>
        <v>Electronics</v>
      </c>
      <c r="O1616" t="str">
        <f>VLOOKUP(C1616, Customers!A$2:E$301, 5, FALSE)</f>
        <v>Corporate</v>
      </c>
      <c r="P1616">
        <f>VLOOKUP(C1616, Customers!A$2:C$301, 3, FALSE)</f>
        <v>35</v>
      </c>
      <c r="Q1616" t="str">
        <f>VLOOKUP(E1616, Sales_Reps!A$2:C$31, 3, FALSE)</f>
        <v>East</v>
      </c>
      <c r="R1616">
        <f>VLOOKUP(D1616, Products!A$2:D$61, 4, FALSE)</f>
        <v>2405</v>
      </c>
    </row>
    <row r="1617" spans="1:18" x14ac:dyDescent="0.3">
      <c r="A1617" s="13" t="s">
        <v>2113</v>
      </c>
      <c r="B1617" s="14">
        <v>45534</v>
      </c>
      <c r="C1617" s="13" t="s">
        <v>686</v>
      </c>
      <c r="D1617" s="13" t="s">
        <v>164</v>
      </c>
      <c r="E1617" s="13" t="s">
        <v>285</v>
      </c>
      <c r="F1617" s="15">
        <v>7</v>
      </c>
      <c r="G1617" s="15">
        <v>1080</v>
      </c>
      <c r="H1617" s="15">
        <v>17.899999999999999</v>
      </c>
      <c r="I1617" s="15">
        <v>6206.76</v>
      </c>
      <c r="J1617" s="13" t="s">
        <v>87</v>
      </c>
      <c r="K1617" s="13" t="s">
        <v>112</v>
      </c>
      <c r="L1617">
        <f>IF(COUNTIF(A$2:A1617, A1617)=1, IF(COUNTIF(A$2:A$2001, A1617)&gt;1, 1, 0), 0)</f>
        <v>0</v>
      </c>
      <c r="M1617" t="b">
        <f>VLOOKUP(D1617, Products!A$2:F$61, 6, FALSE)</f>
        <v>1</v>
      </c>
      <c r="N1617" t="str">
        <f>VLOOKUP(D1617, Products!A$2:C$61, 3, FALSE)</f>
        <v>Home</v>
      </c>
      <c r="O1617" t="str">
        <f>VLOOKUP(C1617, Customers!A$2:E$301, 5, FALSE)</f>
        <v>Retail</v>
      </c>
      <c r="P1617">
        <f>VLOOKUP(C1617, Customers!A$2:C$301, 3, FALSE)</f>
        <v>35</v>
      </c>
      <c r="Q1617" t="str">
        <f>VLOOKUP(E1617, Sales_Reps!A$2:C$31, 3, FALSE)</f>
        <v>East</v>
      </c>
      <c r="R1617">
        <f>VLOOKUP(D1617, Products!A$2:D$61, 4, FALSE)</f>
        <v>519</v>
      </c>
    </row>
    <row r="1618" spans="1:18" x14ac:dyDescent="0.3">
      <c r="A1618" s="13" t="s">
        <v>2114</v>
      </c>
      <c r="B1618" s="14">
        <v>45460</v>
      </c>
      <c r="C1618" s="13" t="s">
        <v>101</v>
      </c>
      <c r="D1618" s="13" t="s">
        <v>267</v>
      </c>
      <c r="E1618" s="13" t="s">
        <v>285</v>
      </c>
      <c r="F1618" s="15">
        <v>10</v>
      </c>
      <c r="G1618" s="15">
        <v>1220</v>
      </c>
      <c r="H1618" s="15">
        <v>5.7</v>
      </c>
      <c r="I1618" s="15">
        <v>11504.6</v>
      </c>
      <c r="J1618" s="13" t="s">
        <v>87</v>
      </c>
      <c r="K1618" s="13" t="s">
        <v>99</v>
      </c>
      <c r="L1618">
        <f>IF(COUNTIF(A$2:A1618, A1618)=1, IF(COUNTIF(A$2:A$2001, A1618)&gt;1, 1, 0), 0)</f>
        <v>0</v>
      </c>
      <c r="M1618" t="b">
        <f>VLOOKUP(D1618, Products!A$2:F$61, 6, FALSE)</f>
        <v>1</v>
      </c>
      <c r="N1618" t="str">
        <f>VLOOKUP(D1618, Products!A$2:C$61, 3, FALSE)</f>
        <v>Electronics</v>
      </c>
      <c r="O1618" t="str">
        <f>VLOOKUP(C1618, Customers!A$2:E$301, 5, FALSE)</f>
        <v>Corporate</v>
      </c>
      <c r="P1618">
        <f>VLOOKUP(C1618, Customers!A$2:C$301, 3, FALSE)</f>
        <v>46</v>
      </c>
      <c r="Q1618" t="str">
        <f>VLOOKUP(E1618, Sales_Reps!A$2:C$31, 3, FALSE)</f>
        <v>East</v>
      </c>
      <c r="R1618">
        <f>VLOOKUP(D1618, Products!A$2:D$61, 4, FALSE)</f>
        <v>517</v>
      </c>
    </row>
    <row r="1619" spans="1:18" x14ac:dyDescent="0.3">
      <c r="A1619" s="13" t="s">
        <v>2115</v>
      </c>
      <c r="B1619" s="14">
        <v>45648</v>
      </c>
      <c r="C1619" s="13" t="s">
        <v>305</v>
      </c>
      <c r="D1619" s="13" t="s">
        <v>203</v>
      </c>
      <c r="E1619" s="13" t="s">
        <v>170</v>
      </c>
      <c r="F1619" s="15">
        <v>10</v>
      </c>
      <c r="G1619" s="15">
        <v>660</v>
      </c>
      <c r="H1619" s="15">
        <v>7.5</v>
      </c>
      <c r="I1619" s="15">
        <v>6105</v>
      </c>
      <c r="J1619" s="13" t="s">
        <v>87</v>
      </c>
      <c r="K1619" s="13" t="s">
        <v>133</v>
      </c>
      <c r="L1619">
        <f>IF(COUNTIF(A$2:A1619, A1619)=1, IF(COUNTIF(A$2:A$2001, A1619)&gt;1, 1, 0), 0)</f>
        <v>0</v>
      </c>
      <c r="M1619" t="b">
        <f>VLOOKUP(D1619, Products!A$2:F$61, 6, FALSE)</f>
        <v>1</v>
      </c>
      <c r="N1619" t="str">
        <f>VLOOKUP(D1619, Products!A$2:C$61, 3, FALSE)</f>
        <v>Home</v>
      </c>
      <c r="O1619" t="str">
        <f>VLOOKUP(C1619, Customers!A$2:E$301, 5, FALSE)</f>
        <v>Corporate</v>
      </c>
      <c r="P1619">
        <f>VLOOKUP(C1619, Customers!A$2:C$301, 3, FALSE)</f>
        <v>46</v>
      </c>
      <c r="Q1619" t="str">
        <f>VLOOKUP(E1619, Sales_Reps!A$2:C$31, 3, FALSE)</f>
        <v>West</v>
      </c>
      <c r="R1619">
        <f>VLOOKUP(D1619, Products!A$2:D$61, 4, FALSE)</f>
        <v>329</v>
      </c>
    </row>
    <row r="1620" spans="1:18" x14ac:dyDescent="0.3">
      <c r="A1620" s="13" t="s">
        <v>2116</v>
      </c>
      <c r="B1620" s="14">
        <v>45557</v>
      </c>
      <c r="C1620" s="13" t="s">
        <v>948</v>
      </c>
      <c r="D1620" s="13" t="s">
        <v>164</v>
      </c>
      <c r="E1620" s="13" t="s">
        <v>192</v>
      </c>
      <c r="F1620" s="15">
        <v>6</v>
      </c>
      <c r="G1620" s="15">
        <v>1080</v>
      </c>
      <c r="H1620" s="15">
        <v>28.9</v>
      </c>
      <c r="I1620" s="15">
        <v>4607.28</v>
      </c>
      <c r="J1620" s="13" t="s">
        <v>87</v>
      </c>
      <c r="K1620" s="13" t="s">
        <v>88</v>
      </c>
      <c r="L1620">
        <f>IF(COUNTIF(A$2:A1620, A1620)=1, IF(COUNTIF(A$2:A$2001, A1620)&gt;1, 1, 0), 0)</f>
        <v>0</v>
      </c>
      <c r="M1620" t="b">
        <f>VLOOKUP(D1620, Products!A$2:F$61, 6, FALSE)</f>
        <v>1</v>
      </c>
      <c r="N1620" t="str">
        <f>VLOOKUP(D1620, Products!A$2:C$61, 3, FALSE)</f>
        <v>Home</v>
      </c>
      <c r="O1620" t="str">
        <f>VLOOKUP(C1620, Customers!A$2:E$301, 5, FALSE)</f>
        <v>Retail</v>
      </c>
      <c r="P1620">
        <f>VLOOKUP(C1620, Customers!A$2:C$301, 3, FALSE)</f>
        <v>65</v>
      </c>
      <c r="Q1620" t="str">
        <f>VLOOKUP(E1620, Sales_Reps!A$2:C$31, 3, FALSE)</f>
        <v>East</v>
      </c>
      <c r="R1620">
        <f>VLOOKUP(D1620, Products!A$2:D$61, 4, FALSE)</f>
        <v>519</v>
      </c>
    </row>
    <row r="1621" spans="1:18" x14ac:dyDescent="0.3">
      <c r="A1621" s="13" t="s">
        <v>2117</v>
      </c>
      <c r="B1621" s="14">
        <v>45584</v>
      </c>
      <c r="C1621" s="13" t="s">
        <v>589</v>
      </c>
      <c r="D1621" s="13" t="s">
        <v>245</v>
      </c>
      <c r="E1621" s="13" t="s">
        <v>192</v>
      </c>
      <c r="F1621" s="15">
        <v>7</v>
      </c>
      <c r="G1621" s="15">
        <v>2270</v>
      </c>
      <c r="H1621" s="15">
        <v>1.4</v>
      </c>
      <c r="I1621" s="15">
        <v>15667.54</v>
      </c>
      <c r="J1621" s="13" t="s">
        <v>87</v>
      </c>
      <c r="K1621" s="13" t="s">
        <v>94</v>
      </c>
      <c r="L1621">
        <f>IF(COUNTIF(A$2:A1621, A1621)=1, IF(COUNTIF(A$2:A$2001, A1621)&gt;1, 1, 0), 0)</f>
        <v>0</v>
      </c>
      <c r="M1621" t="b">
        <f>VLOOKUP(D1621, Products!A$2:F$61, 6, FALSE)</f>
        <v>1</v>
      </c>
      <c r="N1621" t="str">
        <f>VLOOKUP(D1621, Products!A$2:C$61, 3, FALSE)</f>
        <v>Grocery</v>
      </c>
      <c r="O1621" t="str">
        <f>VLOOKUP(C1621, Customers!A$2:E$301, 5, FALSE)</f>
        <v>Corporate</v>
      </c>
      <c r="P1621">
        <f>VLOOKUP(C1621, Customers!A$2:C$301, 3, FALSE)</f>
        <v>30</v>
      </c>
      <c r="Q1621" t="str">
        <f>VLOOKUP(E1621, Sales_Reps!A$2:C$31, 3, FALSE)</f>
        <v>East</v>
      </c>
      <c r="R1621">
        <f>VLOOKUP(D1621, Products!A$2:D$61, 4, FALSE)</f>
        <v>1412</v>
      </c>
    </row>
    <row r="1622" spans="1:18" x14ac:dyDescent="0.3">
      <c r="A1622" s="13" t="s">
        <v>2118</v>
      </c>
      <c r="B1622" s="14">
        <v>45475</v>
      </c>
      <c r="C1622" s="13" t="s">
        <v>781</v>
      </c>
      <c r="D1622" s="13" t="s">
        <v>110</v>
      </c>
      <c r="E1622" s="13" t="s">
        <v>128</v>
      </c>
      <c r="F1622" s="15">
        <v>3</v>
      </c>
      <c r="G1622" s="15">
        <v>370</v>
      </c>
      <c r="H1622" s="15">
        <v>9.6</v>
      </c>
      <c r="I1622" s="15">
        <v>1003.44</v>
      </c>
      <c r="J1622" s="13" t="s">
        <v>144</v>
      </c>
      <c r="K1622" s="13" t="s">
        <v>99</v>
      </c>
      <c r="L1622">
        <f>IF(COUNTIF(A$2:A1622, A1622)=1, IF(COUNTIF(A$2:A$2001, A1622)&gt;1, 1, 0), 0)</f>
        <v>0</v>
      </c>
      <c r="M1622" t="b">
        <f>VLOOKUP(D1622, Products!A$2:F$61, 6, FALSE)</f>
        <v>1</v>
      </c>
      <c r="N1622" t="str">
        <f>VLOOKUP(D1622, Products!A$2:C$61, 3, FALSE)</f>
        <v>Home</v>
      </c>
      <c r="O1622" t="str">
        <f>VLOOKUP(C1622, Customers!A$2:E$301, 5, FALSE)</f>
        <v>SMB</v>
      </c>
      <c r="P1622">
        <f>VLOOKUP(C1622, Customers!A$2:C$301, 3, FALSE)</f>
        <v>29</v>
      </c>
      <c r="Q1622" t="str">
        <f>VLOOKUP(E1622, Sales_Reps!A$2:C$31, 3, FALSE)</f>
        <v>West</v>
      </c>
      <c r="R1622">
        <f>VLOOKUP(D1622, Products!A$2:D$61, 4, FALSE)</f>
        <v>288</v>
      </c>
    </row>
    <row r="1623" spans="1:18" x14ac:dyDescent="0.3">
      <c r="A1623" s="13" t="s">
        <v>2119</v>
      </c>
      <c r="B1623" s="14">
        <v>45365</v>
      </c>
      <c r="C1623" s="13" t="s">
        <v>874</v>
      </c>
      <c r="D1623" s="13" t="s">
        <v>127</v>
      </c>
      <c r="E1623" s="13" t="s">
        <v>204</v>
      </c>
      <c r="F1623" s="15">
        <v>9</v>
      </c>
      <c r="G1623" s="15">
        <v>970</v>
      </c>
      <c r="H1623" s="15">
        <v>29.7</v>
      </c>
      <c r="I1623" s="15">
        <v>6137.19</v>
      </c>
      <c r="J1623" s="13" t="s">
        <v>87</v>
      </c>
      <c r="K1623" s="13" t="s">
        <v>112</v>
      </c>
      <c r="L1623">
        <f>IF(COUNTIF(A$2:A1623, A1623)=1, IF(COUNTIF(A$2:A$2001, A1623)&gt;1, 1, 0), 0)</f>
        <v>0</v>
      </c>
      <c r="M1623" t="b">
        <f>VLOOKUP(D1623, Products!A$2:F$61, 6, FALSE)</f>
        <v>1</v>
      </c>
      <c r="N1623" t="str">
        <f>VLOOKUP(D1623, Products!A$2:C$61, 3, FALSE)</f>
        <v>Grocery</v>
      </c>
      <c r="O1623" t="str">
        <f>VLOOKUP(C1623, Customers!A$2:E$301, 5, FALSE)</f>
        <v>Retail</v>
      </c>
      <c r="P1623">
        <f>VLOOKUP(C1623, Customers!A$2:C$301, 3, FALSE)</f>
        <v>57</v>
      </c>
      <c r="Q1623" t="str">
        <f>VLOOKUP(E1623, Sales_Reps!A$2:C$31, 3, FALSE)</f>
        <v>South</v>
      </c>
      <c r="R1623">
        <f>VLOOKUP(D1623, Products!A$2:D$61, 4, FALSE)</f>
        <v>434</v>
      </c>
    </row>
    <row r="1624" spans="1:18" x14ac:dyDescent="0.3">
      <c r="A1624" s="13" t="s">
        <v>1070</v>
      </c>
      <c r="B1624" s="14">
        <v>45405</v>
      </c>
      <c r="C1624" s="13" t="s">
        <v>945</v>
      </c>
      <c r="D1624" s="13" t="s">
        <v>292</v>
      </c>
      <c r="E1624" s="13" t="s">
        <v>148</v>
      </c>
      <c r="F1624" s="15">
        <v>1</v>
      </c>
      <c r="G1624" s="15">
        <v>620</v>
      </c>
      <c r="H1624" s="15">
        <v>10.4</v>
      </c>
      <c r="I1624" s="15">
        <v>555.52</v>
      </c>
      <c r="J1624" s="13" t="s">
        <v>140</v>
      </c>
      <c r="K1624" s="13" t="s">
        <v>88</v>
      </c>
      <c r="L1624">
        <f>IF(COUNTIF(A$2:A1624, A1624)=1, IF(COUNTIF(A$2:A$2001, A1624)&gt;1, 1, 0), 0)</f>
        <v>0</v>
      </c>
      <c r="M1624" t="b">
        <f>VLOOKUP(D1624, Products!A$2:F$61, 6, FALSE)</f>
        <v>1</v>
      </c>
      <c r="N1624" t="str">
        <f>VLOOKUP(D1624, Products!A$2:C$61, 3, FALSE)</f>
        <v>Apparel</v>
      </c>
      <c r="O1624" t="str">
        <f>VLOOKUP(C1624, Customers!A$2:E$301, 5, FALSE)</f>
        <v>Retail</v>
      </c>
      <c r="P1624">
        <f>VLOOKUP(C1624, Customers!A$2:C$301, 3, FALSE)</f>
        <v>54</v>
      </c>
      <c r="Q1624" t="str">
        <f>VLOOKUP(E1624, Sales_Reps!A$2:C$31, 3, FALSE)</f>
        <v>North</v>
      </c>
      <c r="R1624">
        <f>VLOOKUP(D1624, Products!A$2:D$61, 4, FALSE)</f>
        <v>396</v>
      </c>
    </row>
    <row r="1625" spans="1:18" x14ac:dyDescent="0.3">
      <c r="A1625" s="13" t="s">
        <v>2120</v>
      </c>
      <c r="B1625" s="14">
        <v>45533</v>
      </c>
      <c r="C1625" s="13" t="s">
        <v>872</v>
      </c>
      <c r="D1625" s="13" t="s">
        <v>102</v>
      </c>
      <c r="E1625" s="13" t="s">
        <v>229</v>
      </c>
      <c r="F1625" s="15">
        <v>5</v>
      </c>
      <c r="G1625" s="15">
        <v>3660</v>
      </c>
      <c r="H1625" s="15">
        <v>8</v>
      </c>
      <c r="I1625" s="15">
        <v>16836</v>
      </c>
      <c r="J1625" s="13" t="s">
        <v>87</v>
      </c>
      <c r="K1625" s="13" t="s">
        <v>112</v>
      </c>
      <c r="L1625">
        <f>IF(COUNTIF(A$2:A1625, A1625)=1, IF(COUNTIF(A$2:A$2001, A1625)&gt;1, 1, 0), 0)</f>
        <v>0</v>
      </c>
      <c r="M1625" t="b">
        <f>VLOOKUP(D1625, Products!A$2:F$61, 6, FALSE)</f>
        <v>0</v>
      </c>
      <c r="N1625" t="str">
        <f>VLOOKUP(D1625, Products!A$2:C$61, 3, FALSE)</f>
        <v>Grocery</v>
      </c>
      <c r="O1625" t="str">
        <f>VLOOKUP(C1625, Customers!A$2:E$301, 5, FALSE)</f>
        <v>Corporate</v>
      </c>
      <c r="P1625">
        <f>VLOOKUP(C1625, Customers!A$2:C$301, 3, FALSE)</f>
        <v>62</v>
      </c>
      <c r="Q1625" t="str">
        <f>VLOOKUP(E1625, Sales_Reps!A$2:C$31, 3, FALSE)</f>
        <v>West</v>
      </c>
      <c r="R1625">
        <f>VLOOKUP(D1625, Products!A$2:D$61, 4, FALSE)</f>
        <v>2214</v>
      </c>
    </row>
    <row r="1626" spans="1:18" x14ac:dyDescent="0.3">
      <c r="A1626" s="13" t="s">
        <v>2121</v>
      </c>
      <c r="B1626" s="14">
        <v>45628</v>
      </c>
      <c r="C1626" s="13" t="s">
        <v>101</v>
      </c>
      <c r="D1626" s="13" t="s">
        <v>338</v>
      </c>
      <c r="E1626" s="13" t="s">
        <v>116</v>
      </c>
      <c r="F1626" s="15">
        <v>7</v>
      </c>
      <c r="G1626" s="15">
        <v>2210</v>
      </c>
      <c r="H1626" s="15">
        <v>13.7</v>
      </c>
      <c r="I1626" s="15">
        <v>13350.61</v>
      </c>
      <c r="J1626" s="13" t="s">
        <v>144</v>
      </c>
      <c r="K1626" s="13" t="s">
        <v>99</v>
      </c>
      <c r="L1626">
        <f>IF(COUNTIF(A$2:A1626, A1626)=1, IF(COUNTIF(A$2:A$2001, A1626)&gt;1, 1, 0), 0)</f>
        <v>0</v>
      </c>
      <c r="M1626" t="b">
        <f>VLOOKUP(D1626, Products!A$2:F$61, 6, FALSE)</f>
        <v>1</v>
      </c>
      <c r="N1626" t="str">
        <f>VLOOKUP(D1626, Products!A$2:C$61, 3, FALSE)</f>
        <v>Grocery</v>
      </c>
      <c r="O1626" t="str">
        <f>VLOOKUP(C1626, Customers!A$2:E$301, 5, FALSE)</f>
        <v>Corporate</v>
      </c>
      <c r="P1626">
        <f>VLOOKUP(C1626, Customers!A$2:C$301, 3, FALSE)</f>
        <v>46</v>
      </c>
      <c r="Q1626" t="str">
        <f>VLOOKUP(E1626, Sales_Reps!A$2:C$31, 3, FALSE)</f>
        <v>West</v>
      </c>
      <c r="R1626">
        <f>VLOOKUP(D1626, Products!A$2:D$61, 4, FALSE)</f>
        <v>1010</v>
      </c>
    </row>
    <row r="1627" spans="1:18" x14ac:dyDescent="0.3">
      <c r="A1627" s="13" t="s">
        <v>2122</v>
      </c>
      <c r="B1627" s="14">
        <v>45631</v>
      </c>
      <c r="C1627" s="13" t="s">
        <v>705</v>
      </c>
      <c r="D1627" s="13" t="s">
        <v>461</v>
      </c>
      <c r="E1627" s="13" t="s">
        <v>128</v>
      </c>
      <c r="F1627" s="15">
        <v>1</v>
      </c>
      <c r="G1627" s="15">
        <v>3780</v>
      </c>
      <c r="H1627" s="15">
        <v>11.5</v>
      </c>
      <c r="I1627" s="15">
        <v>3345.3</v>
      </c>
      <c r="J1627" s="13" t="s">
        <v>87</v>
      </c>
      <c r="K1627" s="13" t="s">
        <v>99</v>
      </c>
      <c r="L1627">
        <f>IF(COUNTIF(A$2:A1627, A1627)=1, IF(COUNTIF(A$2:A$2001, A1627)&gt;1, 1, 0), 0)</f>
        <v>0</v>
      </c>
      <c r="M1627" t="b">
        <f>VLOOKUP(D1627, Products!A$2:F$61, 6, FALSE)</f>
        <v>1</v>
      </c>
      <c r="N1627" t="str">
        <f>VLOOKUP(D1627, Products!A$2:C$61, 3, FALSE)</f>
        <v>Sports</v>
      </c>
      <c r="O1627" t="str">
        <f>VLOOKUP(C1627, Customers!A$2:E$301, 5, FALSE)</f>
        <v>Retail</v>
      </c>
      <c r="P1627">
        <f>VLOOKUP(C1627, Customers!A$2:C$301, 3, FALSE)</f>
        <v>53</v>
      </c>
      <c r="Q1627" t="str">
        <f>VLOOKUP(E1627, Sales_Reps!A$2:C$31, 3, FALSE)</f>
        <v>West</v>
      </c>
      <c r="R1627">
        <f>VLOOKUP(D1627, Products!A$2:D$61, 4, FALSE)</f>
        <v>1860</v>
      </c>
    </row>
    <row r="1628" spans="1:18" x14ac:dyDescent="0.3">
      <c r="A1628" s="13" t="s">
        <v>2123</v>
      </c>
      <c r="B1628" s="14">
        <v>45601</v>
      </c>
      <c r="C1628" s="13" t="s">
        <v>291</v>
      </c>
      <c r="D1628" s="13" t="s">
        <v>138</v>
      </c>
      <c r="E1628" s="13" t="s">
        <v>92</v>
      </c>
      <c r="F1628" s="15">
        <v>10</v>
      </c>
      <c r="G1628" s="15">
        <v>2600</v>
      </c>
      <c r="H1628" s="15">
        <v>29.4</v>
      </c>
      <c r="I1628" s="15">
        <v>18356</v>
      </c>
      <c r="J1628" s="13" t="s">
        <v>87</v>
      </c>
      <c r="K1628" s="13" t="s">
        <v>99</v>
      </c>
      <c r="L1628">
        <f>IF(COUNTIF(A$2:A1628, A1628)=1, IF(COUNTIF(A$2:A$2001, A1628)&gt;1, 1, 0), 0)</f>
        <v>0</v>
      </c>
      <c r="M1628" t="b">
        <f>VLOOKUP(D1628, Products!A$2:F$61, 6, FALSE)</f>
        <v>1</v>
      </c>
      <c r="N1628" t="str">
        <f>VLOOKUP(D1628, Products!A$2:C$61, 3, FALSE)</f>
        <v>Electronics</v>
      </c>
      <c r="O1628" t="str">
        <f>VLOOKUP(C1628, Customers!A$2:E$301, 5, FALSE)</f>
        <v>Retail</v>
      </c>
      <c r="P1628">
        <f>VLOOKUP(C1628, Customers!A$2:C$301, 3, FALSE)</f>
        <v>35</v>
      </c>
      <c r="Q1628" t="str">
        <f>VLOOKUP(E1628, Sales_Reps!A$2:C$31, 3, FALSE)</f>
        <v>North</v>
      </c>
      <c r="R1628">
        <f>VLOOKUP(D1628, Products!A$2:D$61, 4, FALSE)</f>
        <v>1052</v>
      </c>
    </row>
    <row r="1629" spans="1:18" x14ac:dyDescent="0.3">
      <c r="A1629" s="13" t="s">
        <v>2124</v>
      </c>
      <c r="B1629" s="14">
        <v>45365</v>
      </c>
      <c r="C1629" s="13" t="s">
        <v>551</v>
      </c>
      <c r="D1629" s="13" t="s">
        <v>234</v>
      </c>
      <c r="E1629" s="13" t="s">
        <v>238</v>
      </c>
      <c r="F1629" s="15">
        <v>3</v>
      </c>
      <c r="G1629" s="15">
        <v>3780</v>
      </c>
      <c r="H1629" s="15">
        <v>14.4</v>
      </c>
      <c r="I1629" s="15">
        <v>9707.0400000000009</v>
      </c>
      <c r="J1629" s="13" t="s">
        <v>87</v>
      </c>
      <c r="K1629" s="13" t="s">
        <v>112</v>
      </c>
      <c r="L1629">
        <f>IF(COUNTIF(A$2:A1629, A1629)=1, IF(COUNTIF(A$2:A$2001, A1629)&gt;1, 1, 0), 0)</f>
        <v>0</v>
      </c>
      <c r="M1629" t="b">
        <f>VLOOKUP(D1629, Products!A$2:F$61, 6, FALSE)</f>
        <v>1</v>
      </c>
      <c r="N1629" t="str">
        <f>VLOOKUP(D1629, Products!A$2:C$61, 3, FALSE)</f>
        <v>Grocery</v>
      </c>
      <c r="O1629" t="str">
        <f>VLOOKUP(C1629, Customers!A$2:E$301, 5, FALSE)</f>
        <v>Corporate</v>
      </c>
      <c r="P1629">
        <f>VLOOKUP(C1629, Customers!A$2:C$301, 3, FALSE)</f>
        <v>60</v>
      </c>
      <c r="Q1629" t="str">
        <f>VLOOKUP(E1629, Sales_Reps!A$2:C$31, 3, FALSE)</f>
        <v>East</v>
      </c>
      <c r="R1629">
        <f>VLOOKUP(D1629, Products!A$2:D$61, 4, FALSE)</f>
        <v>2436</v>
      </c>
    </row>
    <row r="1630" spans="1:18" x14ac:dyDescent="0.3">
      <c r="A1630" s="13" t="s">
        <v>2125</v>
      </c>
      <c r="B1630" s="14">
        <v>45421</v>
      </c>
      <c r="C1630" s="13" t="s">
        <v>250</v>
      </c>
      <c r="D1630" s="13" t="s">
        <v>135</v>
      </c>
      <c r="E1630" s="13" t="s">
        <v>148</v>
      </c>
      <c r="F1630" s="15">
        <v>10</v>
      </c>
      <c r="G1630" s="15">
        <v>2640</v>
      </c>
      <c r="H1630" s="15">
        <v>26.8</v>
      </c>
      <c r="I1630" s="15">
        <v>19324.8</v>
      </c>
      <c r="J1630" s="13" t="s">
        <v>93</v>
      </c>
      <c r="K1630" s="13" t="s">
        <v>117</v>
      </c>
      <c r="L1630">
        <f>IF(COUNTIF(A$2:A1630, A1630)=1, IF(COUNTIF(A$2:A$2001, A1630)&gt;1, 1, 0), 0)</f>
        <v>0</v>
      </c>
      <c r="M1630" t="b">
        <f>VLOOKUP(D1630, Products!A$2:F$61, 6, FALSE)</f>
        <v>1</v>
      </c>
      <c r="N1630" t="str">
        <f>VLOOKUP(D1630, Products!A$2:C$61, 3, FALSE)</f>
        <v>Electronics</v>
      </c>
      <c r="O1630" t="str">
        <f>VLOOKUP(C1630, Customers!A$2:E$301, 5, FALSE)</f>
        <v>SMB</v>
      </c>
      <c r="P1630">
        <f>VLOOKUP(C1630, Customers!A$2:C$301, 3, FALSE)</f>
        <v>34</v>
      </c>
      <c r="Q1630" t="str">
        <f>VLOOKUP(E1630, Sales_Reps!A$2:C$31, 3, FALSE)</f>
        <v>North</v>
      </c>
      <c r="R1630">
        <f>VLOOKUP(D1630, Products!A$2:D$61, 4, FALSE)</f>
        <v>1149</v>
      </c>
    </row>
    <row r="1631" spans="1:18" x14ac:dyDescent="0.3">
      <c r="A1631" s="13" t="s">
        <v>2126</v>
      </c>
      <c r="B1631" s="14">
        <v>45347</v>
      </c>
      <c r="C1631" s="13" t="s">
        <v>900</v>
      </c>
      <c r="D1631" s="13" t="s">
        <v>502</v>
      </c>
      <c r="E1631" s="13" t="s">
        <v>252</v>
      </c>
      <c r="F1631" s="15">
        <v>3</v>
      </c>
      <c r="G1631" s="15">
        <v>1090</v>
      </c>
      <c r="H1631" s="15">
        <v>9.1</v>
      </c>
      <c r="I1631" s="15">
        <v>2972.43</v>
      </c>
      <c r="J1631" s="13" t="s">
        <v>87</v>
      </c>
      <c r="K1631" s="13" t="s">
        <v>117</v>
      </c>
      <c r="L1631">
        <f>IF(COUNTIF(A$2:A1631, A1631)=1, IF(COUNTIF(A$2:A$2001, A1631)&gt;1, 1, 0), 0)</f>
        <v>0</v>
      </c>
      <c r="M1631" t="b">
        <f>VLOOKUP(D1631, Products!A$2:F$61, 6, FALSE)</f>
        <v>1</v>
      </c>
      <c r="N1631" t="str">
        <f>VLOOKUP(D1631, Products!A$2:C$61, 3, FALSE)</f>
        <v>Home</v>
      </c>
      <c r="O1631" t="str">
        <f>VLOOKUP(C1631, Customers!A$2:E$301, 5, FALSE)</f>
        <v>Retail</v>
      </c>
      <c r="P1631">
        <f>VLOOKUP(C1631, Customers!A$2:C$301, 3, FALSE)</f>
        <v>35</v>
      </c>
      <c r="Q1631" t="str">
        <f>VLOOKUP(E1631, Sales_Reps!A$2:C$31, 3, FALSE)</f>
        <v>South</v>
      </c>
      <c r="R1631">
        <f>VLOOKUP(D1631, Products!A$2:D$61, 4, FALSE)</f>
        <v>464</v>
      </c>
    </row>
    <row r="1632" spans="1:18" x14ac:dyDescent="0.3">
      <c r="A1632" s="13" t="s">
        <v>2127</v>
      </c>
      <c r="B1632" s="14">
        <v>45574</v>
      </c>
      <c r="C1632" s="13" t="s">
        <v>700</v>
      </c>
      <c r="D1632" s="13" t="s">
        <v>452</v>
      </c>
      <c r="E1632" s="13" t="s">
        <v>116</v>
      </c>
      <c r="F1632" s="15">
        <v>3</v>
      </c>
      <c r="G1632" s="15">
        <v>3450</v>
      </c>
      <c r="H1632" s="15">
        <v>23</v>
      </c>
      <c r="I1632" s="15">
        <v>7969.5</v>
      </c>
      <c r="J1632" s="13" t="s">
        <v>93</v>
      </c>
      <c r="K1632" s="13" t="s">
        <v>94</v>
      </c>
      <c r="L1632">
        <f>IF(COUNTIF(A$2:A1632, A1632)=1, IF(COUNTIF(A$2:A$2001, A1632)&gt;1, 1, 0), 0)</f>
        <v>0</v>
      </c>
      <c r="M1632" t="b">
        <f>VLOOKUP(D1632, Products!A$2:F$61, 6, FALSE)</f>
        <v>1</v>
      </c>
      <c r="N1632" t="str">
        <f>VLOOKUP(D1632, Products!A$2:C$61, 3, FALSE)</f>
        <v>Apparel</v>
      </c>
      <c r="O1632" t="str">
        <f>VLOOKUP(C1632, Customers!A$2:E$301, 5, FALSE)</f>
        <v>SMB</v>
      </c>
      <c r="P1632">
        <f>VLOOKUP(C1632, Customers!A$2:C$301, 3, FALSE)</f>
        <v>46</v>
      </c>
      <c r="Q1632" t="str">
        <f>VLOOKUP(E1632, Sales_Reps!A$2:C$31, 3, FALSE)</f>
        <v>West</v>
      </c>
      <c r="R1632">
        <f>VLOOKUP(D1632, Products!A$2:D$61, 4, FALSE)</f>
        <v>1748</v>
      </c>
    </row>
    <row r="1633" spans="1:18" x14ac:dyDescent="0.3">
      <c r="A1633" s="13" t="s">
        <v>2128</v>
      </c>
      <c r="B1633" s="14">
        <v>45365</v>
      </c>
      <c r="C1633" s="13" t="s">
        <v>1231</v>
      </c>
      <c r="D1633" s="13" t="s">
        <v>380</v>
      </c>
      <c r="E1633" s="13" t="s">
        <v>188</v>
      </c>
      <c r="F1633" s="15">
        <v>1</v>
      </c>
      <c r="G1633" s="15">
        <v>960</v>
      </c>
      <c r="H1633" s="15">
        <v>1.1000000000000001</v>
      </c>
      <c r="I1633" s="15">
        <v>949.44</v>
      </c>
      <c r="J1633" s="13" t="s">
        <v>87</v>
      </c>
      <c r="K1633" s="13" t="s">
        <v>88</v>
      </c>
      <c r="L1633">
        <f>IF(COUNTIF(A$2:A1633, A1633)=1, IF(COUNTIF(A$2:A$2001, A1633)&gt;1, 1, 0), 0)</f>
        <v>0</v>
      </c>
      <c r="M1633" t="b">
        <f>VLOOKUP(D1633, Products!A$2:F$61, 6, FALSE)</f>
        <v>1</v>
      </c>
      <c r="N1633" t="str">
        <f>VLOOKUP(D1633, Products!A$2:C$61, 3, FALSE)</f>
        <v>Beauty</v>
      </c>
      <c r="O1633" t="str">
        <f>VLOOKUP(C1633, Customers!A$2:E$301, 5, FALSE)</f>
        <v>Retail</v>
      </c>
      <c r="P1633">
        <f>VLOOKUP(C1633, Customers!A$2:C$301, 3, FALSE)</f>
        <v>42</v>
      </c>
      <c r="Q1633" t="str">
        <f>VLOOKUP(E1633, Sales_Reps!A$2:C$31, 3, FALSE)</f>
        <v>South</v>
      </c>
      <c r="R1633">
        <f>VLOOKUP(D1633, Products!A$2:D$61, 4, FALSE)</f>
        <v>675</v>
      </c>
    </row>
    <row r="1634" spans="1:18" x14ac:dyDescent="0.3">
      <c r="A1634" s="13" t="s">
        <v>2129</v>
      </c>
      <c r="B1634" s="14">
        <v>45577</v>
      </c>
      <c r="C1634" s="13" t="s">
        <v>479</v>
      </c>
      <c r="D1634" s="13" t="s">
        <v>102</v>
      </c>
      <c r="E1634" s="13" t="s">
        <v>170</v>
      </c>
      <c r="F1634" s="15">
        <v>9</v>
      </c>
      <c r="G1634" s="15">
        <v>3660</v>
      </c>
      <c r="H1634" s="15">
        <v>9</v>
      </c>
      <c r="I1634" s="15">
        <v>29975.4</v>
      </c>
      <c r="J1634" s="13" t="s">
        <v>87</v>
      </c>
      <c r="K1634" s="13" t="s">
        <v>88</v>
      </c>
      <c r="L1634">
        <f>IF(COUNTIF(A$2:A1634, A1634)=1, IF(COUNTIF(A$2:A$2001, A1634)&gt;1, 1, 0), 0)</f>
        <v>0</v>
      </c>
      <c r="M1634" t="b">
        <f>VLOOKUP(D1634, Products!A$2:F$61, 6, FALSE)</f>
        <v>0</v>
      </c>
      <c r="N1634" t="str">
        <f>VLOOKUP(D1634, Products!A$2:C$61, 3, FALSE)</f>
        <v>Grocery</v>
      </c>
      <c r="O1634" t="str">
        <f>VLOOKUP(C1634, Customers!A$2:E$301, 5, FALSE)</f>
        <v>SMB</v>
      </c>
      <c r="P1634">
        <f>VLOOKUP(C1634, Customers!A$2:C$301, 3, FALSE)</f>
        <v>49</v>
      </c>
      <c r="Q1634" t="str">
        <f>VLOOKUP(E1634, Sales_Reps!A$2:C$31, 3, FALSE)</f>
        <v>West</v>
      </c>
      <c r="R1634">
        <f>VLOOKUP(D1634, Products!A$2:D$61, 4, FALSE)</f>
        <v>2214</v>
      </c>
    </row>
    <row r="1635" spans="1:18" x14ac:dyDescent="0.3">
      <c r="A1635" s="13" t="s">
        <v>2130</v>
      </c>
      <c r="B1635" s="14">
        <v>45420</v>
      </c>
      <c r="C1635" s="13" t="s">
        <v>638</v>
      </c>
      <c r="D1635" s="13" t="s">
        <v>226</v>
      </c>
      <c r="E1635" s="13" t="s">
        <v>107</v>
      </c>
      <c r="F1635" s="15">
        <v>3</v>
      </c>
      <c r="G1635" s="15">
        <v>3730</v>
      </c>
      <c r="H1635" s="15">
        <v>15.8</v>
      </c>
      <c r="I1635" s="15">
        <v>9421.98</v>
      </c>
      <c r="J1635" s="13" t="s">
        <v>87</v>
      </c>
      <c r="K1635" s="13" t="s">
        <v>99</v>
      </c>
      <c r="L1635">
        <f>IF(COUNTIF(A$2:A1635, A1635)=1, IF(COUNTIF(A$2:A$2001, A1635)&gt;1, 1, 0), 0)</f>
        <v>0</v>
      </c>
      <c r="M1635" t="b">
        <f>VLOOKUP(D1635, Products!A$2:F$61, 6, FALSE)</f>
        <v>1</v>
      </c>
      <c r="N1635" t="str">
        <f>VLOOKUP(D1635, Products!A$2:C$61, 3, FALSE)</f>
        <v>Home</v>
      </c>
      <c r="O1635" t="str">
        <f>VLOOKUP(C1635, Customers!A$2:E$301, 5, FALSE)</f>
        <v>Retail</v>
      </c>
      <c r="P1635">
        <f>VLOOKUP(C1635, Customers!A$2:C$301, 3, FALSE)</f>
        <v>43</v>
      </c>
      <c r="Q1635" t="str">
        <f>VLOOKUP(E1635, Sales_Reps!A$2:C$31, 3, FALSE)</f>
        <v>North</v>
      </c>
      <c r="R1635">
        <f>VLOOKUP(D1635, Products!A$2:D$61, 4, FALSE)</f>
        <v>2135</v>
      </c>
    </row>
    <row r="1636" spans="1:18" x14ac:dyDescent="0.3">
      <c r="A1636" s="13" t="s">
        <v>2131</v>
      </c>
      <c r="B1636" s="14">
        <v>45347</v>
      </c>
      <c r="C1636" s="13" t="s">
        <v>551</v>
      </c>
      <c r="D1636" s="13" t="s">
        <v>264</v>
      </c>
      <c r="E1636" s="13" t="s">
        <v>139</v>
      </c>
      <c r="F1636" s="15">
        <v>6</v>
      </c>
      <c r="G1636" s="15">
        <v>4070</v>
      </c>
      <c r="H1636" s="15">
        <v>6.2</v>
      </c>
      <c r="I1636" s="15">
        <v>22905.96</v>
      </c>
      <c r="J1636" s="13" t="s">
        <v>87</v>
      </c>
      <c r="K1636" s="13" t="s">
        <v>112</v>
      </c>
      <c r="L1636">
        <f>IF(COUNTIF(A$2:A1636, A1636)=1, IF(COUNTIF(A$2:A$2001, A1636)&gt;1, 1, 0), 0)</f>
        <v>0</v>
      </c>
      <c r="M1636" t="b">
        <f>VLOOKUP(D1636, Products!A$2:F$61, 6, FALSE)</f>
        <v>1</v>
      </c>
      <c r="N1636" t="str">
        <f>VLOOKUP(D1636, Products!A$2:C$61, 3, FALSE)</f>
        <v>Grocery</v>
      </c>
      <c r="O1636" t="str">
        <f>VLOOKUP(C1636, Customers!A$2:E$301, 5, FALSE)</f>
        <v>Corporate</v>
      </c>
      <c r="P1636">
        <f>VLOOKUP(C1636, Customers!A$2:C$301, 3, FALSE)</f>
        <v>60</v>
      </c>
      <c r="Q1636" t="str">
        <f>VLOOKUP(E1636, Sales_Reps!A$2:C$31, 3, FALSE)</f>
        <v>North</v>
      </c>
      <c r="R1636">
        <f>VLOOKUP(D1636, Products!A$2:D$61, 4, FALSE)</f>
        <v>2027</v>
      </c>
    </row>
    <row r="1637" spans="1:18" x14ac:dyDescent="0.3">
      <c r="A1637" s="13" t="s">
        <v>2132</v>
      </c>
      <c r="B1637" s="14">
        <v>45329</v>
      </c>
      <c r="C1637" s="13" t="s">
        <v>617</v>
      </c>
      <c r="D1637" s="13" t="s">
        <v>279</v>
      </c>
      <c r="E1637" s="13" t="s">
        <v>285</v>
      </c>
      <c r="F1637" s="15">
        <v>1</v>
      </c>
      <c r="G1637" s="15">
        <v>2660</v>
      </c>
      <c r="H1637" s="15">
        <v>14.6</v>
      </c>
      <c r="I1637" s="15">
        <v>2271.64</v>
      </c>
      <c r="J1637" s="13" t="s">
        <v>87</v>
      </c>
      <c r="K1637" s="13" t="s">
        <v>112</v>
      </c>
      <c r="L1637">
        <f>IF(COUNTIF(A$2:A1637, A1637)=1, IF(COUNTIF(A$2:A$2001, A1637)&gt;1, 1, 0), 0)</f>
        <v>0</v>
      </c>
      <c r="M1637" t="b">
        <f>VLOOKUP(D1637, Products!A$2:F$61, 6, FALSE)</f>
        <v>0</v>
      </c>
      <c r="N1637" t="str">
        <f>VLOOKUP(D1637, Products!A$2:C$61, 3, FALSE)</f>
        <v>Electronics</v>
      </c>
      <c r="O1637" t="str">
        <f>VLOOKUP(C1637, Customers!A$2:E$301, 5, FALSE)</f>
        <v>SMB</v>
      </c>
      <c r="P1637">
        <f>VLOOKUP(C1637, Customers!A$2:C$301, 3, FALSE)</f>
        <v>65</v>
      </c>
      <c r="Q1637" t="str">
        <f>VLOOKUP(E1637, Sales_Reps!A$2:C$31, 3, FALSE)</f>
        <v>East</v>
      </c>
      <c r="R1637">
        <f>VLOOKUP(D1637, Products!A$2:D$61, 4, FALSE)</f>
        <v>1259</v>
      </c>
    </row>
    <row r="1638" spans="1:18" x14ac:dyDescent="0.3">
      <c r="A1638" s="13" t="s">
        <v>2133</v>
      </c>
      <c r="B1638" s="14">
        <v>45378</v>
      </c>
      <c r="C1638" s="13" t="s">
        <v>150</v>
      </c>
      <c r="D1638" s="13" t="s">
        <v>295</v>
      </c>
      <c r="E1638" s="13" t="s">
        <v>148</v>
      </c>
      <c r="F1638" s="15">
        <v>3</v>
      </c>
      <c r="G1638" s="15">
        <v>2030</v>
      </c>
      <c r="H1638" s="15">
        <v>13.3</v>
      </c>
      <c r="I1638" s="15">
        <v>5280.03</v>
      </c>
      <c r="J1638" s="13" t="s">
        <v>140</v>
      </c>
      <c r="K1638" s="13" t="s">
        <v>88</v>
      </c>
      <c r="L1638">
        <f>IF(COUNTIF(A$2:A1638, A1638)=1, IF(COUNTIF(A$2:A$2001, A1638)&gt;1, 1, 0), 0)</f>
        <v>0</v>
      </c>
      <c r="M1638" t="b">
        <f>VLOOKUP(D1638, Products!A$2:F$61, 6, FALSE)</f>
        <v>1</v>
      </c>
      <c r="N1638" t="str">
        <f>VLOOKUP(D1638, Products!A$2:C$61, 3, FALSE)</f>
        <v>Home</v>
      </c>
      <c r="O1638" t="str">
        <f>VLOOKUP(C1638, Customers!A$2:E$301, 5, FALSE)</f>
        <v>Retail</v>
      </c>
      <c r="P1638">
        <f>VLOOKUP(C1638, Customers!A$2:C$301, 3, FALSE)</f>
        <v>63</v>
      </c>
      <c r="Q1638" t="str">
        <f>VLOOKUP(E1638, Sales_Reps!A$2:C$31, 3, FALSE)</f>
        <v>North</v>
      </c>
      <c r="R1638">
        <f>VLOOKUP(D1638, Products!A$2:D$61, 4, FALSE)</f>
        <v>1143</v>
      </c>
    </row>
    <row r="1639" spans="1:18" x14ac:dyDescent="0.3">
      <c r="A1639" s="13" t="s">
        <v>2134</v>
      </c>
      <c r="B1639" s="14">
        <v>45393</v>
      </c>
      <c r="C1639" s="13" t="s">
        <v>328</v>
      </c>
      <c r="D1639" s="13" t="s">
        <v>102</v>
      </c>
      <c r="E1639" s="13" t="s">
        <v>215</v>
      </c>
      <c r="F1639" s="15">
        <v>4</v>
      </c>
      <c r="G1639" s="15">
        <v>3660</v>
      </c>
      <c r="H1639" s="15">
        <v>2.2000000000000002</v>
      </c>
      <c r="I1639" s="15">
        <v>14317.92</v>
      </c>
      <c r="J1639" s="13" t="s">
        <v>87</v>
      </c>
      <c r="K1639" s="13" t="s">
        <v>94</v>
      </c>
      <c r="L1639">
        <f>IF(COUNTIF(A$2:A1639, A1639)=1, IF(COUNTIF(A$2:A$2001, A1639)&gt;1, 1, 0), 0)</f>
        <v>0</v>
      </c>
      <c r="M1639" t="b">
        <f>VLOOKUP(D1639, Products!A$2:F$61, 6, FALSE)</f>
        <v>0</v>
      </c>
      <c r="N1639" t="str">
        <f>VLOOKUP(D1639, Products!A$2:C$61, 3, FALSE)</f>
        <v>Grocery</v>
      </c>
      <c r="O1639" t="str">
        <f>VLOOKUP(C1639, Customers!A$2:E$301, 5, FALSE)</f>
        <v>Retail</v>
      </c>
      <c r="P1639">
        <f>VLOOKUP(C1639, Customers!A$2:C$301, 3, FALSE)</f>
        <v>28</v>
      </c>
      <c r="Q1639" t="str">
        <f>VLOOKUP(E1639, Sales_Reps!A$2:C$31, 3, FALSE)</f>
        <v>North</v>
      </c>
      <c r="R1639">
        <f>VLOOKUP(D1639, Products!A$2:D$61, 4, FALSE)</f>
        <v>2214</v>
      </c>
    </row>
    <row r="1640" spans="1:18" x14ac:dyDescent="0.3">
      <c r="A1640" s="13" t="s">
        <v>2135</v>
      </c>
      <c r="B1640" s="14">
        <v>45364</v>
      </c>
      <c r="C1640" s="13" t="s">
        <v>214</v>
      </c>
      <c r="D1640" s="13" t="s">
        <v>279</v>
      </c>
      <c r="E1640" s="13" t="s">
        <v>103</v>
      </c>
      <c r="F1640" s="15">
        <v>2</v>
      </c>
      <c r="G1640" s="15">
        <v>2660</v>
      </c>
      <c r="H1640" s="15">
        <v>7.2</v>
      </c>
      <c r="I1640" s="15">
        <v>4936.96</v>
      </c>
      <c r="J1640" s="13" t="s">
        <v>140</v>
      </c>
      <c r="K1640" s="13" t="s">
        <v>117</v>
      </c>
      <c r="L1640">
        <f>IF(COUNTIF(A$2:A1640, A1640)=1, IF(COUNTIF(A$2:A$2001, A1640)&gt;1, 1, 0), 0)</f>
        <v>0</v>
      </c>
      <c r="M1640" t="b">
        <f>VLOOKUP(D1640, Products!A$2:F$61, 6, FALSE)</f>
        <v>0</v>
      </c>
      <c r="N1640" t="str">
        <f>VLOOKUP(D1640, Products!A$2:C$61, 3, FALSE)</f>
        <v>Electronics</v>
      </c>
      <c r="O1640" t="str">
        <f>VLOOKUP(C1640, Customers!A$2:E$301, 5, FALSE)</f>
        <v>Retail</v>
      </c>
      <c r="P1640">
        <f>VLOOKUP(C1640, Customers!A$2:C$301, 3, FALSE)</f>
        <v>42</v>
      </c>
      <c r="Q1640" t="str">
        <f>VLOOKUP(E1640, Sales_Reps!A$2:C$31, 3, FALSE)</f>
        <v>North</v>
      </c>
      <c r="R1640">
        <f>VLOOKUP(D1640, Products!A$2:D$61, 4, FALSE)</f>
        <v>1259</v>
      </c>
    </row>
    <row r="1641" spans="1:18" x14ac:dyDescent="0.3">
      <c r="A1641" s="13" t="s">
        <v>2136</v>
      </c>
      <c r="B1641" s="14">
        <v>45624</v>
      </c>
      <c r="C1641" s="13" t="s">
        <v>537</v>
      </c>
      <c r="D1641" s="13" t="s">
        <v>184</v>
      </c>
      <c r="E1641" s="13" t="s">
        <v>252</v>
      </c>
      <c r="F1641" s="15">
        <v>2</v>
      </c>
      <c r="G1641" s="15">
        <v>4880</v>
      </c>
      <c r="H1641" s="15">
        <v>23.8</v>
      </c>
      <c r="I1641" s="15">
        <v>7437.12</v>
      </c>
      <c r="J1641" s="13" t="s">
        <v>87</v>
      </c>
      <c r="K1641" s="13" t="s">
        <v>133</v>
      </c>
      <c r="L1641">
        <f>IF(COUNTIF(A$2:A1641, A1641)=1, IF(COUNTIF(A$2:A$2001, A1641)&gt;1, 1, 0), 0)</f>
        <v>0</v>
      </c>
      <c r="M1641" t="b">
        <f>VLOOKUP(D1641, Products!A$2:F$61, 6, FALSE)</f>
        <v>1</v>
      </c>
      <c r="N1641" t="str">
        <f>VLOOKUP(D1641, Products!A$2:C$61, 3, FALSE)</f>
        <v>Beauty</v>
      </c>
      <c r="O1641" t="str">
        <f>VLOOKUP(C1641, Customers!A$2:E$301, 5, FALSE)</f>
        <v>SMB</v>
      </c>
      <c r="P1641">
        <f>VLOOKUP(C1641, Customers!A$2:C$301, 3, FALSE)</f>
        <v>48</v>
      </c>
      <c r="Q1641" t="str">
        <f>VLOOKUP(E1641, Sales_Reps!A$2:C$31, 3, FALSE)</f>
        <v>South</v>
      </c>
      <c r="R1641">
        <f>VLOOKUP(D1641, Products!A$2:D$61, 4, FALSE)</f>
        <v>2768</v>
      </c>
    </row>
    <row r="1642" spans="1:18" x14ac:dyDescent="0.3">
      <c r="A1642" s="13" t="s">
        <v>2137</v>
      </c>
      <c r="B1642" s="14">
        <v>45411</v>
      </c>
      <c r="C1642" s="13" t="s">
        <v>816</v>
      </c>
      <c r="D1642" s="13" t="s">
        <v>452</v>
      </c>
      <c r="E1642" s="13" t="s">
        <v>273</v>
      </c>
      <c r="F1642" s="15">
        <v>1</v>
      </c>
      <c r="G1642" s="15">
        <v>3450</v>
      </c>
      <c r="H1642" s="15">
        <v>1.7</v>
      </c>
      <c r="I1642" s="15">
        <v>3391.35</v>
      </c>
      <c r="J1642" s="13" t="s">
        <v>87</v>
      </c>
      <c r="K1642" s="13" t="s">
        <v>88</v>
      </c>
      <c r="L1642">
        <f>IF(COUNTIF(A$2:A1642, A1642)=1, IF(COUNTIF(A$2:A$2001, A1642)&gt;1, 1, 0), 0)</f>
        <v>0</v>
      </c>
      <c r="M1642" t="b">
        <f>VLOOKUP(D1642, Products!A$2:F$61, 6, FALSE)</f>
        <v>1</v>
      </c>
      <c r="N1642" t="str">
        <f>VLOOKUP(D1642, Products!A$2:C$61, 3, FALSE)</f>
        <v>Apparel</v>
      </c>
      <c r="O1642" t="str">
        <f>VLOOKUP(C1642, Customers!A$2:E$301, 5, FALSE)</f>
        <v>Retail</v>
      </c>
      <c r="P1642">
        <f>VLOOKUP(C1642, Customers!A$2:C$301, 3, FALSE)</f>
        <v>36</v>
      </c>
      <c r="Q1642" t="str">
        <f>VLOOKUP(E1642, Sales_Reps!A$2:C$31, 3, FALSE)</f>
        <v>South</v>
      </c>
      <c r="R1642">
        <f>VLOOKUP(D1642, Products!A$2:D$61, 4, FALSE)</f>
        <v>1748</v>
      </c>
    </row>
    <row r="1643" spans="1:18" x14ac:dyDescent="0.3">
      <c r="A1643" s="13" t="s">
        <v>2138</v>
      </c>
      <c r="B1643" s="14">
        <v>45550</v>
      </c>
      <c r="C1643" s="13" t="s">
        <v>390</v>
      </c>
      <c r="D1643" s="13" t="s">
        <v>276</v>
      </c>
      <c r="E1643" s="13" t="s">
        <v>154</v>
      </c>
      <c r="F1643" s="15">
        <v>4</v>
      </c>
      <c r="G1643" s="15">
        <v>3020</v>
      </c>
      <c r="H1643" s="15">
        <v>17.8</v>
      </c>
      <c r="I1643" s="15">
        <v>9929.76</v>
      </c>
      <c r="J1643" s="13" t="s">
        <v>87</v>
      </c>
      <c r="K1643" s="13" t="s">
        <v>88</v>
      </c>
      <c r="L1643">
        <f>IF(COUNTIF(A$2:A1643, A1643)=1, IF(COUNTIF(A$2:A$2001, A1643)&gt;1, 1, 0), 0)</f>
        <v>0</v>
      </c>
      <c r="M1643" t="b">
        <f>VLOOKUP(D1643, Products!A$2:F$61, 6, FALSE)</f>
        <v>1</v>
      </c>
      <c r="N1643" t="str">
        <f>VLOOKUP(D1643, Products!A$2:C$61, 3, FALSE)</f>
        <v>Beauty</v>
      </c>
      <c r="O1643" t="str">
        <f>VLOOKUP(C1643, Customers!A$2:E$301, 5, FALSE)</f>
        <v>SMB</v>
      </c>
      <c r="P1643">
        <f>VLOOKUP(C1643, Customers!A$2:C$301, 3, FALSE)</f>
        <v>54</v>
      </c>
      <c r="Q1643" t="str">
        <f>VLOOKUP(E1643, Sales_Reps!A$2:C$31, 3, FALSE)</f>
        <v>East</v>
      </c>
      <c r="R1643">
        <f>VLOOKUP(D1643, Products!A$2:D$61, 4, FALSE)</f>
        <v>1626</v>
      </c>
    </row>
    <row r="1644" spans="1:18" x14ac:dyDescent="0.3">
      <c r="A1644" s="13" t="s">
        <v>2139</v>
      </c>
      <c r="B1644" s="14">
        <v>45512</v>
      </c>
      <c r="C1644" s="13" t="s">
        <v>968</v>
      </c>
      <c r="D1644" s="13" t="s">
        <v>515</v>
      </c>
      <c r="E1644" s="13" t="s">
        <v>158</v>
      </c>
      <c r="F1644" s="15">
        <v>6</v>
      </c>
      <c r="G1644" s="15">
        <v>6940</v>
      </c>
      <c r="H1644" s="15">
        <v>8.9</v>
      </c>
      <c r="I1644" s="15">
        <v>37934.04</v>
      </c>
      <c r="J1644" s="13" t="s">
        <v>87</v>
      </c>
      <c r="K1644" s="13" t="s">
        <v>99</v>
      </c>
      <c r="L1644">
        <f>IF(COUNTIF(A$2:A1644, A1644)=1, IF(COUNTIF(A$2:A$2001, A1644)&gt;1, 1, 0), 0)</f>
        <v>0</v>
      </c>
      <c r="M1644" t="b">
        <f>VLOOKUP(D1644, Products!A$2:F$61, 6, FALSE)</f>
        <v>1</v>
      </c>
      <c r="N1644" t="str">
        <f>VLOOKUP(D1644, Products!A$2:C$61, 3, FALSE)</f>
        <v>Sports</v>
      </c>
      <c r="O1644" t="str">
        <f>VLOOKUP(C1644, Customers!A$2:E$301, 5, FALSE)</f>
        <v>Retail</v>
      </c>
      <c r="P1644">
        <f>VLOOKUP(C1644, Customers!A$2:C$301, 3, FALSE)</f>
        <v>47</v>
      </c>
      <c r="Q1644" t="str">
        <f>VLOOKUP(E1644, Sales_Reps!A$2:C$31, 3, FALSE)</f>
        <v>East</v>
      </c>
      <c r="R1644">
        <f>VLOOKUP(D1644, Products!A$2:D$61, 4, FALSE)</f>
        <v>2827</v>
      </c>
    </row>
    <row r="1645" spans="1:18" x14ac:dyDescent="0.3">
      <c r="A1645" s="13" t="s">
        <v>2140</v>
      </c>
      <c r="B1645" s="14">
        <v>45523</v>
      </c>
      <c r="C1645" s="13" t="s">
        <v>422</v>
      </c>
      <c r="D1645" s="13" t="s">
        <v>200</v>
      </c>
      <c r="E1645" s="13" t="s">
        <v>154</v>
      </c>
      <c r="F1645" s="15">
        <v>10</v>
      </c>
      <c r="G1645" s="15">
        <v>2760</v>
      </c>
      <c r="H1645" s="15">
        <v>8.9</v>
      </c>
      <c r="I1645" s="15">
        <v>25143.599999999999</v>
      </c>
      <c r="J1645" s="13" t="s">
        <v>87</v>
      </c>
      <c r="K1645" s="13" t="s">
        <v>94</v>
      </c>
      <c r="L1645">
        <f>IF(COUNTIF(A$2:A1645, A1645)=1, IF(COUNTIF(A$2:A$2001, A1645)&gt;1, 1, 0), 0)</f>
        <v>0</v>
      </c>
      <c r="M1645" t="b">
        <f>VLOOKUP(D1645, Products!A$2:F$61, 6, FALSE)</f>
        <v>1</v>
      </c>
      <c r="N1645" t="str">
        <f>VLOOKUP(D1645, Products!A$2:C$61, 3, FALSE)</f>
        <v>Grocery</v>
      </c>
      <c r="O1645" t="str">
        <f>VLOOKUP(C1645, Customers!A$2:E$301, 5, FALSE)</f>
        <v>SMB</v>
      </c>
      <c r="P1645">
        <f>VLOOKUP(C1645, Customers!A$2:C$301, 3, FALSE)</f>
        <v>64</v>
      </c>
      <c r="Q1645" t="str">
        <f>VLOOKUP(E1645, Sales_Reps!A$2:C$31, 3, FALSE)</f>
        <v>East</v>
      </c>
      <c r="R1645">
        <f>VLOOKUP(D1645, Products!A$2:D$61, 4, FALSE)</f>
        <v>1435</v>
      </c>
    </row>
    <row r="1646" spans="1:18" x14ac:dyDescent="0.3">
      <c r="A1646" s="13" t="s">
        <v>2141</v>
      </c>
      <c r="B1646" s="14">
        <v>45310</v>
      </c>
      <c r="C1646" s="13" t="s">
        <v>427</v>
      </c>
      <c r="D1646" s="13" t="s">
        <v>380</v>
      </c>
      <c r="E1646" s="13" t="s">
        <v>192</v>
      </c>
      <c r="F1646" s="15">
        <v>8</v>
      </c>
      <c r="G1646" s="15">
        <v>960</v>
      </c>
      <c r="H1646" s="15">
        <v>20.9</v>
      </c>
      <c r="I1646" s="15">
        <v>6074.88</v>
      </c>
      <c r="J1646" s="13" t="s">
        <v>87</v>
      </c>
      <c r="K1646" s="13" t="s">
        <v>88</v>
      </c>
      <c r="L1646">
        <f>IF(COUNTIF(A$2:A1646, A1646)=1, IF(COUNTIF(A$2:A$2001, A1646)&gt;1, 1, 0), 0)</f>
        <v>0</v>
      </c>
      <c r="M1646" t="b">
        <f>VLOOKUP(D1646, Products!A$2:F$61, 6, FALSE)</f>
        <v>1</v>
      </c>
      <c r="N1646" t="str">
        <f>VLOOKUP(D1646, Products!A$2:C$61, 3, FALSE)</f>
        <v>Beauty</v>
      </c>
      <c r="O1646" t="str">
        <f>VLOOKUP(C1646, Customers!A$2:E$301, 5, FALSE)</f>
        <v>Corporate</v>
      </c>
      <c r="P1646">
        <f>VLOOKUP(C1646, Customers!A$2:C$301, 3, FALSE)</f>
        <v>48</v>
      </c>
      <c r="Q1646" t="str">
        <f>VLOOKUP(E1646, Sales_Reps!A$2:C$31, 3, FALSE)</f>
        <v>East</v>
      </c>
      <c r="R1646">
        <f>VLOOKUP(D1646, Products!A$2:D$61, 4, FALSE)</f>
        <v>675</v>
      </c>
    </row>
    <row r="1647" spans="1:18" x14ac:dyDescent="0.3">
      <c r="A1647" s="13" t="s">
        <v>2142</v>
      </c>
      <c r="B1647" s="14">
        <v>45498</v>
      </c>
      <c r="C1647" s="13" t="s">
        <v>835</v>
      </c>
      <c r="D1647" s="13" t="s">
        <v>380</v>
      </c>
      <c r="E1647" s="13" t="s">
        <v>325</v>
      </c>
      <c r="F1647" s="15">
        <v>4</v>
      </c>
      <c r="G1647" s="15">
        <v>960</v>
      </c>
      <c r="H1647" s="15">
        <v>29.1</v>
      </c>
      <c r="I1647" s="15">
        <v>2722.56</v>
      </c>
      <c r="J1647" s="13" t="s">
        <v>87</v>
      </c>
      <c r="K1647" s="13" t="s">
        <v>117</v>
      </c>
      <c r="L1647">
        <f>IF(COUNTIF(A$2:A1647, A1647)=1, IF(COUNTIF(A$2:A$2001, A1647)&gt;1, 1, 0), 0)</f>
        <v>0</v>
      </c>
      <c r="M1647" t="b">
        <f>VLOOKUP(D1647, Products!A$2:F$61, 6, FALSE)</f>
        <v>1</v>
      </c>
      <c r="N1647" t="str">
        <f>VLOOKUP(D1647, Products!A$2:C$61, 3, FALSE)</f>
        <v>Beauty</v>
      </c>
      <c r="O1647" t="str">
        <f>VLOOKUP(C1647, Customers!A$2:E$301, 5, FALSE)</f>
        <v>Retail</v>
      </c>
      <c r="P1647">
        <f>VLOOKUP(C1647, Customers!A$2:C$301, 3, FALSE)</f>
        <v>52</v>
      </c>
      <c r="Q1647" t="str">
        <f>VLOOKUP(E1647, Sales_Reps!A$2:C$31, 3, FALSE)</f>
        <v>South</v>
      </c>
      <c r="R1647">
        <f>VLOOKUP(D1647, Products!A$2:D$61, 4, FALSE)</f>
        <v>675</v>
      </c>
    </row>
    <row r="1648" spans="1:18" x14ac:dyDescent="0.3">
      <c r="A1648" s="13" t="s">
        <v>2143</v>
      </c>
      <c r="B1648" s="14">
        <v>45410</v>
      </c>
      <c r="C1648" s="13" t="s">
        <v>429</v>
      </c>
      <c r="D1648" s="13" t="s">
        <v>127</v>
      </c>
      <c r="E1648" s="13" t="s">
        <v>158</v>
      </c>
      <c r="F1648" s="15">
        <v>1</v>
      </c>
      <c r="G1648" s="15">
        <v>970</v>
      </c>
      <c r="H1648" s="15">
        <v>8.4</v>
      </c>
      <c r="I1648" s="15">
        <v>888.52</v>
      </c>
      <c r="J1648" s="13" t="s">
        <v>140</v>
      </c>
      <c r="K1648" s="13" t="s">
        <v>117</v>
      </c>
      <c r="L1648">
        <f>IF(COUNTIF(A$2:A1648, A1648)=1, IF(COUNTIF(A$2:A$2001, A1648)&gt;1, 1, 0), 0)</f>
        <v>0</v>
      </c>
      <c r="M1648" t="b">
        <f>VLOOKUP(D1648, Products!A$2:F$61, 6, FALSE)</f>
        <v>1</v>
      </c>
      <c r="N1648" t="str">
        <f>VLOOKUP(D1648, Products!A$2:C$61, 3, FALSE)</f>
        <v>Grocery</v>
      </c>
      <c r="O1648" t="str">
        <f>VLOOKUP(C1648, Customers!A$2:E$301, 5, FALSE)</f>
        <v>Retail</v>
      </c>
      <c r="P1648">
        <f>VLOOKUP(C1648, Customers!A$2:C$301, 3, FALSE)</f>
        <v>55</v>
      </c>
      <c r="Q1648" t="str">
        <f>VLOOKUP(E1648, Sales_Reps!A$2:C$31, 3, FALSE)</f>
        <v>East</v>
      </c>
      <c r="R1648">
        <f>VLOOKUP(D1648, Products!A$2:D$61, 4, FALSE)</f>
        <v>434</v>
      </c>
    </row>
    <row r="1649" spans="1:18" x14ac:dyDescent="0.3">
      <c r="A1649" s="13" t="s">
        <v>2144</v>
      </c>
      <c r="B1649" s="14">
        <v>45400</v>
      </c>
      <c r="C1649" s="13" t="s">
        <v>874</v>
      </c>
      <c r="D1649" s="13" t="s">
        <v>241</v>
      </c>
      <c r="E1649" s="13" t="s">
        <v>154</v>
      </c>
      <c r="F1649" s="15">
        <v>5</v>
      </c>
      <c r="G1649" s="15">
        <v>6080</v>
      </c>
      <c r="H1649" s="15">
        <v>17.600000000000001</v>
      </c>
      <c r="I1649" s="15">
        <v>25049.599999999999</v>
      </c>
      <c r="J1649" s="13" t="s">
        <v>87</v>
      </c>
      <c r="K1649" s="13" t="s">
        <v>112</v>
      </c>
      <c r="L1649">
        <f>IF(COUNTIF(A$2:A1649, A1649)=1, IF(COUNTIF(A$2:A$2001, A1649)&gt;1, 1, 0), 0)</f>
        <v>0</v>
      </c>
      <c r="M1649" t="b">
        <f>VLOOKUP(D1649, Products!A$2:F$61, 6, FALSE)</f>
        <v>1</v>
      </c>
      <c r="N1649" t="str">
        <f>VLOOKUP(D1649, Products!A$2:C$61, 3, FALSE)</f>
        <v>Beauty</v>
      </c>
      <c r="O1649" t="str">
        <f>VLOOKUP(C1649, Customers!A$2:E$301, 5, FALSE)</f>
        <v>Retail</v>
      </c>
      <c r="P1649">
        <f>VLOOKUP(C1649, Customers!A$2:C$301, 3, FALSE)</f>
        <v>57</v>
      </c>
      <c r="Q1649" t="str">
        <f>VLOOKUP(E1649, Sales_Reps!A$2:C$31, 3, FALSE)</f>
        <v>East</v>
      </c>
      <c r="R1649">
        <f>VLOOKUP(D1649, Products!A$2:D$61, 4, FALSE)</f>
        <v>2617</v>
      </c>
    </row>
    <row r="1650" spans="1:18" x14ac:dyDescent="0.3">
      <c r="A1650" s="13" t="s">
        <v>2145</v>
      </c>
      <c r="B1650" s="14">
        <v>45525</v>
      </c>
      <c r="C1650" s="13" t="s">
        <v>968</v>
      </c>
      <c r="D1650" s="13" t="s">
        <v>102</v>
      </c>
      <c r="E1650" s="13" t="s">
        <v>252</v>
      </c>
      <c r="F1650" s="15">
        <v>4</v>
      </c>
      <c r="G1650" s="15">
        <v>3660</v>
      </c>
      <c r="H1650" s="15">
        <v>21.8</v>
      </c>
      <c r="I1650" s="15">
        <v>11448.48</v>
      </c>
      <c r="J1650" s="13" t="s">
        <v>93</v>
      </c>
      <c r="K1650" s="13" t="s">
        <v>99</v>
      </c>
      <c r="L1650">
        <f>IF(COUNTIF(A$2:A1650, A1650)=1, IF(COUNTIF(A$2:A$2001, A1650)&gt;1, 1, 0), 0)</f>
        <v>0</v>
      </c>
      <c r="M1650" t="b">
        <f>VLOOKUP(D1650, Products!A$2:F$61, 6, FALSE)</f>
        <v>0</v>
      </c>
      <c r="N1650" t="str">
        <f>VLOOKUP(D1650, Products!A$2:C$61, 3, FALSE)</f>
        <v>Grocery</v>
      </c>
      <c r="O1650" t="str">
        <f>VLOOKUP(C1650, Customers!A$2:E$301, 5, FALSE)</f>
        <v>Retail</v>
      </c>
      <c r="P1650">
        <f>VLOOKUP(C1650, Customers!A$2:C$301, 3, FALSE)</f>
        <v>47</v>
      </c>
      <c r="Q1650" t="str">
        <f>VLOOKUP(E1650, Sales_Reps!A$2:C$31, 3, FALSE)</f>
        <v>South</v>
      </c>
      <c r="R1650">
        <f>VLOOKUP(D1650, Products!A$2:D$61, 4, FALSE)</f>
        <v>2214</v>
      </c>
    </row>
    <row r="1651" spans="1:18" x14ac:dyDescent="0.3">
      <c r="A1651" s="13" t="s">
        <v>2146</v>
      </c>
      <c r="B1651" s="14">
        <v>45462</v>
      </c>
      <c r="C1651" s="13" t="s">
        <v>318</v>
      </c>
      <c r="D1651" s="13" t="s">
        <v>226</v>
      </c>
      <c r="E1651" s="13" t="s">
        <v>107</v>
      </c>
      <c r="F1651" s="15">
        <v>6</v>
      </c>
      <c r="G1651" s="15">
        <v>3730</v>
      </c>
      <c r="H1651" s="15">
        <v>13.3</v>
      </c>
      <c r="I1651" s="15">
        <v>19403.46</v>
      </c>
      <c r="J1651" s="13" t="s">
        <v>140</v>
      </c>
      <c r="K1651" s="13" t="s">
        <v>94</v>
      </c>
      <c r="L1651">
        <f>IF(COUNTIF(A$2:A1651, A1651)=1, IF(COUNTIF(A$2:A$2001, A1651)&gt;1, 1, 0), 0)</f>
        <v>0</v>
      </c>
      <c r="M1651" t="b">
        <f>VLOOKUP(D1651, Products!A$2:F$61, 6, FALSE)</f>
        <v>1</v>
      </c>
      <c r="N1651" t="str">
        <f>VLOOKUP(D1651, Products!A$2:C$61, 3, FALSE)</f>
        <v>Home</v>
      </c>
      <c r="O1651" t="str">
        <f>VLOOKUP(C1651, Customers!A$2:E$301, 5, FALSE)</f>
        <v>SMB</v>
      </c>
      <c r="P1651">
        <f>VLOOKUP(C1651, Customers!A$2:C$301, 3, FALSE)</f>
        <v>57</v>
      </c>
      <c r="Q1651" t="str">
        <f>VLOOKUP(E1651, Sales_Reps!A$2:C$31, 3, FALSE)</f>
        <v>North</v>
      </c>
      <c r="R1651">
        <f>VLOOKUP(D1651, Products!A$2:D$61, 4, FALSE)</f>
        <v>2135</v>
      </c>
    </row>
    <row r="1652" spans="1:18" x14ac:dyDescent="0.3">
      <c r="A1652" s="13" t="s">
        <v>2147</v>
      </c>
      <c r="B1652" s="14">
        <v>45625</v>
      </c>
      <c r="C1652" s="13" t="s">
        <v>258</v>
      </c>
      <c r="D1652" s="13" t="s">
        <v>248</v>
      </c>
      <c r="E1652" s="13" t="s">
        <v>229</v>
      </c>
      <c r="F1652" s="15">
        <v>8</v>
      </c>
      <c r="G1652" s="15">
        <v>3870</v>
      </c>
      <c r="H1652" s="15">
        <v>21.2</v>
      </c>
      <c r="I1652" s="15">
        <v>24396.48</v>
      </c>
      <c r="J1652" s="13" t="s">
        <v>93</v>
      </c>
      <c r="K1652" s="13" t="s">
        <v>99</v>
      </c>
      <c r="L1652">
        <f>IF(COUNTIF(A$2:A1652, A1652)=1, IF(COUNTIF(A$2:A$2001, A1652)&gt;1, 1, 0), 0)</f>
        <v>0</v>
      </c>
      <c r="M1652" t="b">
        <f>VLOOKUP(D1652, Products!A$2:F$61, 6, FALSE)</f>
        <v>1</v>
      </c>
      <c r="N1652" t="str">
        <f>VLOOKUP(D1652, Products!A$2:C$61, 3, FALSE)</f>
        <v>Electronics</v>
      </c>
      <c r="O1652" t="str">
        <f>VLOOKUP(C1652, Customers!A$2:E$301, 5, FALSE)</f>
        <v>SMB</v>
      </c>
      <c r="P1652">
        <f>VLOOKUP(C1652, Customers!A$2:C$301, 3, FALSE)</f>
        <v>55</v>
      </c>
      <c r="Q1652" t="str">
        <f>VLOOKUP(E1652, Sales_Reps!A$2:C$31, 3, FALSE)</f>
        <v>West</v>
      </c>
      <c r="R1652">
        <f>VLOOKUP(D1652, Products!A$2:D$61, 4, FALSE)</f>
        <v>1559</v>
      </c>
    </row>
    <row r="1653" spans="1:18" x14ac:dyDescent="0.3">
      <c r="A1653" s="13" t="s">
        <v>2148</v>
      </c>
      <c r="B1653" s="14">
        <v>45390</v>
      </c>
      <c r="C1653" s="13" t="s">
        <v>416</v>
      </c>
      <c r="D1653" s="13" t="s">
        <v>200</v>
      </c>
      <c r="E1653" s="13" t="s">
        <v>346</v>
      </c>
      <c r="F1653" s="15">
        <v>4</v>
      </c>
      <c r="G1653" s="15">
        <v>2760</v>
      </c>
      <c r="H1653" s="15">
        <v>14</v>
      </c>
      <c r="I1653" s="15">
        <v>9494.4</v>
      </c>
      <c r="J1653" s="13" t="s">
        <v>87</v>
      </c>
      <c r="K1653" s="13" t="s">
        <v>117</v>
      </c>
      <c r="L1653">
        <f>IF(COUNTIF(A$2:A1653, A1653)=1, IF(COUNTIF(A$2:A$2001, A1653)&gt;1, 1, 0), 0)</f>
        <v>0</v>
      </c>
      <c r="M1653" t="b">
        <f>VLOOKUP(D1653, Products!A$2:F$61, 6, FALSE)</f>
        <v>1</v>
      </c>
      <c r="N1653" t="str">
        <f>VLOOKUP(D1653, Products!A$2:C$61, 3, FALSE)</f>
        <v>Grocery</v>
      </c>
      <c r="O1653" t="str">
        <f>VLOOKUP(C1653, Customers!A$2:E$301, 5, FALSE)</f>
        <v>Corporate</v>
      </c>
      <c r="P1653">
        <f>VLOOKUP(C1653, Customers!A$2:C$301, 3, FALSE)</f>
        <v>42</v>
      </c>
      <c r="Q1653" t="str">
        <f>VLOOKUP(E1653, Sales_Reps!A$2:C$31, 3, FALSE)</f>
        <v>South</v>
      </c>
      <c r="R1653">
        <f>VLOOKUP(D1653, Products!A$2:D$61, 4, FALSE)</f>
        <v>1435</v>
      </c>
    </row>
    <row r="1654" spans="1:18" x14ac:dyDescent="0.3">
      <c r="A1654" s="13" t="s">
        <v>2149</v>
      </c>
      <c r="B1654" s="14">
        <v>45597</v>
      </c>
      <c r="C1654" s="13" t="s">
        <v>208</v>
      </c>
      <c r="D1654" s="13" t="s">
        <v>367</v>
      </c>
      <c r="E1654" s="13" t="s">
        <v>192</v>
      </c>
      <c r="F1654" s="15">
        <v>5</v>
      </c>
      <c r="G1654" s="15">
        <v>2380</v>
      </c>
      <c r="H1654" s="15">
        <v>16.399999999999999</v>
      </c>
      <c r="I1654" s="15">
        <v>9948.4</v>
      </c>
      <c r="J1654" s="13" t="s">
        <v>87</v>
      </c>
      <c r="K1654" s="13" t="s">
        <v>133</v>
      </c>
      <c r="L1654">
        <f>IF(COUNTIF(A$2:A1654, A1654)=1, IF(COUNTIF(A$2:A$2001, A1654)&gt;1, 1, 0), 0)</f>
        <v>0</v>
      </c>
      <c r="M1654" t="b">
        <f>VLOOKUP(D1654, Products!A$2:F$61, 6, FALSE)</f>
        <v>1</v>
      </c>
      <c r="N1654" t="str">
        <f>VLOOKUP(D1654, Products!A$2:C$61, 3, FALSE)</f>
        <v>Grocery</v>
      </c>
      <c r="O1654" t="str">
        <f>VLOOKUP(C1654, Customers!A$2:E$301, 5, FALSE)</f>
        <v>Retail</v>
      </c>
      <c r="P1654">
        <f>VLOOKUP(C1654, Customers!A$2:C$301, 3, FALSE)</f>
        <v>26</v>
      </c>
      <c r="Q1654" t="str">
        <f>VLOOKUP(E1654, Sales_Reps!A$2:C$31, 3, FALSE)</f>
        <v>East</v>
      </c>
      <c r="R1654">
        <f>VLOOKUP(D1654, Products!A$2:D$61, 4, FALSE)</f>
        <v>1182</v>
      </c>
    </row>
    <row r="1655" spans="1:18" x14ac:dyDescent="0.3">
      <c r="A1655" s="13" t="s">
        <v>2150</v>
      </c>
      <c r="B1655" s="14">
        <v>45307</v>
      </c>
      <c r="C1655" s="13" t="s">
        <v>2151</v>
      </c>
      <c r="D1655" s="13" t="s">
        <v>241</v>
      </c>
      <c r="E1655" s="13" t="s">
        <v>188</v>
      </c>
      <c r="F1655" s="15">
        <v>2</v>
      </c>
      <c r="G1655" s="15">
        <v>6080</v>
      </c>
      <c r="H1655" s="15">
        <v>20.100000000000001</v>
      </c>
      <c r="I1655" s="15">
        <v>9715.84</v>
      </c>
      <c r="J1655" s="13" t="s">
        <v>140</v>
      </c>
      <c r="K1655" s="13" t="s">
        <v>112</v>
      </c>
      <c r="L1655">
        <f>IF(COUNTIF(A$2:A1655, A1655)=1, IF(COUNTIF(A$2:A$2001, A1655)&gt;1, 1, 0), 0)</f>
        <v>0</v>
      </c>
      <c r="M1655" t="b">
        <f>VLOOKUP(D1655, Products!A$2:F$61, 6, FALSE)</f>
        <v>1</v>
      </c>
      <c r="N1655" t="str">
        <f>VLOOKUP(D1655, Products!A$2:C$61, 3, FALSE)</f>
        <v>Beauty</v>
      </c>
      <c r="O1655" t="e">
        <f>VLOOKUP(C1655, Customers!A$2:E$301, 5, FALSE)</f>
        <v>#N/A</v>
      </c>
      <c r="P1655" t="e">
        <f>VLOOKUP(C1655, Customers!A$2:C$301, 3, FALSE)</f>
        <v>#N/A</v>
      </c>
      <c r="Q1655" t="str">
        <f>VLOOKUP(E1655, Sales_Reps!A$2:C$31, 3, FALSE)</f>
        <v>South</v>
      </c>
      <c r="R1655">
        <f>VLOOKUP(D1655, Products!A$2:D$61, 4, FALSE)</f>
        <v>2617</v>
      </c>
    </row>
    <row r="1656" spans="1:18" x14ac:dyDescent="0.3">
      <c r="A1656" s="13" t="s">
        <v>2152</v>
      </c>
      <c r="B1656" s="14">
        <v>45568</v>
      </c>
      <c r="C1656" s="13" t="s">
        <v>539</v>
      </c>
      <c r="D1656" s="13" t="s">
        <v>292</v>
      </c>
      <c r="E1656" s="13" t="s">
        <v>346</v>
      </c>
      <c r="F1656" s="15">
        <v>2</v>
      </c>
      <c r="G1656" s="15">
        <v>620</v>
      </c>
      <c r="H1656" s="15">
        <v>4.3</v>
      </c>
      <c r="I1656" s="15">
        <v>1186.68</v>
      </c>
      <c r="J1656" s="13" t="s">
        <v>87</v>
      </c>
      <c r="K1656" s="13" t="s">
        <v>133</v>
      </c>
      <c r="L1656">
        <f>IF(COUNTIF(A$2:A1656, A1656)=1, IF(COUNTIF(A$2:A$2001, A1656)&gt;1, 1, 0), 0)</f>
        <v>0</v>
      </c>
      <c r="M1656" t="b">
        <f>VLOOKUP(D1656, Products!A$2:F$61, 6, FALSE)</f>
        <v>1</v>
      </c>
      <c r="N1656" t="str">
        <f>VLOOKUP(D1656, Products!A$2:C$61, 3, FALSE)</f>
        <v>Apparel</v>
      </c>
      <c r="O1656" t="str">
        <f>VLOOKUP(C1656, Customers!A$2:E$301, 5, FALSE)</f>
        <v>Retail</v>
      </c>
      <c r="P1656">
        <f>VLOOKUP(C1656, Customers!A$2:C$301, 3, FALSE)</f>
        <v>38</v>
      </c>
      <c r="Q1656" t="str">
        <f>VLOOKUP(E1656, Sales_Reps!A$2:C$31, 3, FALSE)</f>
        <v>South</v>
      </c>
      <c r="R1656">
        <f>VLOOKUP(D1656, Products!A$2:D$61, 4, FALSE)</f>
        <v>396</v>
      </c>
    </row>
    <row r="1657" spans="1:18" x14ac:dyDescent="0.3">
      <c r="A1657" s="13" t="s">
        <v>2153</v>
      </c>
      <c r="B1657" s="14">
        <v>45654</v>
      </c>
      <c r="C1657" s="13" t="s">
        <v>472</v>
      </c>
      <c r="D1657" s="13" t="s">
        <v>248</v>
      </c>
      <c r="E1657" s="13" t="s">
        <v>325</v>
      </c>
      <c r="F1657" s="15">
        <v>7</v>
      </c>
      <c r="G1657" s="15">
        <v>3870</v>
      </c>
      <c r="H1657" s="15">
        <v>5.9</v>
      </c>
      <c r="I1657" s="15">
        <v>25491.69</v>
      </c>
      <c r="J1657" s="13" t="s">
        <v>87</v>
      </c>
      <c r="K1657" s="13" t="s">
        <v>94</v>
      </c>
      <c r="L1657">
        <f>IF(COUNTIF(A$2:A1657, A1657)=1, IF(COUNTIF(A$2:A$2001, A1657)&gt;1, 1, 0), 0)</f>
        <v>0</v>
      </c>
      <c r="M1657" t="b">
        <f>VLOOKUP(D1657, Products!A$2:F$61, 6, FALSE)</f>
        <v>1</v>
      </c>
      <c r="N1657" t="str">
        <f>VLOOKUP(D1657, Products!A$2:C$61, 3, FALSE)</f>
        <v>Electronics</v>
      </c>
      <c r="O1657" t="str">
        <f>VLOOKUP(C1657, Customers!A$2:E$301, 5, FALSE)</f>
        <v>Corporate</v>
      </c>
      <c r="P1657">
        <f>VLOOKUP(C1657, Customers!A$2:C$301, 3, FALSE)</f>
        <v>35</v>
      </c>
      <c r="Q1657" t="str">
        <f>VLOOKUP(E1657, Sales_Reps!A$2:C$31, 3, FALSE)</f>
        <v>South</v>
      </c>
      <c r="R1657">
        <f>VLOOKUP(D1657, Products!A$2:D$61, 4, FALSE)</f>
        <v>1559</v>
      </c>
    </row>
    <row r="1658" spans="1:18" x14ac:dyDescent="0.3">
      <c r="A1658" s="13" t="s">
        <v>2154</v>
      </c>
      <c r="B1658" s="14">
        <v>45412</v>
      </c>
      <c r="C1658" s="13" t="s">
        <v>1006</v>
      </c>
      <c r="D1658" s="13" t="s">
        <v>187</v>
      </c>
      <c r="E1658" s="13" t="s">
        <v>192</v>
      </c>
      <c r="F1658" s="15">
        <v>8</v>
      </c>
      <c r="G1658" s="15">
        <v>3570</v>
      </c>
      <c r="H1658" s="15">
        <v>24.6</v>
      </c>
      <c r="I1658" s="15">
        <v>21534.240000000002</v>
      </c>
      <c r="J1658" s="13" t="s">
        <v>87</v>
      </c>
      <c r="K1658" s="13" t="s">
        <v>117</v>
      </c>
      <c r="L1658">
        <f>IF(COUNTIF(A$2:A1658, A1658)=1, IF(COUNTIF(A$2:A$2001, A1658)&gt;1, 1, 0), 0)</f>
        <v>0</v>
      </c>
      <c r="M1658" t="b">
        <f>VLOOKUP(D1658, Products!A$2:F$61, 6, FALSE)</f>
        <v>1</v>
      </c>
      <c r="N1658" t="str">
        <f>VLOOKUP(D1658, Products!A$2:C$61, 3, FALSE)</f>
        <v>Electronics</v>
      </c>
      <c r="O1658" t="str">
        <f>VLOOKUP(C1658, Customers!A$2:E$301, 5, FALSE)</f>
        <v>SMB</v>
      </c>
      <c r="P1658">
        <f>VLOOKUP(C1658, Customers!A$2:C$301, 3, FALSE)</f>
        <v>44</v>
      </c>
      <c r="Q1658" t="str">
        <f>VLOOKUP(E1658, Sales_Reps!A$2:C$31, 3, FALSE)</f>
        <v>East</v>
      </c>
      <c r="R1658">
        <f>VLOOKUP(D1658, Products!A$2:D$61, 4, FALSE)</f>
        <v>1665</v>
      </c>
    </row>
    <row r="1659" spans="1:18" x14ac:dyDescent="0.3">
      <c r="A1659" s="13" t="s">
        <v>2155</v>
      </c>
      <c r="B1659" s="14">
        <v>45653</v>
      </c>
      <c r="C1659" s="13" t="s">
        <v>247</v>
      </c>
      <c r="D1659" s="13" t="s">
        <v>264</v>
      </c>
      <c r="E1659" s="13" t="s">
        <v>132</v>
      </c>
      <c r="F1659" s="15">
        <v>1</v>
      </c>
      <c r="G1659" s="15">
        <v>4070</v>
      </c>
      <c r="H1659" s="15">
        <v>29.1</v>
      </c>
      <c r="I1659" s="15">
        <v>2885.63</v>
      </c>
      <c r="J1659" s="13" t="s">
        <v>93</v>
      </c>
      <c r="K1659" s="13" t="s">
        <v>117</v>
      </c>
      <c r="L1659">
        <f>IF(COUNTIF(A$2:A1659, A1659)=1, IF(COUNTIF(A$2:A$2001, A1659)&gt;1, 1, 0), 0)</f>
        <v>0</v>
      </c>
      <c r="M1659" t="b">
        <f>VLOOKUP(D1659, Products!A$2:F$61, 6, FALSE)</f>
        <v>1</v>
      </c>
      <c r="N1659" t="str">
        <f>VLOOKUP(D1659, Products!A$2:C$61, 3, FALSE)</f>
        <v>Grocery</v>
      </c>
      <c r="O1659" t="str">
        <f>VLOOKUP(C1659, Customers!A$2:E$301, 5, FALSE)</f>
        <v>Retail</v>
      </c>
      <c r="P1659">
        <f>VLOOKUP(C1659, Customers!A$2:C$301, 3, FALSE)</f>
        <v>34</v>
      </c>
      <c r="Q1659" t="str">
        <f>VLOOKUP(E1659, Sales_Reps!A$2:C$31, 3, FALSE)</f>
        <v>South</v>
      </c>
      <c r="R1659">
        <f>VLOOKUP(D1659, Products!A$2:D$61, 4, FALSE)</f>
        <v>2027</v>
      </c>
    </row>
    <row r="1660" spans="1:18" x14ac:dyDescent="0.3">
      <c r="A1660" s="13" t="s">
        <v>2156</v>
      </c>
      <c r="B1660" s="14">
        <v>45568</v>
      </c>
      <c r="C1660" s="13" t="s">
        <v>510</v>
      </c>
      <c r="D1660" s="13" t="s">
        <v>91</v>
      </c>
      <c r="E1660" s="13" t="s">
        <v>238</v>
      </c>
      <c r="F1660" s="15">
        <v>1</v>
      </c>
      <c r="G1660" s="15">
        <v>820</v>
      </c>
      <c r="H1660" s="15">
        <v>17.899999999999999</v>
      </c>
      <c r="I1660" s="15">
        <v>673.22</v>
      </c>
      <c r="J1660" s="13" t="s">
        <v>87</v>
      </c>
      <c r="K1660" s="13" t="s">
        <v>117</v>
      </c>
      <c r="L1660">
        <f>IF(COUNTIF(A$2:A1660, A1660)=1, IF(COUNTIF(A$2:A$2001, A1660)&gt;1, 1, 0), 0)</f>
        <v>0</v>
      </c>
      <c r="M1660" t="b">
        <f>VLOOKUP(D1660, Products!A$2:F$61, 6, FALSE)</f>
        <v>1</v>
      </c>
      <c r="N1660" t="str">
        <f>VLOOKUP(D1660, Products!A$2:C$61, 3, FALSE)</f>
        <v>Apparel</v>
      </c>
      <c r="O1660" t="str">
        <f>VLOOKUP(C1660, Customers!A$2:E$301, 5, FALSE)</f>
        <v>SMB</v>
      </c>
      <c r="P1660">
        <f>VLOOKUP(C1660, Customers!A$2:C$301, 3, FALSE)</f>
        <v>26</v>
      </c>
      <c r="Q1660" t="str">
        <f>VLOOKUP(E1660, Sales_Reps!A$2:C$31, 3, FALSE)</f>
        <v>East</v>
      </c>
      <c r="R1660">
        <f>VLOOKUP(D1660, Products!A$2:D$61, 4, FALSE)</f>
        <v>391</v>
      </c>
    </row>
    <row r="1661" spans="1:18" x14ac:dyDescent="0.3">
      <c r="A1661" s="13" t="s">
        <v>2157</v>
      </c>
      <c r="B1661" s="14">
        <v>45643</v>
      </c>
      <c r="C1661" s="13" t="s">
        <v>299</v>
      </c>
      <c r="D1661" s="13" t="s">
        <v>276</v>
      </c>
      <c r="E1661" s="13" t="s">
        <v>229</v>
      </c>
      <c r="F1661" s="15">
        <v>5</v>
      </c>
      <c r="G1661" s="15">
        <v>3020</v>
      </c>
      <c r="H1661" s="15">
        <v>26.2</v>
      </c>
      <c r="I1661" s="15">
        <v>11143.8</v>
      </c>
      <c r="J1661" s="13" t="s">
        <v>87</v>
      </c>
      <c r="K1661" s="13" t="s">
        <v>133</v>
      </c>
      <c r="L1661">
        <f>IF(COUNTIF(A$2:A1661, A1661)=1, IF(COUNTIF(A$2:A$2001, A1661)&gt;1, 1, 0), 0)</f>
        <v>0</v>
      </c>
      <c r="M1661" t="b">
        <f>VLOOKUP(D1661, Products!A$2:F$61, 6, FALSE)</f>
        <v>1</v>
      </c>
      <c r="N1661" t="str">
        <f>VLOOKUP(D1661, Products!A$2:C$61, 3, FALSE)</f>
        <v>Beauty</v>
      </c>
      <c r="O1661" t="str">
        <f>VLOOKUP(C1661, Customers!A$2:E$301, 5, FALSE)</f>
        <v>Retail</v>
      </c>
      <c r="P1661">
        <f>VLOOKUP(C1661, Customers!A$2:C$301, 3, FALSE)</f>
        <v>29</v>
      </c>
      <c r="Q1661" t="str">
        <f>VLOOKUP(E1661, Sales_Reps!A$2:C$31, 3, FALSE)</f>
        <v>West</v>
      </c>
      <c r="R1661">
        <f>VLOOKUP(D1661, Products!A$2:D$61, 4, FALSE)</f>
        <v>1626</v>
      </c>
    </row>
    <row r="1662" spans="1:18" x14ac:dyDescent="0.3">
      <c r="A1662" s="13" t="s">
        <v>2158</v>
      </c>
      <c r="B1662" s="14">
        <v>45411</v>
      </c>
      <c r="C1662" s="13" t="s">
        <v>628</v>
      </c>
      <c r="D1662" s="13" t="s">
        <v>659</v>
      </c>
      <c r="E1662" s="13" t="s">
        <v>285</v>
      </c>
      <c r="F1662" s="15">
        <v>10</v>
      </c>
      <c r="G1662" s="15">
        <v>3560</v>
      </c>
      <c r="H1662" s="15">
        <v>15.4</v>
      </c>
      <c r="I1662" s="15">
        <v>30117.599999999999</v>
      </c>
      <c r="J1662" s="13" t="s">
        <v>144</v>
      </c>
      <c r="K1662" s="13" t="s">
        <v>133</v>
      </c>
      <c r="L1662">
        <f>IF(COUNTIF(A$2:A1662, A1662)=1, IF(COUNTIF(A$2:A$2001, A1662)&gt;1, 1, 0), 0)</f>
        <v>0</v>
      </c>
      <c r="M1662" t="b">
        <f>VLOOKUP(D1662, Products!A$2:F$61, 6, FALSE)</f>
        <v>1</v>
      </c>
      <c r="N1662" t="str">
        <f>VLOOKUP(D1662, Products!A$2:C$61, 3, FALSE)</f>
        <v>Apparel</v>
      </c>
      <c r="O1662" t="str">
        <f>VLOOKUP(C1662, Customers!A$2:E$301, 5, FALSE)</f>
        <v>Corporate</v>
      </c>
      <c r="P1662">
        <f>VLOOKUP(C1662, Customers!A$2:C$301, 3, FALSE)</f>
        <v>22</v>
      </c>
      <c r="Q1662" t="str">
        <f>VLOOKUP(E1662, Sales_Reps!A$2:C$31, 3, FALSE)</f>
        <v>East</v>
      </c>
      <c r="R1662">
        <f>VLOOKUP(D1662, Products!A$2:D$61, 4, FALSE)</f>
        <v>2629</v>
      </c>
    </row>
    <row r="1663" spans="1:18" x14ac:dyDescent="0.3">
      <c r="A1663" s="13" t="s">
        <v>1458</v>
      </c>
      <c r="B1663" s="14">
        <v>45467</v>
      </c>
      <c r="C1663" s="13" t="s">
        <v>278</v>
      </c>
      <c r="D1663" s="13" t="s">
        <v>179</v>
      </c>
      <c r="E1663" s="13" t="s">
        <v>215</v>
      </c>
      <c r="F1663" s="15">
        <v>3</v>
      </c>
      <c r="G1663" s="15">
        <v>3350</v>
      </c>
      <c r="H1663" s="15">
        <v>8.1</v>
      </c>
      <c r="I1663" s="15">
        <v>9235.9500000000007</v>
      </c>
      <c r="J1663" s="13" t="s">
        <v>87</v>
      </c>
      <c r="K1663" s="13" t="s">
        <v>133</v>
      </c>
      <c r="L1663">
        <f>IF(COUNTIF(A$2:A1663, A1663)=1, IF(COUNTIF(A$2:A$2001, A1663)&gt;1, 1, 0), 0)</f>
        <v>0</v>
      </c>
      <c r="M1663" t="b">
        <f>VLOOKUP(D1663, Products!A$2:F$61, 6, FALSE)</f>
        <v>1</v>
      </c>
      <c r="N1663" t="str">
        <f>VLOOKUP(D1663, Products!A$2:C$61, 3, FALSE)</f>
        <v>Beauty</v>
      </c>
      <c r="O1663" t="str">
        <f>VLOOKUP(C1663, Customers!A$2:E$301, 5, FALSE)</f>
        <v>Corporate</v>
      </c>
      <c r="P1663">
        <f>VLOOKUP(C1663, Customers!A$2:C$301, 3, FALSE)</f>
        <v>29</v>
      </c>
      <c r="Q1663" t="str">
        <f>VLOOKUP(E1663, Sales_Reps!A$2:C$31, 3, FALSE)</f>
        <v>North</v>
      </c>
      <c r="R1663">
        <f>VLOOKUP(D1663, Products!A$2:D$61, 4, FALSE)</f>
        <v>1728</v>
      </c>
    </row>
    <row r="1664" spans="1:18" x14ac:dyDescent="0.3">
      <c r="A1664" s="13" t="s">
        <v>2159</v>
      </c>
      <c r="B1664" s="14">
        <v>45542</v>
      </c>
      <c r="C1664" s="13" t="s">
        <v>720</v>
      </c>
      <c r="D1664" s="13" t="s">
        <v>386</v>
      </c>
      <c r="E1664" s="13" t="s">
        <v>111</v>
      </c>
      <c r="F1664" s="15">
        <v>10</v>
      </c>
      <c r="G1664" s="15">
        <v>2290</v>
      </c>
      <c r="H1664" s="15">
        <v>7</v>
      </c>
      <c r="I1664" s="15">
        <v>21297</v>
      </c>
      <c r="J1664" s="13" t="s">
        <v>87</v>
      </c>
      <c r="K1664" s="13" t="s">
        <v>88</v>
      </c>
      <c r="L1664">
        <f>IF(COUNTIF(A$2:A1664, A1664)=1, IF(COUNTIF(A$2:A$2001, A1664)&gt;1, 1, 0), 0)</f>
        <v>0</v>
      </c>
      <c r="M1664" t="b">
        <f>VLOOKUP(D1664, Products!A$2:F$61, 6, FALSE)</f>
        <v>1</v>
      </c>
      <c r="N1664" t="str">
        <f>VLOOKUP(D1664, Products!A$2:C$61, 3, FALSE)</f>
        <v>Beauty</v>
      </c>
      <c r="O1664" t="str">
        <f>VLOOKUP(C1664, Customers!A$2:E$301, 5, FALSE)</f>
        <v>Retail</v>
      </c>
      <c r="P1664">
        <f>VLOOKUP(C1664, Customers!A$2:C$301, 3, FALSE)</f>
        <v>48</v>
      </c>
      <c r="Q1664" t="str">
        <f>VLOOKUP(E1664, Sales_Reps!A$2:C$31, 3, FALSE)</f>
        <v>West</v>
      </c>
      <c r="R1664">
        <f>VLOOKUP(D1664, Products!A$2:D$61, 4, FALSE)</f>
        <v>1219</v>
      </c>
    </row>
    <row r="1665" spans="1:18" x14ac:dyDescent="0.3">
      <c r="A1665" s="13" t="s">
        <v>2160</v>
      </c>
      <c r="B1665" s="14">
        <v>45483</v>
      </c>
      <c r="C1665" s="13" t="s">
        <v>411</v>
      </c>
      <c r="D1665" s="13" t="s">
        <v>102</v>
      </c>
      <c r="E1665" s="13" t="s">
        <v>148</v>
      </c>
      <c r="F1665" s="15">
        <v>6</v>
      </c>
      <c r="G1665" s="15">
        <v>3660</v>
      </c>
      <c r="H1665" s="15">
        <v>29.9</v>
      </c>
      <c r="I1665" s="15">
        <v>15393.96</v>
      </c>
      <c r="J1665" s="13" t="s">
        <v>87</v>
      </c>
      <c r="K1665" s="13" t="s">
        <v>112</v>
      </c>
      <c r="L1665">
        <f>IF(COUNTIF(A$2:A1665, A1665)=1, IF(COUNTIF(A$2:A$2001, A1665)&gt;1, 1, 0), 0)</f>
        <v>0</v>
      </c>
      <c r="M1665" t="b">
        <f>VLOOKUP(D1665, Products!A$2:F$61, 6, FALSE)</f>
        <v>0</v>
      </c>
      <c r="N1665" t="str">
        <f>VLOOKUP(D1665, Products!A$2:C$61, 3, FALSE)</f>
        <v>Grocery</v>
      </c>
      <c r="O1665" t="str">
        <f>VLOOKUP(C1665, Customers!A$2:E$301, 5, FALSE)</f>
        <v>Retail</v>
      </c>
      <c r="P1665">
        <f>VLOOKUP(C1665, Customers!A$2:C$301, 3, FALSE)</f>
        <v>61</v>
      </c>
      <c r="Q1665" t="str">
        <f>VLOOKUP(E1665, Sales_Reps!A$2:C$31, 3, FALSE)</f>
        <v>North</v>
      </c>
      <c r="R1665">
        <f>VLOOKUP(D1665, Products!A$2:D$61, 4, FALSE)</f>
        <v>2214</v>
      </c>
    </row>
    <row r="1666" spans="1:18" x14ac:dyDescent="0.3">
      <c r="A1666" s="13" t="s">
        <v>2161</v>
      </c>
      <c r="B1666" s="14">
        <v>45426</v>
      </c>
      <c r="C1666" s="13" t="s">
        <v>524</v>
      </c>
      <c r="D1666" s="13" t="s">
        <v>135</v>
      </c>
      <c r="E1666" s="13" t="s">
        <v>252</v>
      </c>
      <c r="F1666" s="15">
        <v>8</v>
      </c>
      <c r="G1666" s="15">
        <v>2640</v>
      </c>
      <c r="H1666" s="15">
        <v>4.2</v>
      </c>
      <c r="I1666" s="15">
        <v>20232.96</v>
      </c>
      <c r="J1666" s="13" t="s">
        <v>144</v>
      </c>
      <c r="K1666" s="13" t="s">
        <v>112</v>
      </c>
      <c r="L1666">
        <f>IF(COUNTIF(A$2:A1666, A1666)=1, IF(COUNTIF(A$2:A$2001, A1666)&gt;1, 1, 0), 0)</f>
        <v>0</v>
      </c>
      <c r="M1666" t="b">
        <f>VLOOKUP(D1666, Products!A$2:F$61, 6, FALSE)</f>
        <v>1</v>
      </c>
      <c r="N1666" t="str">
        <f>VLOOKUP(D1666, Products!A$2:C$61, 3, FALSE)</f>
        <v>Electronics</v>
      </c>
      <c r="O1666" t="str">
        <f>VLOOKUP(C1666, Customers!A$2:E$301, 5, FALSE)</f>
        <v>Corporate</v>
      </c>
      <c r="P1666">
        <f>VLOOKUP(C1666, Customers!A$2:C$301, 3, FALSE)</f>
        <v>55</v>
      </c>
      <c r="Q1666" t="str">
        <f>VLOOKUP(E1666, Sales_Reps!A$2:C$31, 3, FALSE)</f>
        <v>South</v>
      </c>
      <c r="R1666">
        <f>VLOOKUP(D1666, Products!A$2:D$61, 4, FALSE)</f>
        <v>1149</v>
      </c>
    </row>
    <row r="1667" spans="1:18" x14ac:dyDescent="0.3">
      <c r="A1667" s="13" t="s">
        <v>2162</v>
      </c>
      <c r="B1667" s="14">
        <v>45386</v>
      </c>
      <c r="C1667" s="13" t="s">
        <v>150</v>
      </c>
      <c r="D1667" s="13" t="s">
        <v>110</v>
      </c>
      <c r="E1667" s="13" t="s">
        <v>103</v>
      </c>
      <c r="F1667" s="15">
        <v>5</v>
      </c>
      <c r="G1667" s="15">
        <v>370</v>
      </c>
      <c r="H1667" s="15">
        <v>6</v>
      </c>
      <c r="I1667" s="15">
        <v>1739</v>
      </c>
      <c r="J1667" s="13" t="s">
        <v>87</v>
      </c>
      <c r="K1667" s="13" t="s">
        <v>88</v>
      </c>
      <c r="L1667">
        <f>IF(COUNTIF(A$2:A1667, A1667)=1, IF(COUNTIF(A$2:A$2001, A1667)&gt;1, 1, 0), 0)</f>
        <v>0</v>
      </c>
      <c r="M1667" t="b">
        <f>VLOOKUP(D1667, Products!A$2:F$61, 6, FALSE)</f>
        <v>1</v>
      </c>
      <c r="N1667" t="str">
        <f>VLOOKUP(D1667, Products!A$2:C$61, 3, FALSE)</f>
        <v>Home</v>
      </c>
      <c r="O1667" t="str">
        <f>VLOOKUP(C1667, Customers!A$2:E$301, 5, FALSE)</f>
        <v>Retail</v>
      </c>
      <c r="P1667">
        <f>VLOOKUP(C1667, Customers!A$2:C$301, 3, FALSE)</f>
        <v>63</v>
      </c>
      <c r="Q1667" t="str">
        <f>VLOOKUP(E1667, Sales_Reps!A$2:C$31, 3, FALSE)</f>
        <v>North</v>
      </c>
      <c r="R1667">
        <f>VLOOKUP(D1667, Products!A$2:D$61, 4, FALSE)</f>
        <v>288</v>
      </c>
    </row>
    <row r="1668" spans="1:18" x14ac:dyDescent="0.3">
      <c r="A1668" s="13" t="s">
        <v>2163</v>
      </c>
      <c r="B1668" s="14">
        <v>45377</v>
      </c>
      <c r="C1668" s="13" t="s">
        <v>1065</v>
      </c>
      <c r="D1668" s="13" t="s">
        <v>131</v>
      </c>
      <c r="E1668" s="13" t="s">
        <v>86</v>
      </c>
      <c r="F1668" s="15">
        <v>9</v>
      </c>
      <c r="G1668" s="15">
        <v>2270</v>
      </c>
      <c r="H1668" s="15">
        <v>4.7</v>
      </c>
      <c r="I1668" s="15">
        <v>19469.79</v>
      </c>
      <c r="J1668" s="13" t="s">
        <v>87</v>
      </c>
      <c r="K1668" s="13" t="s">
        <v>94</v>
      </c>
      <c r="L1668">
        <f>IF(COUNTIF(A$2:A1668, A1668)=1, IF(COUNTIF(A$2:A$2001, A1668)&gt;1, 1, 0), 0)</f>
        <v>0</v>
      </c>
      <c r="M1668" t="b">
        <f>VLOOKUP(D1668, Products!A$2:F$61, 6, FALSE)</f>
        <v>1</v>
      </c>
      <c r="N1668" t="str">
        <f>VLOOKUP(D1668, Products!A$2:C$61, 3, FALSE)</f>
        <v>Grocery</v>
      </c>
      <c r="O1668" t="str">
        <f>VLOOKUP(C1668, Customers!A$2:E$301, 5, FALSE)</f>
        <v>Retail</v>
      </c>
      <c r="P1668">
        <f>VLOOKUP(C1668, Customers!A$2:C$301, 3, FALSE)</f>
        <v>49</v>
      </c>
      <c r="Q1668" t="str">
        <f>VLOOKUP(E1668, Sales_Reps!A$2:C$31, 3, FALSE)</f>
        <v>North</v>
      </c>
      <c r="R1668">
        <f>VLOOKUP(D1668, Products!A$2:D$61, 4, FALSE)</f>
        <v>1203</v>
      </c>
    </row>
    <row r="1669" spans="1:18" x14ac:dyDescent="0.3">
      <c r="A1669" s="13" t="s">
        <v>2164</v>
      </c>
      <c r="B1669" s="14">
        <v>45414</v>
      </c>
      <c r="C1669" s="13" t="s">
        <v>837</v>
      </c>
      <c r="D1669" s="13" t="s">
        <v>203</v>
      </c>
      <c r="E1669" s="13" t="s">
        <v>273</v>
      </c>
      <c r="F1669" s="15">
        <v>5</v>
      </c>
      <c r="G1669" s="15">
        <v>660</v>
      </c>
      <c r="H1669" s="15">
        <v>21</v>
      </c>
      <c r="I1669" s="15">
        <v>2607</v>
      </c>
      <c r="J1669" s="13" t="s">
        <v>87</v>
      </c>
      <c r="K1669" s="13" t="s">
        <v>117</v>
      </c>
      <c r="L1669">
        <f>IF(COUNTIF(A$2:A1669, A1669)=1, IF(COUNTIF(A$2:A$2001, A1669)&gt;1, 1, 0), 0)</f>
        <v>0</v>
      </c>
      <c r="M1669" t="b">
        <f>VLOOKUP(D1669, Products!A$2:F$61, 6, FALSE)</f>
        <v>1</v>
      </c>
      <c r="N1669" t="str">
        <f>VLOOKUP(D1669, Products!A$2:C$61, 3, FALSE)</f>
        <v>Home</v>
      </c>
      <c r="O1669" t="str">
        <f>VLOOKUP(C1669, Customers!A$2:E$301, 5, FALSE)</f>
        <v>Retail</v>
      </c>
      <c r="P1669">
        <f>VLOOKUP(C1669, Customers!A$2:C$301, 3, FALSE)</f>
        <v>37</v>
      </c>
      <c r="Q1669" t="str">
        <f>VLOOKUP(E1669, Sales_Reps!A$2:C$31, 3, FALSE)</f>
        <v>South</v>
      </c>
      <c r="R1669">
        <f>VLOOKUP(D1669, Products!A$2:D$61, 4, FALSE)</f>
        <v>329</v>
      </c>
    </row>
    <row r="1670" spans="1:18" x14ac:dyDescent="0.3">
      <c r="A1670" s="13" t="s">
        <v>2165</v>
      </c>
      <c r="B1670" s="14">
        <v>45407</v>
      </c>
      <c r="C1670" s="13" t="s">
        <v>2166</v>
      </c>
      <c r="D1670" s="13" t="s">
        <v>115</v>
      </c>
      <c r="E1670" s="13" t="s">
        <v>148</v>
      </c>
      <c r="F1670" s="15">
        <v>2</v>
      </c>
      <c r="G1670" s="15">
        <v>960</v>
      </c>
      <c r="H1670" s="15">
        <v>7.3</v>
      </c>
      <c r="I1670" s="15">
        <v>1779.84</v>
      </c>
      <c r="J1670" s="13" t="s">
        <v>87</v>
      </c>
      <c r="K1670" s="13" t="s">
        <v>117</v>
      </c>
      <c r="L1670">
        <f>IF(COUNTIF(A$2:A1670, A1670)=1, IF(COUNTIF(A$2:A$2001, A1670)&gt;1, 1, 0), 0)</f>
        <v>0</v>
      </c>
      <c r="M1670" t="b">
        <f>VLOOKUP(D1670, Products!A$2:F$61, 6, FALSE)</f>
        <v>1</v>
      </c>
      <c r="N1670" t="str">
        <f>VLOOKUP(D1670, Products!A$2:C$61, 3, FALSE)</f>
        <v>Sports</v>
      </c>
      <c r="O1670" t="e">
        <f>VLOOKUP(C1670, Customers!A$2:E$301, 5, FALSE)</f>
        <v>#N/A</v>
      </c>
      <c r="P1670" t="e">
        <f>VLOOKUP(C1670, Customers!A$2:C$301, 3, FALSE)</f>
        <v>#N/A</v>
      </c>
      <c r="Q1670" t="str">
        <f>VLOOKUP(E1670, Sales_Reps!A$2:C$31, 3, FALSE)</f>
        <v>North</v>
      </c>
      <c r="R1670">
        <f>VLOOKUP(D1670, Products!A$2:D$61, 4, FALSE)</f>
        <v>705</v>
      </c>
    </row>
    <row r="1671" spans="1:18" x14ac:dyDescent="0.3">
      <c r="A1671" s="13" t="s">
        <v>2167</v>
      </c>
      <c r="B1671" s="14">
        <v>45509</v>
      </c>
      <c r="C1671" s="13" t="s">
        <v>166</v>
      </c>
      <c r="D1671" s="13" t="s">
        <v>191</v>
      </c>
      <c r="E1671" s="13" t="s">
        <v>204</v>
      </c>
      <c r="F1671" s="15">
        <v>3</v>
      </c>
      <c r="G1671" s="15">
        <v>5100</v>
      </c>
      <c r="H1671" s="15">
        <v>21</v>
      </c>
      <c r="I1671" s="15">
        <v>12087</v>
      </c>
      <c r="J1671" s="13" t="s">
        <v>87</v>
      </c>
      <c r="K1671" s="13" t="s">
        <v>133</v>
      </c>
      <c r="L1671">
        <f>IF(COUNTIF(A$2:A1671, A1671)=1, IF(COUNTIF(A$2:A$2001, A1671)&gt;1, 1, 0), 0)</f>
        <v>0</v>
      </c>
      <c r="M1671" t="b">
        <f>VLOOKUP(D1671, Products!A$2:F$61, 6, FALSE)</f>
        <v>1</v>
      </c>
      <c r="N1671" t="str">
        <f>VLOOKUP(D1671, Products!A$2:C$61, 3, FALSE)</f>
        <v>Beauty</v>
      </c>
      <c r="O1671" t="str">
        <f>VLOOKUP(C1671, Customers!A$2:E$301, 5, FALSE)</f>
        <v>Retail</v>
      </c>
      <c r="P1671">
        <f>VLOOKUP(C1671, Customers!A$2:C$301, 3, FALSE)</f>
        <v>32</v>
      </c>
      <c r="Q1671" t="str">
        <f>VLOOKUP(E1671, Sales_Reps!A$2:C$31, 3, FALSE)</f>
        <v>South</v>
      </c>
      <c r="R1671">
        <f>VLOOKUP(D1671, Products!A$2:D$61, 4, FALSE)</f>
        <v>2237</v>
      </c>
    </row>
    <row r="1672" spans="1:18" x14ac:dyDescent="0.3">
      <c r="A1672" s="13" t="s">
        <v>2168</v>
      </c>
      <c r="B1672" s="14">
        <v>45566</v>
      </c>
      <c r="C1672" s="13" t="s">
        <v>281</v>
      </c>
      <c r="D1672" s="13" t="s">
        <v>106</v>
      </c>
      <c r="E1672" s="13" t="s">
        <v>139</v>
      </c>
      <c r="F1672" s="15">
        <v>3</v>
      </c>
      <c r="G1672" s="15">
        <v>3160</v>
      </c>
      <c r="H1672" s="15">
        <v>13.5</v>
      </c>
      <c r="I1672" s="15">
        <v>8200.2000000000007</v>
      </c>
      <c r="J1672" s="13" t="s">
        <v>87</v>
      </c>
      <c r="K1672" s="13" t="s">
        <v>88</v>
      </c>
      <c r="L1672">
        <f>IF(COUNTIF(A$2:A1672, A1672)=1, IF(COUNTIF(A$2:A$2001, A1672)&gt;1, 1, 0), 0)</f>
        <v>0</v>
      </c>
      <c r="M1672" t="b">
        <f>VLOOKUP(D1672, Products!A$2:F$61, 6, FALSE)</f>
        <v>1</v>
      </c>
      <c r="N1672" t="str">
        <f>VLOOKUP(D1672, Products!A$2:C$61, 3, FALSE)</f>
        <v>Apparel</v>
      </c>
      <c r="O1672" t="str">
        <f>VLOOKUP(C1672, Customers!A$2:E$301, 5, FALSE)</f>
        <v>Retail</v>
      </c>
      <c r="P1672">
        <f>VLOOKUP(C1672, Customers!A$2:C$301, 3, FALSE)</f>
        <v>25</v>
      </c>
      <c r="Q1672" t="str">
        <f>VLOOKUP(E1672, Sales_Reps!A$2:C$31, 3, FALSE)</f>
        <v>North</v>
      </c>
      <c r="R1672">
        <f>VLOOKUP(D1672, Products!A$2:D$61, 4, FALSE)</f>
        <v>1886</v>
      </c>
    </row>
    <row r="1673" spans="1:18" x14ac:dyDescent="0.3">
      <c r="A1673" s="13" t="s">
        <v>2169</v>
      </c>
      <c r="B1673" s="14">
        <v>45524</v>
      </c>
      <c r="C1673" s="13" t="s">
        <v>2170</v>
      </c>
      <c r="D1673" s="13" t="s">
        <v>259</v>
      </c>
      <c r="E1673" s="13" t="s">
        <v>92</v>
      </c>
      <c r="F1673" s="15">
        <v>9</v>
      </c>
      <c r="G1673" s="15">
        <v>1540</v>
      </c>
      <c r="H1673" s="15">
        <v>18.2</v>
      </c>
      <c r="I1673" s="15">
        <v>11337.48</v>
      </c>
      <c r="J1673" s="13" t="s">
        <v>140</v>
      </c>
      <c r="K1673" s="13" t="s">
        <v>117</v>
      </c>
      <c r="L1673">
        <f>IF(COUNTIF(A$2:A1673, A1673)=1, IF(COUNTIF(A$2:A$2001, A1673)&gt;1, 1, 0), 0)</f>
        <v>0</v>
      </c>
      <c r="M1673" t="b">
        <f>VLOOKUP(D1673, Products!A$2:F$61, 6, FALSE)</f>
        <v>0</v>
      </c>
      <c r="N1673" t="str">
        <f>VLOOKUP(D1673, Products!A$2:C$61, 3, FALSE)</f>
        <v>Beauty</v>
      </c>
      <c r="O1673" t="e">
        <f>VLOOKUP(C1673, Customers!A$2:E$301, 5, FALSE)</f>
        <v>#N/A</v>
      </c>
      <c r="P1673" t="e">
        <f>VLOOKUP(C1673, Customers!A$2:C$301, 3, FALSE)</f>
        <v>#N/A</v>
      </c>
      <c r="Q1673" t="str">
        <f>VLOOKUP(E1673, Sales_Reps!A$2:C$31, 3, FALSE)</f>
        <v>North</v>
      </c>
      <c r="R1673">
        <f>VLOOKUP(D1673, Products!A$2:D$61, 4, FALSE)</f>
        <v>647</v>
      </c>
    </row>
    <row r="1674" spans="1:18" x14ac:dyDescent="0.3">
      <c r="A1674" s="13" t="s">
        <v>2171</v>
      </c>
      <c r="B1674" s="14">
        <v>45431</v>
      </c>
      <c r="C1674" s="13" t="s">
        <v>153</v>
      </c>
      <c r="D1674" s="13" t="s">
        <v>157</v>
      </c>
      <c r="E1674" s="13" t="s">
        <v>116</v>
      </c>
      <c r="F1674" s="15">
        <v>4</v>
      </c>
      <c r="G1674" s="15">
        <v>3450</v>
      </c>
      <c r="H1674" s="15">
        <v>26.4</v>
      </c>
      <c r="I1674" s="15">
        <v>10156.799999999999</v>
      </c>
      <c r="J1674" s="13" t="s">
        <v>93</v>
      </c>
      <c r="K1674" s="13" t="s">
        <v>117</v>
      </c>
      <c r="L1674">
        <f>IF(COUNTIF(A$2:A1674, A1674)=1, IF(COUNTIF(A$2:A$2001, A1674)&gt;1, 1, 0), 0)</f>
        <v>0</v>
      </c>
      <c r="M1674" t="b">
        <f>VLOOKUP(D1674, Products!A$2:F$61, 6, FALSE)</f>
        <v>1</v>
      </c>
      <c r="N1674" t="str">
        <f>VLOOKUP(D1674, Products!A$2:C$61, 3, FALSE)</f>
        <v>Beauty</v>
      </c>
      <c r="O1674" t="str">
        <f>VLOOKUP(C1674, Customers!A$2:E$301, 5, FALSE)</f>
        <v>SMB</v>
      </c>
      <c r="P1674">
        <f>VLOOKUP(C1674, Customers!A$2:C$301, 3, FALSE)</f>
        <v>46</v>
      </c>
      <c r="Q1674" t="str">
        <f>VLOOKUP(E1674, Sales_Reps!A$2:C$31, 3, FALSE)</f>
        <v>West</v>
      </c>
      <c r="R1674">
        <f>VLOOKUP(D1674, Products!A$2:D$61, 4, FALSE)</f>
        <v>2420</v>
      </c>
    </row>
    <row r="1675" spans="1:18" x14ac:dyDescent="0.3">
      <c r="A1675" s="13" t="s">
        <v>2172</v>
      </c>
      <c r="B1675" s="14">
        <v>45598</v>
      </c>
      <c r="C1675" s="13" t="s">
        <v>411</v>
      </c>
      <c r="D1675" s="13" t="s">
        <v>367</v>
      </c>
      <c r="E1675" s="13" t="s">
        <v>201</v>
      </c>
      <c r="F1675" s="15">
        <v>4</v>
      </c>
      <c r="G1675" s="15">
        <v>2380</v>
      </c>
      <c r="H1675" s="15">
        <v>6.9</v>
      </c>
      <c r="I1675" s="15">
        <v>8863.1200000000008</v>
      </c>
      <c r="J1675" s="13" t="s">
        <v>87</v>
      </c>
      <c r="K1675" s="13" t="s">
        <v>112</v>
      </c>
      <c r="L1675">
        <f>IF(COUNTIF(A$2:A1675, A1675)=1, IF(COUNTIF(A$2:A$2001, A1675)&gt;1, 1, 0), 0)</f>
        <v>0</v>
      </c>
      <c r="M1675" t="b">
        <f>VLOOKUP(D1675, Products!A$2:F$61, 6, FALSE)</f>
        <v>1</v>
      </c>
      <c r="N1675" t="str">
        <f>VLOOKUP(D1675, Products!A$2:C$61, 3, FALSE)</f>
        <v>Grocery</v>
      </c>
      <c r="O1675" t="str">
        <f>VLOOKUP(C1675, Customers!A$2:E$301, 5, FALSE)</f>
        <v>Retail</v>
      </c>
      <c r="P1675">
        <f>VLOOKUP(C1675, Customers!A$2:C$301, 3, FALSE)</f>
        <v>61</v>
      </c>
      <c r="Q1675" t="str">
        <f>VLOOKUP(E1675, Sales_Reps!A$2:C$31, 3, FALSE)</f>
        <v>West</v>
      </c>
      <c r="R1675">
        <f>VLOOKUP(D1675, Products!A$2:D$61, 4, FALSE)</f>
        <v>1182</v>
      </c>
    </row>
    <row r="1676" spans="1:18" x14ac:dyDescent="0.3">
      <c r="A1676" s="13" t="s">
        <v>2173</v>
      </c>
      <c r="B1676" s="14">
        <v>45419</v>
      </c>
      <c r="C1676" s="13" t="s">
        <v>281</v>
      </c>
      <c r="D1676" s="13" t="s">
        <v>226</v>
      </c>
      <c r="E1676" s="13" t="s">
        <v>148</v>
      </c>
      <c r="F1676" s="15">
        <v>2</v>
      </c>
      <c r="G1676" s="15">
        <v>3730</v>
      </c>
      <c r="H1676" s="15">
        <v>22.9</v>
      </c>
      <c r="I1676" s="15">
        <v>5751.66</v>
      </c>
      <c r="J1676" s="13" t="s">
        <v>87</v>
      </c>
      <c r="K1676" s="13" t="s">
        <v>88</v>
      </c>
      <c r="L1676">
        <f>IF(COUNTIF(A$2:A1676, A1676)=1, IF(COUNTIF(A$2:A$2001, A1676)&gt;1, 1, 0), 0)</f>
        <v>0</v>
      </c>
      <c r="M1676" t="b">
        <f>VLOOKUP(D1676, Products!A$2:F$61, 6, FALSE)</f>
        <v>1</v>
      </c>
      <c r="N1676" t="str">
        <f>VLOOKUP(D1676, Products!A$2:C$61, 3, FALSE)</f>
        <v>Home</v>
      </c>
      <c r="O1676" t="str">
        <f>VLOOKUP(C1676, Customers!A$2:E$301, 5, FALSE)</f>
        <v>Retail</v>
      </c>
      <c r="P1676">
        <f>VLOOKUP(C1676, Customers!A$2:C$301, 3, FALSE)</f>
        <v>25</v>
      </c>
      <c r="Q1676" t="str">
        <f>VLOOKUP(E1676, Sales_Reps!A$2:C$31, 3, FALSE)</f>
        <v>North</v>
      </c>
      <c r="R1676">
        <f>VLOOKUP(D1676, Products!A$2:D$61, 4, FALSE)</f>
        <v>2135</v>
      </c>
    </row>
    <row r="1677" spans="1:18" x14ac:dyDescent="0.3">
      <c r="A1677" s="13" t="s">
        <v>2174</v>
      </c>
      <c r="B1677" s="14">
        <v>45549</v>
      </c>
      <c r="C1677" s="13" t="s">
        <v>373</v>
      </c>
      <c r="D1677" s="13" t="s">
        <v>143</v>
      </c>
      <c r="E1677" s="13" t="s">
        <v>297</v>
      </c>
      <c r="F1677" s="15">
        <v>7</v>
      </c>
      <c r="G1677" s="15">
        <v>3250</v>
      </c>
      <c r="H1677" s="15">
        <v>6</v>
      </c>
      <c r="I1677" s="15">
        <v>21385</v>
      </c>
      <c r="J1677" s="13" t="s">
        <v>87</v>
      </c>
      <c r="K1677" s="13" t="s">
        <v>88</v>
      </c>
      <c r="L1677">
        <f>IF(COUNTIF(A$2:A1677, A1677)=1, IF(COUNTIF(A$2:A$2001, A1677)&gt;1, 1, 0), 0)</f>
        <v>0</v>
      </c>
      <c r="M1677" t="b">
        <f>VLOOKUP(D1677, Products!A$2:F$61, 6, FALSE)</f>
        <v>1</v>
      </c>
      <c r="N1677" t="str">
        <f>VLOOKUP(D1677, Products!A$2:C$61, 3, FALSE)</f>
        <v>Home</v>
      </c>
      <c r="O1677" t="str">
        <f>VLOOKUP(C1677, Customers!A$2:E$301, 5, FALSE)</f>
        <v>Retail</v>
      </c>
      <c r="P1677">
        <f>VLOOKUP(C1677, Customers!A$2:C$301, 3, FALSE)</f>
        <v>43</v>
      </c>
      <c r="Q1677" t="str">
        <f>VLOOKUP(E1677, Sales_Reps!A$2:C$31, 3, FALSE)</f>
        <v>North</v>
      </c>
      <c r="R1677">
        <f>VLOOKUP(D1677, Products!A$2:D$61, 4, FALSE)</f>
        <v>1556</v>
      </c>
    </row>
    <row r="1678" spans="1:18" x14ac:dyDescent="0.3">
      <c r="A1678" s="13" t="s">
        <v>2175</v>
      </c>
      <c r="B1678" s="14">
        <v>45519</v>
      </c>
      <c r="C1678" s="13" t="s">
        <v>770</v>
      </c>
      <c r="D1678" s="13" t="s">
        <v>97</v>
      </c>
      <c r="E1678" s="13" t="s">
        <v>192</v>
      </c>
      <c r="F1678" s="15">
        <v>9</v>
      </c>
      <c r="G1678" s="15">
        <v>470</v>
      </c>
      <c r="H1678" s="15">
        <v>11.6</v>
      </c>
      <c r="I1678" s="15">
        <v>3739.32</v>
      </c>
      <c r="J1678" s="13" t="s">
        <v>87</v>
      </c>
      <c r="K1678" s="13" t="s">
        <v>88</v>
      </c>
      <c r="L1678">
        <f>IF(COUNTIF(A$2:A1678, A1678)=1, IF(COUNTIF(A$2:A$2001, A1678)&gt;1, 1, 0), 0)</f>
        <v>0</v>
      </c>
      <c r="M1678" t="b">
        <f>VLOOKUP(D1678, Products!A$2:F$61, 6, FALSE)</f>
        <v>0</v>
      </c>
      <c r="N1678" t="str">
        <f>VLOOKUP(D1678, Products!A$2:C$61, 3, FALSE)</f>
        <v>Sports</v>
      </c>
      <c r="O1678" t="str">
        <f>VLOOKUP(C1678, Customers!A$2:E$301, 5, FALSE)</f>
        <v>Retail</v>
      </c>
      <c r="P1678">
        <f>VLOOKUP(C1678, Customers!A$2:C$301, 3, FALSE)</f>
        <v>35</v>
      </c>
      <c r="Q1678" t="str">
        <f>VLOOKUP(E1678, Sales_Reps!A$2:C$31, 3, FALSE)</f>
        <v>East</v>
      </c>
      <c r="R1678">
        <f>VLOOKUP(D1678, Products!A$2:D$61, 4, FALSE)</f>
        <v>302</v>
      </c>
    </row>
    <row r="1679" spans="1:18" x14ac:dyDescent="0.3">
      <c r="A1679" s="13" t="s">
        <v>2176</v>
      </c>
      <c r="B1679" s="14">
        <v>45574</v>
      </c>
      <c r="C1679" s="13" t="s">
        <v>757</v>
      </c>
      <c r="D1679" s="13" t="s">
        <v>386</v>
      </c>
      <c r="E1679" s="13" t="s">
        <v>201</v>
      </c>
      <c r="F1679" s="15">
        <v>5</v>
      </c>
      <c r="G1679" s="15">
        <v>2290</v>
      </c>
      <c r="H1679" s="15">
        <v>27.6</v>
      </c>
      <c r="I1679" s="15">
        <v>8289.7999999999993</v>
      </c>
      <c r="J1679" s="13" t="s">
        <v>87</v>
      </c>
      <c r="K1679" s="13" t="s">
        <v>117</v>
      </c>
      <c r="L1679">
        <f>IF(COUNTIF(A$2:A1679, A1679)=1, IF(COUNTIF(A$2:A$2001, A1679)&gt;1, 1, 0), 0)</f>
        <v>0</v>
      </c>
      <c r="M1679" t="b">
        <f>VLOOKUP(D1679, Products!A$2:F$61, 6, FALSE)</f>
        <v>1</v>
      </c>
      <c r="N1679" t="str">
        <f>VLOOKUP(D1679, Products!A$2:C$61, 3, FALSE)</f>
        <v>Beauty</v>
      </c>
      <c r="O1679" t="str">
        <f>VLOOKUP(C1679, Customers!A$2:E$301, 5, FALSE)</f>
        <v>Corporate</v>
      </c>
      <c r="P1679">
        <f>VLOOKUP(C1679, Customers!A$2:C$301, 3, FALSE)</f>
        <v>43</v>
      </c>
      <c r="Q1679" t="str">
        <f>VLOOKUP(E1679, Sales_Reps!A$2:C$31, 3, FALSE)</f>
        <v>West</v>
      </c>
      <c r="R1679">
        <f>VLOOKUP(D1679, Products!A$2:D$61, 4, FALSE)</f>
        <v>1219</v>
      </c>
    </row>
    <row r="1680" spans="1:18" x14ac:dyDescent="0.3">
      <c r="A1680" s="13" t="s">
        <v>2177</v>
      </c>
      <c r="B1680" s="14">
        <v>45462</v>
      </c>
      <c r="C1680" s="13" t="s">
        <v>669</v>
      </c>
      <c r="D1680" s="13" t="s">
        <v>120</v>
      </c>
      <c r="E1680" s="13" t="s">
        <v>229</v>
      </c>
      <c r="F1680" s="15">
        <v>6</v>
      </c>
      <c r="G1680" s="15">
        <v>1430</v>
      </c>
      <c r="H1680" s="15">
        <v>18.399999999999999</v>
      </c>
      <c r="I1680" s="15">
        <v>7001.28</v>
      </c>
      <c r="J1680" s="13" t="s">
        <v>93</v>
      </c>
      <c r="K1680" s="13" t="s">
        <v>133</v>
      </c>
      <c r="L1680">
        <f>IF(COUNTIF(A$2:A1680, A1680)=1, IF(COUNTIF(A$2:A$2001, A1680)&gt;1, 1, 0), 0)</f>
        <v>0</v>
      </c>
      <c r="M1680" t="b">
        <f>VLOOKUP(D1680, Products!A$2:F$61, 6, FALSE)</f>
        <v>1</v>
      </c>
      <c r="N1680" t="str">
        <f>VLOOKUP(D1680, Products!A$2:C$61, 3, FALSE)</f>
        <v>Electronics</v>
      </c>
      <c r="O1680" t="str">
        <f>VLOOKUP(C1680, Customers!A$2:E$301, 5, FALSE)</f>
        <v>Retail</v>
      </c>
      <c r="P1680">
        <f>VLOOKUP(C1680, Customers!A$2:C$301, 3, FALSE)</f>
        <v>31</v>
      </c>
      <c r="Q1680" t="str">
        <f>VLOOKUP(E1680, Sales_Reps!A$2:C$31, 3, FALSE)</f>
        <v>West</v>
      </c>
      <c r="R1680">
        <f>VLOOKUP(D1680, Products!A$2:D$61, 4, FALSE)</f>
        <v>861</v>
      </c>
    </row>
    <row r="1681" spans="1:18" x14ac:dyDescent="0.3">
      <c r="A1681" s="13" t="s">
        <v>2178</v>
      </c>
      <c r="B1681" s="14">
        <v>45336</v>
      </c>
      <c r="C1681" s="13" t="s">
        <v>1261</v>
      </c>
      <c r="D1681" s="13" t="s">
        <v>195</v>
      </c>
      <c r="E1681" s="13" t="s">
        <v>297</v>
      </c>
      <c r="F1681" s="15">
        <v>7</v>
      </c>
      <c r="G1681" s="15">
        <v>2860</v>
      </c>
      <c r="H1681" s="15">
        <v>19.5</v>
      </c>
      <c r="I1681" s="15">
        <v>16116.1</v>
      </c>
      <c r="J1681" s="13" t="s">
        <v>87</v>
      </c>
      <c r="K1681" s="13" t="s">
        <v>117</v>
      </c>
      <c r="L1681">
        <f>IF(COUNTIF(A$2:A1681, A1681)=1, IF(COUNTIF(A$2:A$2001, A1681)&gt;1, 1, 0), 0)</f>
        <v>0</v>
      </c>
      <c r="M1681" t="b">
        <f>VLOOKUP(D1681, Products!A$2:F$61, 6, FALSE)</f>
        <v>1</v>
      </c>
      <c r="N1681" t="str">
        <f>VLOOKUP(D1681, Products!A$2:C$61, 3, FALSE)</f>
        <v>Sports</v>
      </c>
      <c r="O1681" t="str">
        <f>VLOOKUP(C1681, Customers!A$2:E$301, 5, FALSE)</f>
        <v>Retail</v>
      </c>
      <c r="P1681">
        <f>VLOOKUP(C1681, Customers!A$2:C$301, 3, FALSE)</f>
        <v>54</v>
      </c>
      <c r="Q1681" t="str">
        <f>VLOOKUP(E1681, Sales_Reps!A$2:C$31, 3, FALSE)</f>
        <v>North</v>
      </c>
      <c r="R1681">
        <f>VLOOKUP(D1681, Products!A$2:D$61, 4, FALSE)</f>
        <v>2028</v>
      </c>
    </row>
    <row r="1682" spans="1:18" x14ac:dyDescent="0.3">
      <c r="A1682" s="13" t="s">
        <v>2179</v>
      </c>
      <c r="B1682" s="14">
        <v>45439</v>
      </c>
      <c r="C1682" s="13" t="s">
        <v>557</v>
      </c>
      <c r="D1682" s="13" t="s">
        <v>157</v>
      </c>
      <c r="E1682" s="13" t="s">
        <v>192</v>
      </c>
      <c r="F1682" s="15">
        <v>8</v>
      </c>
      <c r="G1682" s="15">
        <v>3450</v>
      </c>
      <c r="H1682" s="15">
        <v>25.5</v>
      </c>
      <c r="I1682" s="15">
        <v>20562</v>
      </c>
      <c r="J1682" s="13" t="s">
        <v>93</v>
      </c>
      <c r="K1682" s="13" t="s">
        <v>112</v>
      </c>
      <c r="L1682">
        <f>IF(COUNTIF(A$2:A1682, A1682)=1, IF(COUNTIF(A$2:A$2001, A1682)&gt;1, 1, 0), 0)</f>
        <v>0</v>
      </c>
      <c r="M1682" t="b">
        <f>VLOOKUP(D1682, Products!A$2:F$61, 6, FALSE)</f>
        <v>1</v>
      </c>
      <c r="N1682" t="str">
        <f>VLOOKUP(D1682, Products!A$2:C$61, 3, FALSE)</f>
        <v>Beauty</v>
      </c>
      <c r="O1682" t="str">
        <f>VLOOKUP(C1682, Customers!A$2:E$301, 5, FALSE)</f>
        <v>Retail</v>
      </c>
      <c r="P1682">
        <f>VLOOKUP(C1682, Customers!A$2:C$301, 3, FALSE)</f>
        <v>65</v>
      </c>
      <c r="Q1682" t="str">
        <f>VLOOKUP(E1682, Sales_Reps!A$2:C$31, 3, FALSE)</f>
        <v>East</v>
      </c>
      <c r="R1682">
        <f>VLOOKUP(D1682, Products!A$2:D$61, 4, FALSE)</f>
        <v>2420</v>
      </c>
    </row>
    <row r="1683" spans="1:18" x14ac:dyDescent="0.3">
      <c r="A1683" s="13" t="s">
        <v>2180</v>
      </c>
      <c r="B1683" s="14">
        <v>45578</v>
      </c>
      <c r="C1683" s="13" t="s">
        <v>559</v>
      </c>
      <c r="D1683" s="13" t="s">
        <v>360</v>
      </c>
      <c r="E1683" s="13" t="s">
        <v>121</v>
      </c>
      <c r="F1683" s="15">
        <v>7</v>
      </c>
      <c r="G1683" s="15">
        <v>5410</v>
      </c>
      <c r="H1683" s="15">
        <v>15.2</v>
      </c>
      <c r="I1683" s="15">
        <v>32113.759999999998</v>
      </c>
      <c r="J1683" s="13" t="s">
        <v>140</v>
      </c>
      <c r="K1683" s="13" t="s">
        <v>88</v>
      </c>
      <c r="L1683">
        <f>IF(COUNTIF(A$2:A1683, A1683)=1, IF(COUNTIF(A$2:A$2001, A1683)&gt;1, 1, 0), 0)</f>
        <v>0</v>
      </c>
      <c r="M1683" t="b">
        <f>VLOOKUP(D1683, Products!A$2:F$61, 6, FALSE)</f>
        <v>1</v>
      </c>
      <c r="N1683" t="str">
        <f>VLOOKUP(D1683, Products!A$2:C$61, 3, FALSE)</f>
        <v>Sports</v>
      </c>
      <c r="O1683" t="str">
        <f>VLOOKUP(C1683, Customers!A$2:E$301, 5, FALSE)</f>
        <v>Retail</v>
      </c>
      <c r="P1683">
        <f>VLOOKUP(C1683, Customers!A$2:C$301, 3, FALSE)</f>
        <v>62</v>
      </c>
      <c r="Q1683" t="str">
        <f>VLOOKUP(E1683, Sales_Reps!A$2:C$31, 3, FALSE)</f>
        <v>East</v>
      </c>
      <c r="R1683">
        <f>VLOOKUP(D1683, Products!A$2:D$61, 4, FALSE)</f>
        <v>2265</v>
      </c>
    </row>
    <row r="1684" spans="1:18" x14ac:dyDescent="0.3">
      <c r="A1684" s="13" t="s">
        <v>2181</v>
      </c>
      <c r="B1684" s="14">
        <v>45588</v>
      </c>
      <c r="C1684" s="13" t="s">
        <v>559</v>
      </c>
      <c r="D1684" s="13" t="s">
        <v>164</v>
      </c>
      <c r="E1684" s="13" t="s">
        <v>111</v>
      </c>
      <c r="F1684" s="15">
        <v>3</v>
      </c>
      <c r="G1684" s="15">
        <v>1080</v>
      </c>
      <c r="H1684" s="15">
        <v>26</v>
      </c>
      <c r="I1684" s="15">
        <v>2397.6</v>
      </c>
      <c r="J1684" s="13" t="s">
        <v>87</v>
      </c>
      <c r="K1684" s="13" t="s">
        <v>88</v>
      </c>
      <c r="L1684">
        <f>IF(COUNTIF(A$2:A1684, A1684)=1, IF(COUNTIF(A$2:A$2001, A1684)&gt;1, 1, 0), 0)</f>
        <v>0</v>
      </c>
      <c r="M1684" t="b">
        <f>VLOOKUP(D1684, Products!A$2:F$61, 6, FALSE)</f>
        <v>1</v>
      </c>
      <c r="N1684" t="str">
        <f>VLOOKUP(D1684, Products!A$2:C$61, 3, FALSE)</f>
        <v>Home</v>
      </c>
      <c r="O1684" t="str">
        <f>VLOOKUP(C1684, Customers!A$2:E$301, 5, FALSE)</f>
        <v>Retail</v>
      </c>
      <c r="P1684">
        <f>VLOOKUP(C1684, Customers!A$2:C$301, 3, FALSE)</f>
        <v>62</v>
      </c>
      <c r="Q1684" t="str">
        <f>VLOOKUP(E1684, Sales_Reps!A$2:C$31, 3, FALSE)</f>
        <v>West</v>
      </c>
      <c r="R1684">
        <f>VLOOKUP(D1684, Products!A$2:D$61, 4, FALSE)</f>
        <v>519</v>
      </c>
    </row>
    <row r="1685" spans="1:18" x14ac:dyDescent="0.3">
      <c r="A1685" s="13" t="s">
        <v>2182</v>
      </c>
      <c r="B1685" s="14">
        <v>45354</v>
      </c>
      <c r="C1685" s="13" t="s">
        <v>312</v>
      </c>
      <c r="D1685" s="13" t="s">
        <v>195</v>
      </c>
      <c r="E1685" s="13" t="s">
        <v>121</v>
      </c>
      <c r="F1685" s="15">
        <v>8</v>
      </c>
      <c r="G1685" s="15">
        <v>2860</v>
      </c>
      <c r="H1685" s="15">
        <v>14.8</v>
      </c>
      <c r="I1685" s="15">
        <v>19493.759999999998</v>
      </c>
      <c r="J1685" s="13" t="s">
        <v>87</v>
      </c>
      <c r="K1685" s="13" t="s">
        <v>133</v>
      </c>
      <c r="L1685">
        <f>IF(COUNTIF(A$2:A1685, A1685)=1, IF(COUNTIF(A$2:A$2001, A1685)&gt;1, 1, 0), 0)</f>
        <v>0</v>
      </c>
      <c r="M1685" t="b">
        <f>VLOOKUP(D1685, Products!A$2:F$61, 6, FALSE)</f>
        <v>1</v>
      </c>
      <c r="N1685" t="str">
        <f>VLOOKUP(D1685, Products!A$2:C$61, 3, FALSE)</f>
        <v>Sports</v>
      </c>
      <c r="O1685" t="str">
        <f>VLOOKUP(C1685, Customers!A$2:E$301, 5, FALSE)</f>
        <v>Retail</v>
      </c>
      <c r="P1685">
        <f>VLOOKUP(C1685, Customers!A$2:C$301, 3, FALSE)</f>
        <v>46</v>
      </c>
      <c r="Q1685" t="str">
        <f>VLOOKUP(E1685, Sales_Reps!A$2:C$31, 3, FALSE)</f>
        <v>East</v>
      </c>
      <c r="R1685">
        <f>VLOOKUP(D1685, Products!A$2:D$61, 4, FALSE)</f>
        <v>2028</v>
      </c>
    </row>
    <row r="1686" spans="1:18" x14ac:dyDescent="0.3">
      <c r="A1686" s="13" t="s">
        <v>2183</v>
      </c>
      <c r="B1686" s="14">
        <v>45332</v>
      </c>
      <c r="C1686" s="13" t="s">
        <v>2184</v>
      </c>
      <c r="D1686" s="13" t="s">
        <v>276</v>
      </c>
      <c r="E1686" s="13" t="s">
        <v>252</v>
      </c>
      <c r="F1686" s="15">
        <v>4</v>
      </c>
      <c r="G1686" s="15">
        <v>3020</v>
      </c>
      <c r="H1686" s="15">
        <v>8.1</v>
      </c>
      <c r="I1686" s="15">
        <v>11101.52</v>
      </c>
      <c r="J1686" s="13" t="s">
        <v>87</v>
      </c>
      <c r="K1686" s="13" t="s">
        <v>133</v>
      </c>
      <c r="L1686">
        <f>IF(COUNTIF(A$2:A1686, A1686)=1, IF(COUNTIF(A$2:A$2001, A1686)&gt;1, 1, 0), 0)</f>
        <v>0</v>
      </c>
      <c r="M1686" t="b">
        <f>VLOOKUP(D1686, Products!A$2:F$61, 6, FALSE)</f>
        <v>1</v>
      </c>
      <c r="N1686" t="str">
        <f>VLOOKUP(D1686, Products!A$2:C$61, 3, FALSE)</f>
        <v>Beauty</v>
      </c>
      <c r="O1686" t="e">
        <f>VLOOKUP(C1686, Customers!A$2:E$301, 5, FALSE)</f>
        <v>#N/A</v>
      </c>
      <c r="P1686" t="e">
        <f>VLOOKUP(C1686, Customers!A$2:C$301, 3, FALSE)</f>
        <v>#N/A</v>
      </c>
      <c r="Q1686" t="str">
        <f>VLOOKUP(E1686, Sales_Reps!A$2:C$31, 3, FALSE)</f>
        <v>South</v>
      </c>
      <c r="R1686">
        <f>VLOOKUP(D1686, Products!A$2:D$61, 4, FALSE)</f>
        <v>1626</v>
      </c>
    </row>
    <row r="1687" spans="1:18" x14ac:dyDescent="0.3">
      <c r="A1687" s="13" t="s">
        <v>2185</v>
      </c>
      <c r="B1687" s="14">
        <v>45649</v>
      </c>
      <c r="C1687" s="13" t="s">
        <v>228</v>
      </c>
      <c r="D1687" s="13" t="s">
        <v>115</v>
      </c>
      <c r="E1687" s="13" t="s">
        <v>111</v>
      </c>
      <c r="F1687" s="15">
        <v>4</v>
      </c>
      <c r="G1687" s="15">
        <v>960</v>
      </c>
      <c r="H1687" s="15">
        <v>6.4</v>
      </c>
      <c r="I1687" s="15">
        <v>3594.24</v>
      </c>
      <c r="J1687" s="13" t="s">
        <v>140</v>
      </c>
      <c r="K1687" s="13" t="s">
        <v>112</v>
      </c>
      <c r="L1687">
        <f>IF(COUNTIF(A$2:A1687, A1687)=1, IF(COUNTIF(A$2:A$2001, A1687)&gt;1, 1, 0), 0)</f>
        <v>0</v>
      </c>
      <c r="M1687" t="b">
        <f>VLOOKUP(D1687, Products!A$2:F$61, 6, FALSE)</f>
        <v>1</v>
      </c>
      <c r="N1687" t="str">
        <f>VLOOKUP(D1687, Products!A$2:C$61, 3, FALSE)</f>
        <v>Sports</v>
      </c>
      <c r="O1687" t="str">
        <f>VLOOKUP(C1687, Customers!A$2:E$301, 5, FALSE)</f>
        <v>SMB</v>
      </c>
      <c r="P1687">
        <f>VLOOKUP(C1687, Customers!A$2:C$301, 3, FALSE)</f>
        <v>54</v>
      </c>
      <c r="Q1687" t="str">
        <f>VLOOKUP(E1687, Sales_Reps!A$2:C$31, 3, FALSE)</f>
        <v>West</v>
      </c>
      <c r="R1687">
        <f>VLOOKUP(D1687, Products!A$2:D$61, 4, FALSE)</f>
        <v>705</v>
      </c>
    </row>
    <row r="1688" spans="1:18" x14ac:dyDescent="0.3">
      <c r="A1688" s="13" t="s">
        <v>2186</v>
      </c>
      <c r="B1688" s="14">
        <v>45596</v>
      </c>
      <c r="C1688" s="13" t="s">
        <v>551</v>
      </c>
      <c r="D1688" s="13" t="s">
        <v>248</v>
      </c>
      <c r="E1688" s="13" t="s">
        <v>229</v>
      </c>
      <c r="F1688" s="15">
        <v>4</v>
      </c>
      <c r="G1688" s="15">
        <v>3870</v>
      </c>
      <c r="H1688" s="15">
        <v>15.9</v>
      </c>
      <c r="I1688" s="15">
        <v>13018.68</v>
      </c>
      <c r="J1688" s="13" t="s">
        <v>87</v>
      </c>
      <c r="K1688" s="13" t="s">
        <v>112</v>
      </c>
      <c r="L1688">
        <f>IF(COUNTIF(A$2:A1688, A1688)=1, IF(COUNTIF(A$2:A$2001, A1688)&gt;1, 1, 0), 0)</f>
        <v>0</v>
      </c>
      <c r="M1688" t="b">
        <f>VLOOKUP(D1688, Products!A$2:F$61, 6, FALSE)</f>
        <v>1</v>
      </c>
      <c r="N1688" t="str">
        <f>VLOOKUP(D1688, Products!A$2:C$61, 3, FALSE)</f>
        <v>Electronics</v>
      </c>
      <c r="O1688" t="str">
        <f>VLOOKUP(C1688, Customers!A$2:E$301, 5, FALSE)</f>
        <v>Corporate</v>
      </c>
      <c r="P1688">
        <f>VLOOKUP(C1688, Customers!A$2:C$301, 3, FALSE)</f>
        <v>60</v>
      </c>
      <c r="Q1688" t="str">
        <f>VLOOKUP(E1688, Sales_Reps!A$2:C$31, 3, FALSE)</f>
        <v>West</v>
      </c>
      <c r="R1688">
        <f>VLOOKUP(D1688, Products!A$2:D$61, 4, FALSE)</f>
        <v>1559</v>
      </c>
    </row>
    <row r="1689" spans="1:18" x14ac:dyDescent="0.3">
      <c r="A1689" s="13" t="s">
        <v>2187</v>
      </c>
      <c r="B1689" s="14">
        <v>45378</v>
      </c>
      <c r="C1689" s="13" t="s">
        <v>1172</v>
      </c>
      <c r="D1689" s="13" t="s">
        <v>106</v>
      </c>
      <c r="E1689" s="13" t="s">
        <v>192</v>
      </c>
      <c r="F1689" s="15">
        <v>5</v>
      </c>
      <c r="G1689" s="15">
        <v>3160</v>
      </c>
      <c r="H1689" s="15">
        <v>29.8</v>
      </c>
      <c r="I1689" s="15">
        <v>11091.6</v>
      </c>
      <c r="J1689" s="13" t="s">
        <v>87</v>
      </c>
      <c r="K1689" s="13" t="s">
        <v>88</v>
      </c>
      <c r="L1689">
        <f>IF(COUNTIF(A$2:A1689, A1689)=1, IF(COUNTIF(A$2:A$2001, A1689)&gt;1, 1, 0), 0)</f>
        <v>0</v>
      </c>
      <c r="M1689" t="b">
        <f>VLOOKUP(D1689, Products!A$2:F$61, 6, FALSE)</f>
        <v>1</v>
      </c>
      <c r="N1689" t="str">
        <f>VLOOKUP(D1689, Products!A$2:C$61, 3, FALSE)</f>
        <v>Apparel</v>
      </c>
      <c r="O1689" t="str">
        <f>VLOOKUP(C1689, Customers!A$2:E$301, 5, FALSE)</f>
        <v>Retail</v>
      </c>
      <c r="P1689">
        <f>VLOOKUP(C1689, Customers!A$2:C$301, 3, FALSE)</f>
        <v>39</v>
      </c>
      <c r="Q1689" t="str">
        <f>VLOOKUP(E1689, Sales_Reps!A$2:C$31, 3, FALSE)</f>
        <v>East</v>
      </c>
      <c r="R1689">
        <f>VLOOKUP(D1689, Products!A$2:D$61, 4, FALSE)</f>
        <v>1886</v>
      </c>
    </row>
    <row r="1690" spans="1:18" x14ac:dyDescent="0.3">
      <c r="A1690" s="13" t="s">
        <v>2188</v>
      </c>
      <c r="B1690" s="14">
        <v>45403</v>
      </c>
      <c r="C1690" s="13" t="s">
        <v>440</v>
      </c>
      <c r="D1690" s="13" t="s">
        <v>157</v>
      </c>
      <c r="E1690" s="13" t="s">
        <v>343</v>
      </c>
      <c r="F1690" s="15">
        <v>5</v>
      </c>
      <c r="G1690" s="15">
        <v>3450</v>
      </c>
      <c r="H1690" s="15">
        <v>29.4</v>
      </c>
      <c r="I1690" s="15">
        <v>12178.5</v>
      </c>
      <c r="J1690" s="13" t="s">
        <v>87</v>
      </c>
      <c r="K1690" s="13" t="s">
        <v>88</v>
      </c>
      <c r="L1690">
        <f>IF(COUNTIF(A$2:A1690, A1690)=1, IF(COUNTIF(A$2:A$2001, A1690)&gt;1, 1, 0), 0)</f>
        <v>0</v>
      </c>
      <c r="M1690" t="b">
        <f>VLOOKUP(D1690, Products!A$2:F$61, 6, FALSE)</f>
        <v>1</v>
      </c>
      <c r="N1690" t="str">
        <f>VLOOKUP(D1690, Products!A$2:C$61, 3, FALSE)</f>
        <v>Beauty</v>
      </c>
      <c r="O1690" t="str">
        <f>VLOOKUP(C1690, Customers!A$2:E$301, 5, FALSE)</f>
        <v>SMB</v>
      </c>
      <c r="P1690">
        <f>VLOOKUP(C1690, Customers!A$2:C$301, 3, FALSE)</f>
        <v>30</v>
      </c>
      <c r="Q1690" t="str">
        <f>VLOOKUP(E1690, Sales_Reps!A$2:C$31, 3, FALSE)</f>
        <v>West</v>
      </c>
      <c r="R1690">
        <f>VLOOKUP(D1690, Products!A$2:D$61, 4, FALSE)</f>
        <v>2420</v>
      </c>
    </row>
    <row r="1691" spans="1:18" x14ac:dyDescent="0.3">
      <c r="A1691" s="13" t="s">
        <v>2189</v>
      </c>
      <c r="B1691" s="14">
        <v>45535</v>
      </c>
      <c r="C1691" s="13" t="s">
        <v>850</v>
      </c>
      <c r="D1691" s="13" t="s">
        <v>380</v>
      </c>
      <c r="E1691" s="13" t="s">
        <v>303</v>
      </c>
      <c r="F1691" s="15">
        <v>10</v>
      </c>
      <c r="G1691" s="15">
        <v>960</v>
      </c>
      <c r="H1691" s="15">
        <v>27</v>
      </c>
      <c r="I1691" s="15">
        <v>7008</v>
      </c>
      <c r="J1691" s="13" t="s">
        <v>140</v>
      </c>
      <c r="K1691" s="13" t="s">
        <v>94</v>
      </c>
      <c r="L1691">
        <f>IF(COUNTIF(A$2:A1691, A1691)=1, IF(COUNTIF(A$2:A$2001, A1691)&gt;1, 1, 0), 0)</f>
        <v>0</v>
      </c>
      <c r="M1691" t="b">
        <f>VLOOKUP(D1691, Products!A$2:F$61, 6, FALSE)</f>
        <v>1</v>
      </c>
      <c r="N1691" t="str">
        <f>VLOOKUP(D1691, Products!A$2:C$61, 3, FALSE)</f>
        <v>Beauty</v>
      </c>
      <c r="O1691" t="str">
        <f>VLOOKUP(C1691, Customers!A$2:E$301, 5, FALSE)</f>
        <v>SMB</v>
      </c>
      <c r="P1691">
        <f>VLOOKUP(C1691, Customers!A$2:C$301, 3, FALSE)</f>
        <v>26</v>
      </c>
      <c r="Q1691" t="str">
        <f>VLOOKUP(E1691, Sales_Reps!A$2:C$31, 3, FALSE)</f>
        <v>East</v>
      </c>
      <c r="R1691">
        <f>VLOOKUP(D1691, Products!A$2:D$61, 4, FALSE)</f>
        <v>675</v>
      </c>
    </row>
    <row r="1692" spans="1:18" x14ac:dyDescent="0.3">
      <c r="A1692" s="13" t="s">
        <v>2190</v>
      </c>
      <c r="B1692" s="14">
        <v>45429</v>
      </c>
      <c r="C1692" s="13" t="s">
        <v>779</v>
      </c>
      <c r="D1692" s="13" t="s">
        <v>515</v>
      </c>
      <c r="E1692" s="13" t="s">
        <v>303</v>
      </c>
      <c r="F1692" s="15">
        <v>10</v>
      </c>
      <c r="G1692" s="15">
        <v>6940</v>
      </c>
      <c r="H1692" s="15">
        <v>20.100000000000001</v>
      </c>
      <c r="I1692" s="15">
        <v>55450.6</v>
      </c>
      <c r="J1692" s="13" t="s">
        <v>87</v>
      </c>
      <c r="K1692" s="13" t="s">
        <v>117</v>
      </c>
      <c r="L1692">
        <f>IF(COUNTIF(A$2:A1692, A1692)=1, IF(COUNTIF(A$2:A$2001, A1692)&gt;1, 1, 0), 0)</f>
        <v>0</v>
      </c>
      <c r="M1692" t="b">
        <f>VLOOKUP(D1692, Products!A$2:F$61, 6, FALSE)</f>
        <v>1</v>
      </c>
      <c r="N1692" t="str">
        <f>VLOOKUP(D1692, Products!A$2:C$61, 3, FALSE)</f>
        <v>Sports</v>
      </c>
      <c r="O1692" t="str">
        <f>VLOOKUP(C1692, Customers!A$2:E$301, 5, FALSE)</f>
        <v>Retail</v>
      </c>
      <c r="P1692">
        <f>VLOOKUP(C1692, Customers!A$2:C$301, 3, FALSE)</f>
        <v>27</v>
      </c>
      <c r="Q1692" t="str">
        <f>VLOOKUP(E1692, Sales_Reps!A$2:C$31, 3, FALSE)</f>
        <v>East</v>
      </c>
      <c r="R1692">
        <f>VLOOKUP(D1692, Products!A$2:D$61, 4, FALSE)</f>
        <v>2827</v>
      </c>
    </row>
    <row r="1693" spans="1:18" x14ac:dyDescent="0.3">
      <c r="A1693" s="13" t="s">
        <v>2191</v>
      </c>
      <c r="B1693" s="14">
        <v>45436</v>
      </c>
      <c r="C1693" s="13" t="s">
        <v>599</v>
      </c>
      <c r="D1693" s="13" t="s">
        <v>151</v>
      </c>
      <c r="E1693" s="13" t="s">
        <v>204</v>
      </c>
      <c r="F1693" s="15">
        <v>9</v>
      </c>
      <c r="G1693" s="15">
        <v>2400</v>
      </c>
      <c r="H1693" s="15">
        <v>7.8</v>
      </c>
      <c r="I1693" s="15">
        <v>19915.2</v>
      </c>
      <c r="J1693" s="13" t="s">
        <v>87</v>
      </c>
      <c r="K1693" s="13" t="s">
        <v>117</v>
      </c>
      <c r="L1693">
        <f>IF(COUNTIF(A$2:A1693, A1693)=1, IF(COUNTIF(A$2:A$2001, A1693)&gt;1, 1, 0), 0)</f>
        <v>0</v>
      </c>
      <c r="M1693" t="b">
        <f>VLOOKUP(D1693, Products!A$2:F$61, 6, FALSE)</f>
        <v>1</v>
      </c>
      <c r="N1693" t="str">
        <f>VLOOKUP(D1693, Products!A$2:C$61, 3, FALSE)</f>
        <v>Sports</v>
      </c>
      <c r="O1693" t="str">
        <f>VLOOKUP(C1693, Customers!A$2:E$301, 5, FALSE)</f>
        <v>Corporate</v>
      </c>
      <c r="P1693">
        <f>VLOOKUP(C1693, Customers!A$2:C$301, 3, FALSE)</f>
        <v>26</v>
      </c>
      <c r="Q1693" t="str">
        <f>VLOOKUP(E1693, Sales_Reps!A$2:C$31, 3, FALSE)</f>
        <v>South</v>
      </c>
      <c r="R1693">
        <f>VLOOKUP(D1693, Products!A$2:D$61, 4, FALSE)</f>
        <v>974</v>
      </c>
    </row>
    <row r="1694" spans="1:18" x14ac:dyDescent="0.3">
      <c r="A1694" s="13" t="s">
        <v>2192</v>
      </c>
      <c r="B1694" s="14">
        <v>45397</v>
      </c>
      <c r="C1694" s="13" t="s">
        <v>1297</v>
      </c>
      <c r="D1694" s="13" t="s">
        <v>360</v>
      </c>
      <c r="E1694" s="13" t="s">
        <v>238</v>
      </c>
      <c r="F1694" s="15">
        <v>1</v>
      </c>
      <c r="G1694" s="15">
        <v>5410</v>
      </c>
      <c r="H1694" s="15">
        <v>22.8</v>
      </c>
      <c r="I1694" s="15">
        <v>4176.5200000000004</v>
      </c>
      <c r="J1694" s="13" t="s">
        <v>87</v>
      </c>
      <c r="K1694" s="13" t="s">
        <v>112</v>
      </c>
      <c r="L1694">
        <f>IF(COUNTIF(A$2:A1694, A1694)=1, IF(COUNTIF(A$2:A$2001, A1694)&gt;1, 1, 0), 0)</f>
        <v>0</v>
      </c>
      <c r="M1694" t="b">
        <f>VLOOKUP(D1694, Products!A$2:F$61, 6, FALSE)</f>
        <v>1</v>
      </c>
      <c r="N1694" t="str">
        <f>VLOOKUP(D1694, Products!A$2:C$61, 3, FALSE)</f>
        <v>Sports</v>
      </c>
      <c r="O1694" t="str">
        <f>VLOOKUP(C1694, Customers!A$2:E$301, 5, FALSE)</f>
        <v>Retail</v>
      </c>
      <c r="P1694">
        <f>VLOOKUP(C1694, Customers!A$2:C$301, 3, FALSE)</f>
        <v>38</v>
      </c>
      <c r="Q1694" t="str">
        <f>VLOOKUP(E1694, Sales_Reps!A$2:C$31, 3, FALSE)</f>
        <v>East</v>
      </c>
      <c r="R1694">
        <f>VLOOKUP(D1694, Products!A$2:D$61, 4, FALSE)</f>
        <v>2265</v>
      </c>
    </row>
    <row r="1695" spans="1:18" x14ac:dyDescent="0.3">
      <c r="A1695" s="13" t="s">
        <v>2193</v>
      </c>
      <c r="B1695" s="14">
        <v>45629</v>
      </c>
      <c r="C1695" s="13" t="s">
        <v>1261</v>
      </c>
      <c r="D1695" s="13" t="s">
        <v>267</v>
      </c>
      <c r="E1695" s="13" t="s">
        <v>139</v>
      </c>
      <c r="F1695" s="15">
        <v>7</v>
      </c>
      <c r="G1695" s="15">
        <v>1220</v>
      </c>
      <c r="H1695" s="15">
        <v>18.8</v>
      </c>
      <c r="I1695" s="15">
        <v>6934.48</v>
      </c>
      <c r="J1695" s="13" t="s">
        <v>93</v>
      </c>
      <c r="K1695" s="13" t="s">
        <v>117</v>
      </c>
      <c r="L1695">
        <f>IF(COUNTIF(A$2:A1695, A1695)=1, IF(COUNTIF(A$2:A$2001, A1695)&gt;1, 1, 0), 0)</f>
        <v>0</v>
      </c>
      <c r="M1695" t="b">
        <f>VLOOKUP(D1695, Products!A$2:F$61, 6, FALSE)</f>
        <v>1</v>
      </c>
      <c r="N1695" t="str">
        <f>VLOOKUP(D1695, Products!A$2:C$61, 3, FALSE)</f>
        <v>Electronics</v>
      </c>
      <c r="O1695" t="str">
        <f>VLOOKUP(C1695, Customers!A$2:E$301, 5, FALSE)</f>
        <v>Retail</v>
      </c>
      <c r="P1695">
        <f>VLOOKUP(C1695, Customers!A$2:C$301, 3, FALSE)</f>
        <v>54</v>
      </c>
      <c r="Q1695" t="str">
        <f>VLOOKUP(E1695, Sales_Reps!A$2:C$31, 3, FALSE)</f>
        <v>North</v>
      </c>
      <c r="R1695">
        <f>VLOOKUP(D1695, Products!A$2:D$61, 4, FALSE)</f>
        <v>517</v>
      </c>
    </row>
    <row r="1696" spans="1:18" x14ac:dyDescent="0.3">
      <c r="A1696" s="13" t="s">
        <v>2194</v>
      </c>
      <c r="B1696" s="14">
        <v>45595</v>
      </c>
      <c r="C1696" s="13" t="s">
        <v>181</v>
      </c>
      <c r="D1696" s="13" t="s">
        <v>502</v>
      </c>
      <c r="E1696" s="13" t="s">
        <v>121</v>
      </c>
      <c r="F1696" s="15">
        <v>1</v>
      </c>
      <c r="G1696" s="15">
        <v>1090</v>
      </c>
      <c r="H1696" s="15">
        <v>23.5</v>
      </c>
      <c r="I1696" s="15">
        <v>833.85</v>
      </c>
      <c r="J1696" s="13" t="s">
        <v>87</v>
      </c>
      <c r="K1696" s="13" t="s">
        <v>99</v>
      </c>
      <c r="L1696">
        <f>IF(COUNTIF(A$2:A1696, A1696)=1, IF(COUNTIF(A$2:A$2001, A1696)&gt;1, 1, 0), 0)</f>
        <v>0</v>
      </c>
      <c r="M1696" t="b">
        <f>VLOOKUP(D1696, Products!A$2:F$61, 6, FALSE)</f>
        <v>1</v>
      </c>
      <c r="N1696" t="str">
        <f>VLOOKUP(D1696, Products!A$2:C$61, 3, FALSE)</f>
        <v>Home</v>
      </c>
      <c r="O1696" t="str">
        <f>VLOOKUP(C1696, Customers!A$2:E$301, 5, FALSE)</f>
        <v>Retail</v>
      </c>
      <c r="P1696">
        <f>VLOOKUP(C1696, Customers!A$2:C$301, 3, FALSE)</f>
        <v>31</v>
      </c>
      <c r="Q1696" t="str">
        <f>VLOOKUP(E1696, Sales_Reps!A$2:C$31, 3, FALSE)</f>
        <v>East</v>
      </c>
      <c r="R1696">
        <f>VLOOKUP(D1696, Products!A$2:D$61, 4, FALSE)</f>
        <v>464</v>
      </c>
    </row>
    <row r="1697" spans="1:18" x14ac:dyDescent="0.3">
      <c r="A1697" s="13" t="s">
        <v>2195</v>
      </c>
      <c r="B1697" s="14">
        <v>45531</v>
      </c>
      <c r="C1697" s="13" t="s">
        <v>921</v>
      </c>
      <c r="D1697" s="13" t="s">
        <v>200</v>
      </c>
      <c r="E1697" s="13" t="s">
        <v>154</v>
      </c>
      <c r="F1697" s="15">
        <v>2</v>
      </c>
      <c r="G1697" s="15">
        <v>2760</v>
      </c>
      <c r="H1697" s="15">
        <v>2.2999999999999998</v>
      </c>
      <c r="I1697" s="15">
        <v>5393.04</v>
      </c>
      <c r="J1697" s="13" t="s">
        <v>87</v>
      </c>
      <c r="K1697" s="13" t="s">
        <v>117</v>
      </c>
      <c r="L1697">
        <f>IF(COUNTIF(A$2:A1697, A1697)=1, IF(COUNTIF(A$2:A$2001, A1697)&gt;1, 1, 0), 0)</f>
        <v>0</v>
      </c>
      <c r="M1697" t="b">
        <f>VLOOKUP(D1697, Products!A$2:F$61, 6, FALSE)</f>
        <v>1</v>
      </c>
      <c r="N1697" t="str">
        <f>VLOOKUP(D1697, Products!A$2:C$61, 3, FALSE)</f>
        <v>Grocery</v>
      </c>
      <c r="O1697" t="str">
        <f>VLOOKUP(C1697, Customers!A$2:E$301, 5, FALSE)</f>
        <v>Retail</v>
      </c>
      <c r="P1697">
        <f>VLOOKUP(C1697, Customers!A$2:C$301, 3, FALSE)</f>
        <v>28</v>
      </c>
      <c r="Q1697" t="str">
        <f>VLOOKUP(E1697, Sales_Reps!A$2:C$31, 3, FALSE)</f>
        <v>East</v>
      </c>
      <c r="R1697">
        <f>VLOOKUP(D1697, Products!A$2:D$61, 4, FALSE)</f>
        <v>1435</v>
      </c>
    </row>
    <row r="1698" spans="1:18" x14ac:dyDescent="0.3">
      <c r="A1698" s="13" t="s">
        <v>2196</v>
      </c>
      <c r="B1698" s="14">
        <v>45626</v>
      </c>
      <c r="C1698" s="13" t="s">
        <v>561</v>
      </c>
      <c r="D1698" s="13" t="s">
        <v>187</v>
      </c>
      <c r="E1698" s="13" t="s">
        <v>201</v>
      </c>
      <c r="F1698" s="15">
        <v>3</v>
      </c>
      <c r="G1698" s="15">
        <v>3570</v>
      </c>
      <c r="H1698" s="15">
        <v>18.399999999999999</v>
      </c>
      <c r="I1698" s="15">
        <v>8739.36</v>
      </c>
      <c r="J1698" s="13" t="s">
        <v>144</v>
      </c>
      <c r="K1698" s="13" t="s">
        <v>133</v>
      </c>
      <c r="L1698">
        <f>IF(COUNTIF(A$2:A1698, A1698)=1, IF(COUNTIF(A$2:A$2001, A1698)&gt;1, 1, 0), 0)</f>
        <v>0</v>
      </c>
      <c r="M1698" t="b">
        <f>VLOOKUP(D1698, Products!A$2:F$61, 6, FALSE)</f>
        <v>1</v>
      </c>
      <c r="N1698" t="str">
        <f>VLOOKUP(D1698, Products!A$2:C$61, 3, FALSE)</f>
        <v>Electronics</v>
      </c>
      <c r="O1698" t="str">
        <f>VLOOKUP(C1698, Customers!A$2:E$301, 5, FALSE)</f>
        <v>SMB</v>
      </c>
      <c r="P1698">
        <f>VLOOKUP(C1698, Customers!A$2:C$301, 3, FALSE)</f>
        <v>43</v>
      </c>
      <c r="Q1698" t="str">
        <f>VLOOKUP(E1698, Sales_Reps!A$2:C$31, 3, FALSE)</f>
        <v>West</v>
      </c>
      <c r="R1698">
        <f>VLOOKUP(D1698, Products!A$2:D$61, 4, FALSE)</f>
        <v>1665</v>
      </c>
    </row>
    <row r="1699" spans="1:18" x14ac:dyDescent="0.3">
      <c r="A1699" s="13" t="s">
        <v>2197</v>
      </c>
      <c r="B1699" s="14">
        <v>45502</v>
      </c>
      <c r="C1699" s="13" t="s">
        <v>689</v>
      </c>
      <c r="D1699" s="13" t="s">
        <v>267</v>
      </c>
      <c r="E1699" s="13" t="s">
        <v>139</v>
      </c>
      <c r="F1699" s="15">
        <v>7</v>
      </c>
      <c r="G1699" s="15">
        <v>1220</v>
      </c>
      <c r="H1699" s="15">
        <v>25.8</v>
      </c>
      <c r="I1699" s="15">
        <v>6336.68</v>
      </c>
      <c r="J1699" s="13" t="s">
        <v>144</v>
      </c>
      <c r="K1699" s="13" t="s">
        <v>133</v>
      </c>
      <c r="L1699">
        <f>IF(COUNTIF(A$2:A1699, A1699)=1, IF(COUNTIF(A$2:A$2001, A1699)&gt;1, 1, 0), 0)</f>
        <v>0</v>
      </c>
      <c r="M1699" t="b">
        <f>VLOOKUP(D1699, Products!A$2:F$61, 6, FALSE)</f>
        <v>1</v>
      </c>
      <c r="N1699" t="str">
        <f>VLOOKUP(D1699, Products!A$2:C$61, 3, FALSE)</f>
        <v>Electronics</v>
      </c>
      <c r="O1699" t="str">
        <f>VLOOKUP(C1699, Customers!A$2:E$301, 5, FALSE)</f>
        <v>Retail</v>
      </c>
      <c r="P1699">
        <f>VLOOKUP(C1699, Customers!A$2:C$301, 3, FALSE)</f>
        <v>28</v>
      </c>
      <c r="Q1699" t="str">
        <f>VLOOKUP(E1699, Sales_Reps!A$2:C$31, 3, FALSE)</f>
        <v>North</v>
      </c>
      <c r="R1699">
        <f>VLOOKUP(D1699, Products!A$2:D$61, 4, FALSE)</f>
        <v>517</v>
      </c>
    </row>
    <row r="1700" spans="1:18" x14ac:dyDescent="0.3">
      <c r="A1700" s="13" t="s">
        <v>2198</v>
      </c>
      <c r="B1700" s="14">
        <v>45501</v>
      </c>
      <c r="C1700" s="13" t="s">
        <v>1172</v>
      </c>
      <c r="D1700" s="13" t="s">
        <v>161</v>
      </c>
      <c r="E1700" s="13" t="s">
        <v>229</v>
      </c>
      <c r="F1700" s="15">
        <v>6</v>
      </c>
      <c r="G1700" s="15">
        <v>3450</v>
      </c>
      <c r="H1700" s="15">
        <v>13.1</v>
      </c>
      <c r="I1700" s="15">
        <v>17988.3</v>
      </c>
      <c r="J1700" s="13" t="s">
        <v>87</v>
      </c>
      <c r="K1700" s="13" t="s">
        <v>88</v>
      </c>
      <c r="L1700">
        <f>IF(COUNTIF(A$2:A1700, A1700)=1, IF(COUNTIF(A$2:A$2001, A1700)&gt;1, 1, 0), 0)</f>
        <v>0</v>
      </c>
      <c r="M1700" t="b">
        <f>VLOOKUP(D1700, Products!A$2:F$61, 6, FALSE)</f>
        <v>1</v>
      </c>
      <c r="N1700" t="str">
        <f>VLOOKUP(D1700, Products!A$2:C$61, 3, FALSE)</f>
        <v>Sports</v>
      </c>
      <c r="O1700" t="str">
        <f>VLOOKUP(C1700, Customers!A$2:E$301, 5, FALSE)</f>
        <v>Retail</v>
      </c>
      <c r="P1700">
        <f>VLOOKUP(C1700, Customers!A$2:C$301, 3, FALSE)</f>
        <v>39</v>
      </c>
      <c r="Q1700" t="str">
        <f>VLOOKUP(E1700, Sales_Reps!A$2:C$31, 3, FALSE)</f>
        <v>West</v>
      </c>
      <c r="R1700">
        <f>VLOOKUP(D1700, Products!A$2:D$61, 4, FALSE)</f>
        <v>2467</v>
      </c>
    </row>
    <row r="1701" spans="1:18" x14ac:dyDescent="0.3">
      <c r="A1701" s="13" t="s">
        <v>2199</v>
      </c>
      <c r="B1701" s="14">
        <v>45435</v>
      </c>
      <c r="C1701" s="13" t="s">
        <v>109</v>
      </c>
      <c r="D1701" s="13" t="s">
        <v>338</v>
      </c>
      <c r="E1701" s="13" t="s">
        <v>139</v>
      </c>
      <c r="F1701" s="15">
        <v>10</v>
      </c>
      <c r="G1701" s="15">
        <v>2210</v>
      </c>
      <c r="H1701" s="15">
        <v>16.600000000000001</v>
      </c>
      <c r="I1701" s="15">
        <v>18431.400000000001</v>
      </c>
      <c r="J1701" s="13" t="s">
        <v>87</v>
      </c>
      <c r="K1701" s="13" t="s">
        <v>112</v>
      </c>
      <c r="L1701">
        <f>IF(COUNTIF(A$2:A1701, A1701)=1, IF(COUNTIF(A$2:A$2001, A1701)&gt;1, 1, 0), 0)</f>
        <v>0</v>
      </c>
      <c r="M1701" t="b">
        <f>VLOOKUP(D1701, Products!A$2:F$61, 6, FALSE)</f>
        <v>1</v>
      </c>
      <c r="N1701" t="str">
        <f>VLOOKUP(D1701, Products!A$2:C$61, 3, FALSE)</f>
        <v>Grocery</v>
      </c>
      <c r="O1701" t="str">
        <f>VLOOKUP(C1701, Customers!A$2:E$301, 5, FALSE)</f>
        <v>Retail</v>
      </c>
      <c r="P1701">
        <f>VLOOKUP(C1701, Customers!A$2:C$301, 3, FALSE)</f>
        <v>36</v>
      </c>
      <c r="Q1701" t="str">
        <f>VLOOKUP(E1701, Sales_Reps!A$2:C$31, 3, FALSE)</f>
        <v>North</v>
      </c>
      <c r="R1701">
        <f>VLOOKUP(D1701, Products!A$2:D$61, 4, FALSE)</f>
        <v>1010</v>
      </c>
    </row>
    <row r="1702" spans="1:18" x14ac:dyDescent="0.3">
      <c r="A1702" s="13" t="s">
        <v>2200</v>
      </c>
      <c r="B1702" s="14">
        <v>45295</v>
      </c>
      <c r="C1702" s="13" t="s">
        <v>416</v>
      </c>
      <c r="D1702" s="13" t="s">
        <v>167</v>
      </c>
      <c r="E1702" s="13" t="s">
        <v>343</v>
      </c>
      <c r="F1702" s="15">
        <v>10</v>
      </c>
      <c r="G1702" s="15">
        <v>2480</v>
      </c>
      <c r="H1702" s="15">
        <v>17.5</v>
      </c>
      <c r="I1702" s="15">
        <v>20460</v>
      </c>
      <c r="J1702" s="13" t="s">
        <v>87</v>
      </c>
      <c r="K1702" s="13" t="s">
        <v>117</v>
      </c>
      <c r="L1702">
        <f>IF(COUNTIF(A$2:A1702, A1702)=1, IF(COUNTIF(A$2:A$2001, A1702)&gt;1, 1, 0), 0)</f>
        <v>0</v>
      </c>
      <c r="M1702" t="b">
        <f>VLOOKUP(D1702, Products!A$2:F$61, 6, FALSE)</f>
        <v>1</v>
      </c>
      <c r="N1702" t="str">
        <f>VLOOKUP(D1702, Products!A$2:C$61, 3, FALSE)</f>
        <v>Apparel</v>
      </c>
      <c r="O1702" t="str">
        <f>VLOOKUP(C1702, Customers!A$2:E$301, 5, FALSE)</f>
        <v>Corporate</v>
      </c>
      <c r="P1702">
        <f>VLOOKUP(C1702, Customers!A$2:C$301, 3, FALSE)</f>
        <v>42</v>
      </c>
      <c r="Q1702" t="str">
        <f>VLOOKUP(E1702, Sales_Reps!A$2:C$31, 3, FALSE)</f>
        <v>West</v>
      </c>
      <c r="R1702">
        <f>VLOOKUP(D1702, Products!A$2:D$61, 4, FALSE)</f>
        <v>1173</v>
      </c>
    </row>
    <row r="1703" spans="1:18" x14ac:dyDescent="0.3">
      <c r="A1703" s="13" t="s">
        <v>2201</v>
      </c>
      <c r="B1703" s="14">
        <v>45566</v>
      </c>
      <c r="C1703" s="13" t="s">
        <v>1172</v>
      </c>
      <c r="D1703" s="13" t="s">
        <v>143</v>
      </c>
      <c r="E1703" s="13" t="s">
        <v>121</v>
      </c>
      <c r="F1703" s="15">
        <v>9</v>
      </c>
      <c r="G1703" s="15">
        <v>3250</v>
      </c>
      <c r="H1703" s="15">
        <v>25.9</v>
      </c>
      <c r="I1703" s="15">
        <v>21674.25</v>
      </c>
      <c r="J1703" s="13" t="s">
        <v>87</v>
      </c>
      <c r="K1703" s="13" t="s">
        <v>88</v>
      </c>
      <c r="L1703">
        <f>IF(COUNTIF(A$2:A1703, A1703)=1, IF(COUNTIF(A$2:A$2001, A1703)&gt;1, 1, 0), 0)</f>
        <v>0</v>
      </c>
      <c r="M1703" t="b">
        <f>VLOOKUP(D1703, Products!A$2:F$61, 6, FALSE)</f>
        <v>1</v>
      </c>
      <c r="N1703" t="str">
        <f>VLOOKUP(D1703, Products!A$2:C$61, 3, FALSE)</f>
        <v>Home</v>
      </c>
      <c r="O1703" t="str">
        <f>VLOOKUP(C1703, Customers!A$2:E$301, 5, FALSE)</f>
        <v>Retail</v>
      </c>
      <c r="P1703">
        <f>VLOOKUP(C1703, Customers!A$2:C$301, 3, FALSE)</f>
        <v>39</v>
      </c>
      <c r="Q1703" t="str">
        <f>VLOOKUP(E1703, Sales_Reps!A$2:C$31, 3, FALSE)</f>
        <v>East</v>
      </c>
      <c r="R1703">
        <f>VLOOKUP(D1703, Products!A$2:D$61, 4, FALSE)</f>
        <v>1556</v>
      </c>
    </row>
    <row r="1704" spans="1:18" x14ac:dyDescent="0.3">
      <c r="A1704" s="13" t="s">
        <v>2202</v>
      </c>
      <c r="B1704" s="14">
        <v>45474</v>
      </c>
      <c r="C1704" s="13" t="s">
        <v>837</v>
      </c>
      <c r="D1704" s="13" t="s">
        <v>151</v>
      </c>
      <c r="E1704" s="13" t="s">
        <v>107</v>
      </c>
      <c r="F1704" s="15">
        <v>3</v>
      </c>
      <c r="G1704" s="15">
        <v>2400</v>
      </c>
      <c r="H1704" s="15">
        <v>17.5</v>
      </c>
      <c r="I1704" s="15">
        <v>5940</v>
      </c>
      <c r="J1704" s="13" t="s">
        <v>87</v>
      </c>
      <c r="K1704" s="13" t="s">
        <v>117</v>
      </c>
      <c r="L1704">
        <f>IF(COUNTIF(A$2:A1704, A1704)=1, IF(COUNTIF(A$2:A$2001, A1704)&gt;1, 1, 0), 0)</f>
        <v>0</v>
      </c>
      <c r="M1704" t="b">
        <f>VLOOKUP(D1704, Products!A$2:F$61, 6, FALSE)</f>
        <v>1</v>
      </c>
      <c r="N1704" t="str">
        <f>VLOOKUP(D1704, Products!A$2:C$61, 3, FALSE)</f>
        <v>Sports</v>
      </c>
      <c r="O1704" t="str">
        <f>VLOOKUP(C1704, Customers!A$2:E$301, 5, FALSE)</f>
        <v>Retail</v>
      </c>
      <c r="P1704">
        <f>VLOOKUP(C1704, Customers!A$2:C$301, 3, FALSE)</f>
        <v>37</v>
      </c>
      <c r="Q1704" t="str">
        <f>VLOOKUP(E1704, Sales_Reps!A$2:C$31, 3, FALSE)</f>
        <v>North</v>
      </c>
      <c r="R1704">
        <f>VLOOKUP(D1704, Products!A$2:D$61, 4, FALSE)</f>
        <v>974</v>
      </c>
    </row>
    <row r="1705" spans="1:18" x14ac:dyDescent="0.3">
      <c r="A1705" s="13" t="s">
        <v>2203</v>
      </c>
      <c r="B1705" s="14">
        <v>45372</v>
      </c>
      <c r="C1705" s="13" t="s">
        <v>291</v>
      </c>
      <c r="D1705" s="13" t="s">
        <v>360</v>
      </c>
      <c r="E1705" s="13" t="s">
        <v>103</v>
      </c>
      <c r="F1705" s="15">
        <v>8</v>
      </c>
      <c r="G1705" s="15">
        <v>5410</v>
      </c>
      <c r="H1705" s="15">
        <v>8.3000000000000007</v>
      </c>
      <c r="I1705" s="15">
        <v>39687.760000000002</v>
      </c>
      <c r="J1705" s="13" t="s">
        <v>87</v>
      </c>
      <c r="K1705" s="13" t="s">
        <v>99</v>
      </c>
      <c r="L1705">
        <f>IF(COUNTIF(A$2:A1705, A1705)=1, IF(COUNTIF(A$2:A$2001, A1705)&gt;1, 1, 0), 0)</f>
        <v>0</v>
      </c>
      <c r="M1705" t="b">
        <f>VLOOKUP(D1705, Products!A$2:F$61, 6, FALSE)</f>
        <v>1</v>
      </c>
      <c r="N1705" t="str">
        <f>VLOOKUP(D1705, Products!A$2:C$61, 3, FALSE)</f>
        <v>Sports</v>
      </c>
      <c r="O1705" t="str">
        <f>VLOOKUP(C1705, Customers!A$2:E$301, 5, FALSE)</f>
        <v>Retail</v>
      </c>
      <c r="P1705">
        <f>VLOOKUP(C1705, Customers!A$2:C$301, 3, FALSE)</f>
        <v>35</v>
      </c>
      <c r="Q1705" t="str">
        <f>VLOOKUP(E1705, Sales_Reps!A$2:C$31, 3, FALSE)</f>
        <v>North</v>
      </c>
      <c r="R1705">
        <f>VLOOKUP(D1705, Products!A$2:D$61, 4, FALSE)</f>
        <v>2265</v>
      </c>
    </row>
    <row r="1706" spans="1:18" x14ac:dyDescent="0.3">
      <c r="A1706" s="13" t="s">
        <v>2204</v>
      </c>
      <c r="B1706" s="14">
        <v>45622</v>
      </c>
      <c r="C1706" s="13" t="s">
        <v>835</v>
      </c>
      <c r="D1706" s="13" t="s">
        <v>138</v>
      </c>
      <c r="E1706" s="13" t="s">
        <v>303</v>
      </c>
      <c r="F1706" s="15">
        <v>1</v>
      </c>
      <c r="G1706" s="15">
        <v>2600</v>
      </c>
      <c r="H1706" s="15">
        <v>5.9</v>
      </c>
      <c r="I1706" s="15">
        <v>2446.6</v>
      </c>
      <c r="J1706" s="13" t="s">
        <v>87</v>
      </c>
      <c r="K1706" s="13" t="s">
        <v>117</v>
      </c>
      <c r="L1706">
        <f>IF(COUNTIF(A$2:A1706, A1706)=1, IF(COUNTIF(A$2:A$2001, A1706)&gt;1, 1, 0), 0)</f>
        <v>0</v>
      </c>
      <c r="M1706" t="b">
        <f>VLOOKUP(D1706, Products!A$2:F$61, 6, FALSE)</f>
        <v>1</v>
      </c>
      <c r="N1706" t="str">
        <f>VLOOKUP(D1706, Products!A$2:C$61, 3, FALSE)</f>
        <v>Electronics</v>
      </c>
      <c r="O1706" t="str">
        <f>VLOOKUP(C1706, Customers!A$2:E$301, 5, FALSE)</f>
        <v>Retail</v>
      </c>
      <c r="P1706">
        <f>VLOOKUP(C1706, Customers!A$2:C$301, 3, FALSE)</f>
        <v>52</v>
      </c>
      <c r="Q1706" t="str">
        <f>VLOOKUP(E1706, Sales_Reps!A$2:C$31, 3, FALSE)</f>
        <v>East</v>
      </c>
      <c r="R1706">
        <f>VLOOKUP(D1706, Products!A$2:D$61, 4, FALSE)</f>
        <v>1052</v>
      </c>
    </row>
    <row r="1707" spans="1:18" x14ac:dyDescent="0.3">
      <c r="A1707" s="13" t="s">
        <v>2205</v>
      </c>
      <c r="B1707" s="14">
        <v>45603</v>
      </c>
      <c r="C1707" s="13" t="s">
        <v>366</v>
      </c>
      <c r="D1707" s="13" t="s">
        <v>351</v>
      </c>
      <c r="E1707" s="13" t="s">
        <v>148</v>
      </c>
      <c r="F1707" s="15">
        <v>10</v>
      </c>
      <c r="G1707" s="15">
        <v>4060</v>
      </c>
      <c r="H1707" s="15">
        <v>2.2999999999999998</v>
      </c>
      <c r="I1707" s="15">
        <v>39666.199999999997</v>
      </c>
      <c r="J1707" s="13" t="s">
        <v>87</v>
      </c>
      <c r="K1707" s="13" t="s">
        <v>112</v>
      </c>
      <c r="L1707">
        <f>IF(COUNTIF(A$2:A1707, A1707)=1, IF(COUNTIF(A$2:A$2001, A1707)&gt;1, 1, 0), 0)</f>
        <v>0</v>
      </c>
      <c r="M1707" t="b">
        <f>VLOOKUP(D1707, Products!A$2:F$61, 6, FALSE)</f>
        <v>1</v>
      </c>
      <c r="N1707" t="str">
        <f>VLOOKUP(D1707, Products!A$2:C$61, 3, FALSE)</f>
        <v>Grocery</v>
      </c>
      <c r="O1707" t="str">
        <f>VLOOKUP(C1707, Customers!A$2:E$301, 5, FALSE)</f>
        <v>Retail</v>
      </c>
      <c r="P1707">
        <f>VLOOKUP(C1707, Customers!A$2:C$301, 3, FALSE)</f>
        <v>25</v>
      </c>
      <c r="Q1707" t="str">
        <f>VLOOKUP(E1707, Sales_Reps!A$2:C$31, 3, FALSE)</f>
        <v>North</v>
      </c>
      <c r="R1707">
        <f>VLOOKUP(D1707, Products!A$2:D$61, 4, FALSE)</f>
        <v>2911</v>
      </c>
    </row>
    <row r="1708" spans="1:18" x14ac:dyDescent="0.3">
      <c r="A1708" s="13" t="s">
        <v>2206</v>
      </c>
      <c r="B1708" s="14">
        <v>45352</v>
      </c>
      <c r="C1708" s="13" t="s">
        <v>729</v>
      </c>
      <c r="D1708" s="13" t="s">
        <v>364</v>
      </c>
      <c r="E1708" s="13" t="s">
        <v>192</v>
      </c>
      <c r="F1708" s="15">
        <v>9</v>
      </c>
      <c r="G1708" s="15">
        <v>5330</v>
      </c>
      <c r="H1708" s="15">
        <v>23.5</v>
      </c>
      <c r="I1708" s="15">
        <v>36697.050000000003</v>
      </c>
      <c r="J1708" s="13" t="s">
        <v>87</v>
      </c>
      <c r="K1708" s="13" t="s">
        <v>112</v>
      </c>
      <c r="L1708">
        <f>IF(COUNTIF(A$2:A1708, A1708)=1, IF(COUNTIF(A$2:A$2001, A1708)&gt;1, 1, 0), 0)</f>
        <v>0</v>
      </c>
      <c r="M1708" t="b">
        <f>VLOOKUP(D1708, Products!A$2:F$61, 6, FALSE)</f>
        <v>1</v>
      </c>
      <c r="N1708" t="str">
        <f>VLOOKUP(D1708, Products!A$2:C$61, 3, FALSE)</f>
        <v>Electronics</v>
      </c>
      <c r="O1708" t="str">
        <f>VLOOKUP(C1708, Customers!A$2:E$301, 5, FALSE)</f>
        <v>Retail</v>
      </c>
      <c r="P1708">
        <f>VLOOKUP(C1708, Customers!A$2:C$301, 3, FALSE)</f>
        <v>56</v>
      </c>
      <c r="Q1708" t="str">
        <f>VLOOKUP(E1708, Sales_Reps!A$2:C$31, 3, FALSE)</f>
        <v>East</v>
      </c>
      <c r="R1708">
        <f>VLOOKUP(D1708, Products!A$2:D$61, 4, FALSE)</f>
        <v>2405</v>
      </c>
    </row>
    <row r="1709" spans="1:18" x14ac:dyDescent="0.3">
      <c r="A1709" s="13" t="s">
        <v>2207</v>
      </c>
      <c r="B1709" s="14">
        <v>45600</v>
      </c>
      <c r="C1709" s="13" t="s">
        <v>299</v>
      </c>
      <c r="D1709" s="13" t="s">
        <v>179</v>
      </c>
      <c r="E1709" s="13" t="s">
        <v>111</v>
      </c>
      <c r="F1709" s="15">
        <v>7</v>
      </c>
      <c r="G1709" s="15">
        <v>3350</v>
      </c>
      <c r="H1709" s="15">
        <v>13.4</v>
      </c>
      <c r="I1709" s="15">
        <v>20307.7</v>
      </c>
      <c r="J1709" s="13" t="s">
        <v>93</v>
      </c>
      <c r="K1709" s="13" t="s">
        <v>133</v>
      </c>
      <c r="L1709">
        <f>IF(COUNTIF(A$2:A1709, A1709)=1, IF(COUNTIF(A$2:A$2001, A1709)&gt;1, 1, 0), 0)</f>
        <v>0</v>
      </c>
      <c r="M1709" t="b">
        <f>VLOOKUP(D1709, Products!A$2:F$61, 6, FALSE)</f>
        <v>1</v>
      </c>
      <c r="N1709" t="str">
        <f>VLOOKUP(D1709, Products!A$2:C$61, 3, FALSE)</f>
        <v>Beauty</v>
      </c>
      <c r="O1709" t="str">
        <f>VLOOKUP(C1709, Customers!A$2:E$301, 5, FALSE)</f>
        <v>Retail</v>
      </c>
      <c r="P1709">
        <f>VLOOKUP(C1709, Customers!A$2:C$301, 3, FALSE)</f>
        <v>29</v>
      </c>
      <c r="Q1709" t="str">
        <f>VLOOKUP(E1709, Sales_Reps!A$2:C$31, 3, FALSE)</f>
        <v>West</v>
      </c>
      <c r="R1709">
        <f>VLOOKUP(D1709, Products!A$2:D$61, 4, FALSE)</f>
        <v>1728</v>
      </c>
    </row>
    <row r="1710" spans="1:18" x14ac:dyDescent="0.3">
      <c r="A1710" s="13" t="s">
        <v>2208</v>
      </c>
      <c r="B1710" s="14">
        <v>45631</v>
      </c>
      <c r="C1710" s="13" t="s">
        <v>565</v>
      </c>
      <c r="D1710" s="13" t="s">
        <v>355</v>
      </c>
      <c r="E1710" s="13" t="s">
        <v>98</v>
      </c>
      <c r="F1710" s="15">
        <v>4</v>
      </c>
      <c r="G1710" s="15">
        <v>2510</v>
      </c>
      <c r="H1710" s="15">
        <v>26.6</v>
      </c>
      <c r="I1710" s="15">
        <v>7369.36</v>
      </c>
      <c r="J1710" s="13" t="s">
        <v>87</v>
      </c>
      <c r="K1710" s="13" t="s">
        <v>112</v>
      </c>
      <c r="L1710">
        <f>IF(COUNTIF(A$2:A1710, A1710)=1, IF(COUNTIF(A$2:A$2001, A1710)&gt;1, 1, 0), 0)</f>
        <v>0</v>
      </c>
      <c r="M1710" t="b">
        <f>VLOOKUP(D1710, Products!A$2:F$61, 6, FALSE)</f>
        <v>0</v>
      </c>
      <c r="N1710" t="str">
        <f>VLOOKUP(D1710, Products!A$2:C$61, 3, FALSE)</f>
        <v>Apparel</v>
      </c>
      <c r="O1710" t="str">
        <f>VLOOKUP(C1710, Customers!A$2:E$301, 5, FALSE)</f>
        <v>SMB</v>
      </c>
      <c r="P1710">
        <f>VLOOKUP(C1710, Customers!A$2:C$301, 3, FALSE)</f>
        <v>61</v>
      </c>
      <c r="Q1710" t="str">
        <f>VLOOKUP(E1710, Sales_Reps!A$2:C$31, 3, FALSE)</f>
        <v>South</v>
      </c>
      <c r="R1710">
        <f>VLOOKUP(D1710, Products!A$2:D$61, 4, FALSE)</f>
        <v>1075</v>
      </c>
    </row>
    <row r="1711" spans="1:18" x14ac:dyDescent="0.3">
      <c r="A1711" s="13" t="s">
        <v>2209</v>
      </c>
      <c r="B1711" s="14">
        <v>45456</v>
      </c>
      <c r="C1711" s="13" t="s">
        <v>194</v>
      </c>
      <c r="D1711" s="13" t="s">
        <v>276</v>
      </c>
      <c r="E1711" s="13" t="s">
        <v>158</v>
      </c>
      <c r="F1711" s="15">
        <v>1</v>
      </c>
      <c r="G1711" s="15">
        <v>3020</v>
      </c>
      <c r="H1711" s="15">
        <v>15.2</v>
      </c>
      <c r="I1711" s="15">
        <v>2560.96</v>
      </c>
      <c r="J1711" s="13" t="s">
        <v>140</v>
      </c>
      <c r="K1711" s="13" t="s">
        <v>88</v>
      </c>
      <c r="L1711">
        <f>IF(COUNTIF(A$2:A1711, A1711)=1, IF(COUNTIF(A$2:A$2001, A1711)&gt;1, 1, 0), 0)</f>
        <v>0</v>
      </c>
      <c r="M1711" t="b">
        <f>VLOOKUP(D1711, Products!A$2:F$61, 6, FALSE)</f>
        <v>1</v>
      </c>
      <c r="N1711" t="str">
        <f>VLOOKUP(D1711, Products!A$2:C$61, 3, FALSE)</f>
        <v>Beauty</v>
      </c>
      <c r="O1711" t="str">
        <f>VLOOKUP(C1711, Customers!A$2:E$301, 5, FALSE)</f>
        <v>SMB</v>
      </c>
      <c r="P1711">
        <f>VLOOKUP(C1711, Customers!A$2:C$301, 3, FALSE)</f>
        <v>44</v>
      </c>
      <c r="Q1711" t="str">
        <f>VLOOKUP(E1711, Sales_Reps!A$2:C$31, 3, FALSE)</f>
        <v>East</v>
      </c>
      <c r="R1711">
        <f>VLOOKUP(D1711, Products!A$2:D$61, 4, FALSE)</f>
        <v>1626</v>
      </c>
    </row>
    <row r="1712" spans="1:18" x14ac:dyDescent="0.3">
      <c r="A1712" s="13" t="s">
        <v>2210</v>
      </c>
      <c r="B1712" s="14">
        <v>45539</v>
      </c>
      <c r="C1712" s="13" t="s">
        <v>970</v>
      </c>
      <c r="D1712" s="13" t="s">
        <v>91</v>
      </c>
      <c r="E1712" s="13" t="s">
        <v>229</v>
      </c>
      <c r="F1712" s="15">
        <v>1</v>
      </c>
      <c r="G1712" s="15">
        <v>820</v>
      </c>
      <c r="H1712" s="15">
        <v>6.3</v>
      </c>
      <c r="I1712" s="15">
        <v>768.34</v>
      </c>
      <c r="J1712" s="13" t="s">
        <v>87</v>
      </c>
      <c r="K1712" s="13" t="s">
        <v>112</v>
      </c>
      <c r="L1712">
        <f>IF(COUNTIF(A$2:A1712, A1712)=1, IF(COUNTIF(A$2:A$2001, A1712)&gt;1, 1, 0), 0)</f>
        <v>0</v>
      </c>
      <c r="M1712" t="b">
        <f>VLOOKUP(D1712, Products!A$2:F$61, 6, FALSE)</f>
        <v>1</v>
      </c>
      <c r="N1712" t="str">
        <f>VLOOKUP(D1712, Products!A$2:C$61, 3, FALSE)</f>
        <v>Apparel</v>
      </c>
      <c r="O1712" t="str">
        <f>VLOOKUP(C1712, Customers!A$2:E$301, 5, FALSE)</f>
        <v>Retail</v>
      </c>
      <c r="P1712">
        <f>VLOOKUP(C1712, Customers!A$2:C$301, 3, FALSE)</f>
        <v>40</v>
      </c>
      <c r="Q1712" t="str">
        <f>VLOOKUP(E1712, Sales_Reps!A$2:C$31, 3, FALSE)</f>
        <v>West</v>
      </c>
      <c r="R1712">
        <f>VLOOKUP(D1712, Products!A$2:D$61, 4, FALSE)</f>
        <v>391</v>
      </c>
    </row>
    <row r="1713" spans="1:18" x14ac:dyDescent="0.3">
      <c r="A1713" s="13" t="s">
        <v>2211</v>
      </c>
      <c r="B1713" s="14">
        <v>45488</v>
      </c>
      <c r="C1713" s="13" t="s">
        <v>968</v>
      </c>
      <c r="D1713" s="13" t="s">
        <v>106</v>
      </c>
      <c r="E1713" s="13" t="s">
        <v>343</v>
      </c>
      <c r="F1713" s="15">
        <v>4</v>
      </c>
      <c r="G1713" s="15">
        <v>3160</v>
      </c>
      <c r="H1713" s="15">
        <v>3.6</v>
      </c>
      <c r="I1713" s="15">
        <v>12184.96</v>
      </c>
      <c r="J1713" s="13" t="s">
        <v>93</v>
      </c>
      <c r="K1713" s="13" t="s">
        <v>99</v>
      </c>
      <c r="L1713">
        <f>IF(COUNTIF(A$2:A1713, A1713)=1, IF(COUNTIF(A$2:A$2001, A1713)&gt;1, 1, 0), 0)</f>
        <v>1</v>
      </c>
      <c r="M1713" t="b">
        <f>VLOOKUP(D1713, Products!A$2:F$61, 6, FALSE)</f>
        <v>1</v>
      </c>
      <c r="N1713" t="str">
        <f>VLOOKUP(D1713, Products!A$2:C$61, 3, FALSE)</f>
        <v>Apparel</v>
      </c>
      <c r="O1713" t="str">
        <f>VLOOKUP(C1713, Customers!A$2:E$301, 5, FALSE)</f>
        <v>Retail</v>
      </c>
      <c r="P1713">
        <f>VLOOKUP(C1713, Customers!A$2:C$301, 3, FALSE)</f>
        <v>47</v>
      </c>
      <c r="Q1713" t="str">
        <f>VLOOKUP(E1713, Sales_Reps!A$2:C$31, 3, FALSE)</f>
        <v>West</v>
      </c>
      <c r="R1713">
        <f>VLOOKUP(D1713, Products!A$2:D$61, 4, FALSE)</f>
        <v>1886</v>
      </c>
    </row>
    <row r="1714" spans="1:18" x14ac:dyDescent="0.3">
      <c r="A1714" s="13" t="s">
        <v>2212</v>
      </c>
      <c r="B1714" s="14">
        <v>45370</v>
      </c>
      <c r="C1714" s="13" t="s">
        <v>522</v>
      </c>
      <c r="D1714" s="13" t="s">
        <v>102</v>
      </c>
      <c r="E1714" s="13" t="s">
        <v>325</v>
      </c>
      <c r="F1714" s="15">
        <v>1</v>
      </c>
      <c r="G1714" s="15">
        <v>3660</v>
      </c>
      <c r="H1714" s="15">
        <v>28.2</v>
      </c>
      <c r="I1714" s="15">
        <v>2627.88</v>
      </c>
      <c r="J1714" s="13" t="s">
        <v>93</v>
      </c>
      <c r="K1714" s="13" t="s">
        <v>99</v>
      </c>
      <c r="L1714">
        <f>IF(COUNTIF(A$2:A1714, A1714)=1, IF(COUNTIF(A$2:A$2001, A1714)&gt;1, 1, 0), 0)</f>
        <v>0</v>
      </c>
      <c r="M1714" t="b">
        <f>VLOOKUP(D1714, Products!A$2:F$61, 6, FALSE)</f>
        <v>0</v>
      </c>
      <c r="N1714" t="str">
        <f>VLOOKUP(D1714, Products!A$2:C$61, 3, FALSE)</f>
        <v>Grocery</v>
      </c>
      <c r="O1714" t="str">
        <f>VLOOKUP(C1714, Customers!A$2:E$301, 5, FALSE)</f>
        <v>SMB</v>
      </c>
      <c r="P1714">
        <f>VLOOKUP(C1714, Customers!A$2:C$301, 3, FALSE)</f>
        <v>55</v>
      </c>
      <c r="Q1714" t="str">
        <f>VLOOKUP(E1714, Sales_Reps!A$2:C$31, 3, FALSE)</f>
        <v>South</v>
      </c>
      <c r="R1714">
        <f>VLOOKUP(D1714, Products!A$2:D$61, 4, FALSE)</f>
        <v>2214</v>
      </c>
    </row>
    <row r="1715" spans="1:18" x14ac:dyDescent="0.3">
      <c r="A1715" s="13" t="s">
        <v>2213</v>
      </c>
      <c r="B1715" s="14">
        <v>45394</v>
      </c>
      <c r="C1715" s="13" t="s">
        <v>96</v>
      </c>
      <c r="D1715" s="13" t="s">
        <v>91</v>
      </c>
      <c r="E1715" s="13" t="s">
        <v>201</v>
      </c>
      <c r="F1715" s="15">
        <v>2</v>
      </c>
      <c r="G1715" s="15">
        <v>820</v>
      </c>
      <c r="H1715" s="15">
        <v>7</v>
      </c>
      <c r="I1715" s="15">
        <v>1525.2</v>
      </c>
      <c r="J1715" s="13" t="s">
        <v>87</v>
      </c>
      <c r="K1715" s="13" t="s">
        <v>99</v>
      </c>
      <c r="L1715">
        <f>IF(COUNTIF(A$2:A1715, A1715)=1, IF(COUNTIF(A$2:A$2001, A1715)&gt;1, 1, 0), 0)</f>
        <v>0</v>
      </c>
      <c r="M1715" t="b">
        <f>VLOOKUP(D1715, Products!A$2:F$61, 6, FALSE)</f>
        <v>1</v>
      </c>
      <c r="N1715" t="str">
        <f>VLOOKUP(D1715, Products!A$2:C$61, 3, FALSE)</f>
        <v>Apparel</v>
      </c>
      <c r="O1715" t="str">
        <f>VLOOKUP(C1715, Customers!A$2:E$301, 5, FALSE)</f>
        <v>Retail</v>
      </c>
      <c r="P1715">
        <f>VLOOKUP(C1715, Customers!A$2:C$301, 3, FALSE)</f>
        <v>52</v>
      </c>
      <c r="Q1715" t="str">
        <f>VLOOKUP(E1715, Sales_Reps!A$2:C$31, 3, FALSE)</f>
        <v>West</v>
      </c>
      <c r="R1715">
        <f>VLOOKUP(D1715, Products!A$2:D$61, 4, FALSE)</f>
        <v>391</v>
      </c>
    </row>
    <row r="1716" spans="1:18" x14ac:dyDescent="0.3">
      <c r="A1716" s="13" t="s">
        <v>2214</v>
      </c>
      <c r="B1716" s="14">
        <v>45446</v>
      </c>
      <c r="C1716" s="13" t="s">
        <v>263</v>
      </c>
      <c r="D1716" s="13" t="s">
        <v>367</v>
      </c>
      <c r="E1716" s="13" t="s">
        <v>285</v>
      </c>
      <c r="F1716" s="15">
        <v>5</v>
      </c>
      <c r="G1716" s="15">
        <v>2380</v>
      </c>
      <c r="H1716" s="15">
        <v>23</v>
      </c>
      <c r="I1716" s="15">
        <v>9163</v>
      </c>
      <c r="J1716" s="13" t="s">
        <v>87</v>
      </c>
      <c r="K1716" s="13" t="s">
        <v>133</v>
      </c>
      <c r="L1716">
        <f>IF(COUNTIF(A$2:A1716, A1716)=1, IF(COUNTIF(A$2:A$2001, A1716)&gt;1, 1, 0), 0)</f>
        <v>0</v>
      </c>
      <c r="M1716" t="b">
        <f>VLOOKUP(D1716, Products!A$2:F$61, 6, FALSE)</f>
        <v>1</v>
      </c>
      <c r="N1716" t="str">
        <f>VLOOKUP(D1716, Products!A$2:C$61, 3, FALSE)</f>
        <v>Grocery</v>
      </c>
      <c r="O1716" t="str">
        <f>VLOOKUP(C1716, Customers!A$2:E$301, 5, FALSE)</f>
        <v>Retail</v>
      </c>
      <c r="P1716">
        <f>VLOOKUP(C1716, Customers!A$2:C$301, 3, FALSE)</f>
        <v>53</v>
      </c>
      <c r="Q1716" t="str">
        <f>VLOOKUP(E1716, Sales_Reps!A$2:C$31, 3, FALSE)</f>
        <v>East</v>
      </c>
      <c r="R1716">
        <f>VLOOKUP(D1716, Products!A$2:D$61, 4, FALSE)</f>
        <v>1182</v>
      </c>
    </row>
    <row r="1717" spans="1:18" x14ac:dyDescent="0.3">
      <c r="A1717" s="13" t="s">
        <v>2215</v>
      </c>
      <c r="B1717" s="14">
        <v>45612</v>
      </c>
      <c r="C1717" s="13" t="s">
        <v>561</v>
      </c>
      <c r="D1717" s="13" t="s">
        <v>248</v>
      </c>
      <c r="E1717" s="13" t="s">
        <v>252</v>
      </c>
      <c r="F1717" s="15">
        <v>1</v>
      </c>
      <c r="G1717" s="15">
        <v>3870</v>
      </c>
      <c r="H1717" s="15">
        <v>27.3</v>
      </c>
      <c r="I1717" s="15">
        <v>2813.49</v>
      </c>
      <c r="J1717" s="13" t="s">
        <v>87</v>
      </c>
      <c r="K1717" s="13" t="s">
        <v>133</v>
      </c>
      <c r="L1717">
        <f>IF(COUNTIF(A$2:A1717, A1717)=1, IF(COUNTIF(A$2:A$2001, A1717)&gt;1, 1, 0), 0)</f>
        <v>0</v>
      </c>
      <c r="M1717" t="b">
        <f>VLOOKUP(D1717, Products!A$2:F$61, 6, FALSE)</f>
        <v>1</v>
      </c>
      <c r="N1717" t="str">
        <f>VLOOKUP(D1717, Products!A$2:C$61, 3, FALSE)</f>
        <v>Electronics</v>
      </c>
      <c r="O1717" t="str">
        <f>VLOOKUP(C1717, Customers!A$2:E$301, 5, FALSE)</f>
        <v>SMB</v>
      </c>
      <c r="P1717">
        <f>VLOOKUP(C1717, Customers!A$2:C$301, 3, FALSE)</f>
        <v>43</v>
      </c>
      <c r="Q1717" t="str">
        <f>VLOOKUP(E1717, Sales_Reps!A$2:C$31, 3, FALSE)</f>
        <v>South</v>
      </c>
      <c r="R1717">
        <f>VLOOKUP(D1717, Products!A$2:D$61, 4, FALSE)</f>
        <v>1559</v>
      </c>
    </row>
    <row r="1718" spans="1:18" x14ac:dyDescent="0.3">
      <c r="A1718" s="13" t="s">
        <v>2216</v>
      </c>
      <c r="B1718" s="14">
        <v>45301</v>
      </c>
      <c r="C1718" s="13" t="s">
        <v>662</v>
      </c>
      <c r="D1718" s="13" t="s">
        <v>282</v>
      </c>
      <c r="E1718" s="13" t="s">
        <v>86</v>
      </c>
      <c r="F1718" s="15">
        <v>10</v>
      </c>
      <c r="G1718" s="15">
        <v>300</v>
      </c>
      <c r="H1718" s="15">
        <v>14.1</v>
      </c>
      <c r="I1718" s="15">
        <v>2577</v>
      </c>
      <c r="J1718" s="13" t="s">
        <v>140</v>
      </c>
      <c r="K1718" s="13" t="s">
        <v>94</v>
      </c>
      <c r="L1718">
        <f>IF(COUNTIF(A$2:A1718, A1718)=1, IF(COUNTIF(A$2:A$2001, A1718)&gt;1, 1, 0), 0)</f>
        <v>0</v>
      </c>
      <c r="M1718" t="b">
        <f>VLOOKUP(D1718, Products!A$2:F$61, 6, FALSE)</f>
        <v>1</v>
      </c>
      <c r="N1718" t="str">
        <f>VLOOKUP(D1718, Products!A$2:C$61, 3, FALSE)</f>
        <v>Electronics</v>
      </c>
      <c r="O1718" t="str">
        <f>VLOOKUP(C1718, Customers!A$2:E$301, 5, FALSE)</f>
        <v>Corporate</v>
      </c>
      <c r="P1718">
        <f>VLOOKUP(C1718, Customers!A$2:C$301, 3, FALSE)</f>
        <v>41</v>
      </c>
      <c r="Q1718" t="str">
        <f>VLOOKUP(E1718, Sales_Reps!A$2:C$31, 3, FALSE)</f>
        <v>North</v>
      </c>
      <c r="R1718">
        <f>VLOOKUP(D1718, Products!A$2:D$61, 4, FALSE)</f>
        <v>128</v>
      </c>
    </row>
    <row r="1719" spans="1:18" x14ac:dyDescent="0.3">
      <c r="A1719" s="13" t="s">
        <v>2217</v>
      </c>
      <c r="B1719" s="14">
        <v>45647</v>
      </c>
      <c r="C1719" s="13" t="s">
        <v>895</v>
      </c>
      <c r="D1719" s="13" t="s">
        <v>191</v>
      </c>
      <c r="E1719" s="13" t="s">
        <v>343</v>
      </c>
      <c r="F1719" s="15">
        <v>10</v>
      </c>
      <c r="G1719" s="15">
        <v>5100</v>
      </c>
      <c r="H1719" s="15">
        <v>12.7</v>
      </c>
      <c r="I1719" s="15">
        <v>44523</v>
      </c>
      <c r="J1719" s="13" t="s">
        <v>87</v>
      </c>
      <c r="K1719" s="13" t="s">
        <v>117</v>
      </c>
      <c r="L1719">
        <f>IF(COUNTIF(A$2:A1719, A1719)=1, IF(COUNTIF(A$2:A$2001, A1719)&gt;1, 1, 0), 0)</f>
        <v>0</v>
      </c>
      <c r="M1719" t="b">
        <f>VLOOKUP(D1719, Products!A$2:F$61, 6, FALSE)</f>
        <v>1</v>
      </c>
      <c r="N1719" t="str">
        <f>VLOOKUP(D1719, Products!A$2:C$61, 3, FALSE)</f>
        <v>Beauty</v>
      </c>
      <c r="O1719" t="str">
        <f>VLOOKUP(C1719, Customers!A$2:E$301, 5, FALSE)</f>
        <v>Retail</v>
      </c>
      <c r="P1719">
        <f>VLOOKUP(C1719, Customers!A$2:C$301, 3, FALSE)</f>
        <v>46</v>
      </c>
      <c r="Q1719" t="str">
        <f>VLOOKUP(E1719, Sales_Reps!A$2:C$31, 3, FALSE)</f>
        <v>West</v>
      </c>
      <c r="R1719">
        <f>VLOOKUP(D1719, Products!A$2:D$61, 4, FALSE)</f>
        <v>2237</v>
      </c>
    </row>
    <row r="1720" spans="1:18" x14ac:dyDescent="0.3">
      <c r="A1720" s="13" t="s">
        <v>2218</v>
      </c>
      <c r="B1720" s="14">
        <v>45589</v>
      </c>
      <c r="C1720" s="13" t="s">
        <v>902</v>
      </c>
      <c r="D1720" s="13" t="s">
        <v>200</v>
      </c>
      <c r="E1720" s="13" t="s">
        <v>252</v>
      </c>
      <c r="F1720" s="15">
        <v>1</v>
      </c>
      <c r="G1720" s="15">
        <v>2760</v>
      </c>
      <c r="H1720" s="15">
        <v>17.8</v>
      </c>
      <c r="I1720" s="15">
        <v>2268.7199999999998</v>
      </c>
      <c r="J1720" s="13" t="s">
        <v>144</v>
      </c>
      <c r="K1720" s="13" t="s">
        <v>112</v>
      </c>
      <c r="L1720">
        <f>IF(COUNTIF(A$2:A1720, A1720)=1, IF(COUNTIF(A$2:A$2001, A1720)&gt;1, 1, 0), 0)</f>
        <v>0</v>
      </c>
      <c r="M1720" t="b">
        <f>VLOOKUP(D1720, Products!A$2:F$61, 6, FALSE)</f>
        <v>1</v>
      </c>
      <c r="N1720" t="str">
        <f>VLOOKUP(D1720, Products!A$2:C$61, 3, FALSE)</f>
        <v>Grocery</v>
      </c>
      <c r="O1720" t="str">
        <f>VLOOKUP(C1720, Customers!A$2:E$301, 5, FALSE)</f>
        <v>Retail</v>
      </c>
      <c r="P1720">
        <f>VLOOKUP(C1720, Customers!A$2:C$301, 3, FALSE)</f>
        <v>37</v>
      </c>
      <c r="Q1720" t="str">
        <f>VLOOKUP(E1720, Sales_Reps!A$2:C$31, 3, FALSE)</f>
        <v>South</v>
      </c>
      <c r="R1720">
        <f>VLOOKUP(D1720, Products!A$2:D$61, 4, FALSE)</f>
        <v>1435</v>
      </c>
    </row>
    <row r="1721" spans="1:18" x14ac:dyDescent="0.3">
      <c r="A1721" s="13" t="s">
        <v>2219</v>
      </c>
      <c r="B1721" s="14">
        <v>45382</v>
      </c>
      <c r="C1721" s="13" t="s">
        <v>501</v>
      </c>
      <c r="D1721" s="13" t="s">
        <v>364</v>
      </c>
      <c r="E1721" s="13" t="s">
        <v>297</v>
      </c>
      <c r="F1721" s="15">
        <v>8</v>
      </c>
      <c r="G1721" s="15">
        <v>5330</v>
      </c>
      <c r="H1721" s="15">
        <v>16.399999999999999</v>
      </c>
      <c r="I1721" s="15">
        <v>35647.040000000001</v>
      </c>
      <c r="J1721" s="13" t="s">
        <v>87</v>
      </c>
      <c r="K1721" s="13" t="s">
        <v>133</v>
      </c>
      <c r="L1721">
        <f>IF(COUNTIF(A$2:A1721, A1721)=1, IF(COUNTIF(A$2:A$2001, A1721)&gt;1, 1, 0), 0)</f>
        <v>0</v>
      </c>
      <c r="M1721" t="b">
        <f>VLOOKUP(D1721, Products!A$2:F$61, 6, FALSE)</f>
        <v>1</v>
      </c>
      <c r="N1721" t="str">
        <f>VLOOKUP(D1721, Products!A$2:C$61, 3, FALSE)</f>
        <v>Electronics</v>
      </c>
      <c r="O1721" t="str">
        <f>VLOOKUP(C1721, Customers!A$2:E$301, 5, FALSE)</f>
        <v>SMB</v>
      </c>
      <c r="P1721">
        <f>VLOOKUP(C1721, Customers!A$2:C$301, 3, FALSE)</f>
        <v>65</v>
      </c>
      <c r="Q1721" t="str">
        <f>VLOOKUP(E1721, Sales_Reps!A$2:C$31, 3, FALSE)</f>
        <v>North</v>
      </c>
      <c r="R1721">
        <f>VLOOKUP(D1721, Products!A$2:D$61, 4, FALSE)</f>
        <v>2405</v>
      </c>
    </row>
    <row r="1722" spans="1:18" x14ac:dyDescent="0.3">
      <c r="A1722" s="13" t="s">
        <v>2220</v>
      </c>
      <c r="B1722" s="14">
        <v>45457</v>
      </c>
      <c r="C1722" s="13" t="s">
        <v>662</v>
      </c>
      <c r="D1722" s="13" t="s">
        <v>182</v>
      </c>
      <c r="E1722" s="13" t="s">
        <v>346</v>
      </c>
      <c r="F1722" s="15">
        <v>1</v>
      </c>
      <c r="G1722" s="15">
        <v>1010</v>
      </c>
      <c r="H1722" s="15">
        <v>20.399999999999999</v>
      </c>
      <c r="I1722" s="15">
        <v>803.96</v>
      </c>
      <c r="J1722" s="13" t="s">
        <v>140</v>
      </c>
      <c r="K1722" s="13" t="s">
        <v>94</v>
      </c>
      <c r="L1722">
        <f>IF(COUNTIF(A$2:A1722, A1722)=1, IF(COUNTIF(A$2:A$2001, A1722)&gt;1, 1, 0), 0)</f>
        <v>0</v>
      </c>
      <c r="M1722" t="b">
        <f>VLOOKUP(D1722, Products!A$2:F$61, 6, FALSE)</f>
        <v>1</v>
      </c>
      <c r="N1722" t="str">
        <f>VLOOKUP(D1722, Products!A$2:C$61, 3, FALSE)</f>
        <v>Sports</v>
      </c>
      <c r="O1722" t="str">
        <f>VLOOKUP(C1722, Customers!A$2:E$301, 5, FALSE)</f>
        <v>Corporate</v>
      </c>
      <c r="P1722">
        <f>VLOOKUP(C1722, Customers!A$2:C$301, 3, FALSE)</f>
        <v>41</v>
      </c>
      <c r="Q1722" t="str">
        <f>VLOOKUP(E1722, Sales_Reps!A$2:C$31, 3, FALSE)</f>
        <v>South</v>
      </c>
      <c r="R1722">
        <f>VLOOKUP(D1722, Products!A$2:D$61, 4, FALSE)</f>
        <v>516</v>
      </c>
    </row>
    <row r="1723" spans="1:18" x14ac:dyDescent="0.3">
      <c r="A1723" s="13" t="s">
        <v>2221</v>
      </c>
      <c r="B1723" s="14">
        <v>45376</v>
      </c>
      <c r="C1723" s="13" t="s">
        <v>109</v>
      </c>
      <c r="D1723" s="13" t="s">
        <v>279</v>
      </c>
      <c r="E1723" s="13" t="s">
        <v>121</v>
      </c>
      <c r="F1723" s="15">
        <v>10</v>
      </c>
      <c r="G1723" s="15">
        <v>2660</v>
      </c>
      <c r="H1723" s="15">
        <v>29.3</v>
      </c>
      <c r="I1723" s="15">
        <v>18806.2</v>
      </c>
      <c r="J1723" s="13" t="s">
        <v>87</v>
      </c>
      <c r="K1723" s="13" t="s">
        <v>112</v>
      </c>
      <c r="L1723">
        <f>IF(COUNTIF(A$2:A1723, A1723)=1, IF(COUNTIF(A$2:A$2001, A1723)&gt;1, 1, 0), 0)</f>
        <v>0</v>
      </c>
      <c r="M1723" t="b">
        <f>VLOOKUP(D1723, Products!A$2:F$61, 6, FALSE)</f>
        <v>0</v>
      </c>
      <c r="N1723" t="str">
        <f>VLOOKUP(D1723, Products!A$2:C$61, 3, FALSE)</f>
        <v>Electronics</v>
      </c>
      <c r="O1723" t="str">
        <f>VLOOKUP(C1723, Customers!A$2:E$301, 5, FALSE)</f>
        <v>Retail</v>
      </c>
      <c r="P1723">
        <f>VLOOKUP(C1723, Customers!A$2:C$301, 3, FALSE)</f>
        <v>36</v>
      </c>
      <c r="Q1723" t="str">
        <f>VLOOKUP(E1723, Sales_Reps!A$2:C$31, 3, FALSE)</f>
        <v>East</v>
      </c>
      <c r="R1723">
        <f>VLOOKUP(D1723, Products!A$2:D$61, 4, FALSE)</f>
        <v>1259</v>
      </c>
    </row>
    <row r="1724" spans="1:18" x14ac:dyDescent="0.3">
      <c r="A1724" s="13" t="s">
        <v>2222</v>
      </c>
      <c r="B1724" s="14">
        <v>45506</v>
      </c>
      <c r="C1724" s="13" t="s">
        <v>169</v>
      </c>
      <c r="D1724" s="13" t="s">
        <v>408</v>
      </c>
      <c r="E1724" s="13" t="s">
        <v>273</v>
      </c>
      <c r="F1724" s="15">
        <v>9</v>
      </c>
      <c r="G1724" s="15">
        <v>3970</v>
      </c>
      <c r="H1724" s="15">
        <v>10.4</v>
      </c>
      <c r="I1724" s="15">
        <v>32014.080000000002</v>
      </c>
      <c r="J1724" s="13" t="s">
        <v>93</v>
      </c>
      <c r="K1724" s="13" t="s">
        <v>112</v>
      </c>
      <c r="L1724">
        <f>IF(COUNTIF(A$2:A1724, A1724)=1, IF(COUNTIF(A$2:A$2001, A1724)&gt;1, 1, 0), 0)</f>
        <v>0</v>
      </c>
      <c r="M1724" t="b">
        <f>VLOOKUP(D1724, Products!A$2:F$61, 6, FALSE)</f>
        <v>1</v>
      </c>
      <c r="N1724" t="str">
        <f>VLOOKUP(D1724, Products!A$2:C$61, 3, FALSE)</f>
        <v>Electronics</v>
      </c>
      <c r="O1724" t="str">
        <f>VLOOKUP(C1724, Customers!A$2:E$301, 5, FALSE)</f>
        <v>Retail</v>
      </c>
      <c r="P1724">
        <f>VLOOKUP(C1724, Customers!A$2:C$301, 3, FALSE)</f>
        <v>34</v>
      </c>
      <c r="Q1724" t="str">
        <f>VLOOKUP(E1724, Sales_Reps!A$2:C$31, 3, FALSE)</f>
        <v>South</v>
      </c>
      <c r="R1724">
        <f>VLOOKUP(D1724, Products!A$2:D$61, 4, FALSE)</f>
        <v>2865</v>
      </c>
    </row>
    <row r="1725" spans="1:18" x14ac:dyDescent="0.3">
      <c r="A1725" s="13" t="s">
        <v>2223</v>
      </c>
      <c r="B1725" s="14">
        <v>45472</v>
      </c>
      <c r="C1725" s="13" t="s">
        <v>905</v>
      </c>
      <c r="D1725" s="13" t="s">
        <v>85</v>
      </c>
      <c r="E1725" s="13" t="s">
        <v>107</v>
      </c>
      <c r="F1725" s="15">
        <v>3</v>
      </c>
      <c r="G1725" s="15">
        <v>3620</v>
      </c>
      <c r="H1725" s="15">
        <v>22</v>
      </c>
      <c r="I1725" s="15">
        <v>8470.7999999999993</v>
      </c>
      <c r="J1725" s="13" t="s">
        <v>87</v>
      </c>
      <c r="K1725" s="13" t="s">
        <v>112</v>
      </c>
      <c r="L1725">
        <f>IF(COUNTIF(A$2:A1725, A1725)=1, IF(COUNTIF(A$2:A$2001, A1725)&gt;1, 1, 0), 0)</f>
        <v>0</v>
      </c>
      <c r="M1725" t="b">
        <f>VLOOKUP(D1725, Products!A$2:F$61, 6, FALSE)</f>
        <v>1</v>
      </c>
      <c r="N1725" t="str">
        <f>VLOOKUP(D1725, Products!A$2:C$61, 3, FALSE)</f>
        <v>Apparel</v>
      </c>
      <c r="O1725" t="str">
        <f>VLOOKUP(C1725, Customers!A$2:E$301, 5, FALSE)</f>
        <v>SMB</v>
      </c>
      <c r="P1725">
        <f>VLOOKUP(C1725, Customers!A$2:C$301, 3, FALSE)</f>
        <v>43</v>
      </c>
      <c r="Q1725" t="str">
        <f>VLOOKUP(E1725, Sales_Reps!A$2:C$31, 3, FALSE)</f>
        <v>North</v>
      </c>
      <c r="R1725">
        <f>VLOOKUP(D1725, Products!A$2:D$61, 4, FALSE)</f>
        <v>2509</v>
      </c>
    </row>
    <row r="1726" spans="1:18" x14ac:dyDescent="0.3">
      <c r="A1726" s="13" t="s">
        <v>2224</v>
      </c>
      <c r="B1726" s="14">
        <v>45383</v>
      </c>
      <c r="C1726" s="13" t="s">
        <v>539</v>
      </c>
      <c r="D1726" s="13" t="s">
        <v>245</v>
      </c>
      <c r="E1726" s="13" t="s">
        <v>303</v>
      </c>
      <c r="F1726" s="15">
        <v>6</v>
      </c>
      <c r="G1726" s="15">
        <v>2270</v>
      </c>
      <c r="H1726" s="15">
        <v>11.1</v>
      </c>
      <c r="I1726" s="15">
        <v>12108.18</v>
      </c>
      <c r="J1726" s="13" t="s">
        <v>140</v>
      </c>
      <c r="K1726" s="13" t="s">
        <v>133</v>
      </c>
      <c r="L1726">
        <f>IF(COUNTIF(A$2:A1726, A1726)=1, IF(COUNTIF(A$2:A$2001, A1726)&gt;1, 1, 0), 0)</f>
        <v>0</v>
      </c>
      <c r="M1726" t="b">
        <f>VLOOKUP(D1726, Products!A$2:F$61, 6, FALSE)</f>
        <v>1</v>
      </c>
      <c r="N1726" t="str">
        <f>VLOOKUP(D1726, Products!A$2:C$61, 3, FALSE)</f>
        <v>Grocery</v>
      </c>
      <c r="O1726" t="str">
        <f>VLOOKUP(C1726, Customers!A$2:E$301, 5, FALSE)</f>
        <v>Retail</v>
      </c>
      <c r="P1726">
        <f>VLOOKUP(C1726, Customers!A$2:C$301, 3, FALSE)</f>
        <v>38</v>
      </c>
      <c r="Q1726" t="str">
        <f>VLOOKUP(E1726, Sales_Reps!A$2:C$31, 3, FALSE)</f>
        <v>East</v>
      </c>
      <c r="R1726">
        <f>VLOOKUP(D1726, Products!A$2:D$61, 4, FALSE)</f>
        <v>1412</v>
      </c>
    </row>
    <row r="1727" spans="1:18" x14ac:dyDescent="0.3">
      <c r="A1727" s="13" t="s">
        <v>2225</v>
      </c>
      <c r="B1727" s="14">
        <v>45543</v>
      </c>
      <c r="C1727" s="13" t="s">
        <v>1361</v>
      </c>
      <c r="D1727" s="13" t="s">
        <v>245</v>
      </c>
      <c r="E1727" s="13" t="s">
        <v>98</v>
      </c>
      <c r="F1727" s="15">
        <v>4</v>
      </c>
      <c r="G1727" s="15">
        <v>2270</v>
      </c>
      <c r="H1727" s="15">
        <v>27.2</v>
      </c>
      <c r="I1727" s="15">
        <v>6610.24</v>
      </c>
      <c r="J1727" s="13" t="s">
        <v>93</v>
      </c>
      <c r="K1727" s="13" t="s">
        <v>94</v>
      </c>
      <c r="L1727">
        <f>IF(COUNTIF(A$2:A1727, A1727)=1, IF(COUNTIF(A$2:A$2001, A1727)&gt;1, 1, 0), 0)</f>
        <v>0</v>
      </c>
      <c r="M1727" t="b">
        <f>VLOOKUP(D1727, Products!A$2:F$61, 6, FALSE)</f>
        <v>1</v>
      </c>
      <c r="N1727" t="str">
        <f>VLOOKUP(D1727, Products!A$2:C$61, 3, FALSE)</f>
        <v>Grocery</v>
      </c>
      <c r="O1727" t="str">
        <f>VLOOKUP(C1727, Customers!A$2:E$301, 5, FALSE)</f>
        <v>Retail</v>
      </c>
      <c r="P1727">
        <f>VLOOKUP(C1727, Customers!A$2:C$301, 3, FALSE)</f>
        <v>34</v>
      </c>
      <c r="Q1727" t="str">
        <f>VLOOKUP(E1727, Sales_Reps!A$2:C$31, 3, FALSE)</f>
        <v>South</v>
      </c>
      <c r="R1727">
        <f>VLOOKUP(D1727, Products!A$2:D$61, 4, FALSE)</f>
        <v>1412</v>
      </c>
    </row>
    <row r="1728" spans="1:18" x14ac:dyDescent="0.3">
      <c r="A1728" s="13" t="s">
        <v>2226</v>
      </c>
      <c r="B1728" s="14">
        <v>45576</v>
      </c>
      <c r="C1728" s="13" t="s">
        <v>447</v>
      </c>
      <c r="D1728" s="13" t="s">
        <v>270</v>
      </c>
      <c r="E1728" s="13" t="s">
        <v>325</v>
      </c>
      <c r="F1728" s="15">
        <v>8</v>
      </c>
      <c r="G1728" s="15">
        <v>4610</v>
      </c>
      <c r="H1728" s="15">
        <v>24.5</v>
      </c>
      <c r="I1728" s="15">
        <v>27844.400000000001</v>
      </c>
      <c r="J1728" s="13" t="s">
        <v>87</v>
      </c>
      <c r="K1728" s="13" t="s">
        <v>112</v>
      </c>
      <c r="L1728">
        <f>IF(COUNTIF(A$2:A1728, A1728)=1, IF(COUNTIF(A$2:A$2001, A1728)&gt;1, 1, 0), 0)</f>
        <v>0</v>
      </c>
      <c r="M1728" t="b">
        <f>VLOOKUP(D1728, Products!A$2:F$61, 6, FALSE)</f>
        <v>1</v>
      </c>
      <c r="N1728" t="str">
        <f>VLOOKUP(D1728, Products!A$2:C$61, 3, FALSE)</f>
        <v>Home</v>
      </c>
      <c r="O1728" t="str">
        <f>VLOOKUP(C1728, Customers!A$2:E$301, 5, FALSE)</f>
        <v>Retail</v>
      </c>
      <c r="P1728">
        <f>VLOOKUP(C1728, Customers!A$2:C$301, 3, FALSE)</f>
        <v>41</v>
      </c>
      <c r="Q1728" t="str">
        <f>VLOOKUP(E1728, Sales_Reps!A$2:C$31, 3, FALSE)</f>
        <v>South</v>
      </c>
      <c r="R1728">
        <f>VLOOKUP(D1728, Products!A$2:D$61, 4, FALSE)</f>
        <v>1850</v>
      </c>
    </row>
    <row r="1729" spans="1:18" x14ac:dyDescent="0.3">
      <c r="A1729" s="13" t="s">
        <v>2227</v>
      </c>
      <c r="B1729" s="14">
        <v>45366</v>
      </c>
      <c r="C1729" s="13" t="s">
        <v>684</v>
      </c>
      <c r="D1729" s="13" t="s">
        <v>147</v>
      </c>
      <c r="E1729" s="13" t="s">
        <v>192</v>
      </c>
      <c r="F1729" s="15">
        <v>6</v>
      </c>
      <c r="G1729" s="15">
        <v>190</v>
      </c>
      <c r="H1729" s="15">
        <v>8.6999999999999993</v>
      </c>
      <c r="I1729" s="15">
        <v>1040.82</v>
      </c>
      <c r="J1729" s="13" t="s">
        <v>140</v>
      </c>
      <c r="K1729" s="13" t="s">
        <v>99</v>
      </c>
      <c r="L1729">
        <f>IF(COUNTIF(A$2:A1729, A1729)=1, IF(COUNTIF(A$2:A$2001, A1729)&gt;1, 1, 0), 0)</f>
        <v>0</v>
      </c>
      <c r="M1729" t="b">
        <f>VLOOKUP(D1729, Products!A$2:F$61, 6, FALSE)</f>
        <v>1</v>
      </c>
      <c r="N1729" t="str">
        <f>VLOOKUP(D1729, Products!A$2:C$61, 3, FALSE)</f>
        <v>Sports</v>
      </c>
      <c r="O1729" t="str">
        <f>VLOOKUP(C1729, Customers!A$2:E$301, 5, FALSE)</f>
        <v>Retail</v>
      </c>
      <c r="P1729">
        <f>VLOOKUP(C1729, Customers!A$2:C$301, 3, FALSE)</f>
        <v>41</v>
      </c>
      <c r="Q1729" t="str">
        <f>VLOOKUP(E1729, Sales_Reps!A$2:C$31, 3, FALSE)</f>
        <v>East</v>
      </c>
      <c r="R1729">
        <f>VLOOKUP(D1729, Products!A$2:D$61, 4, FALSE)</f>
        <v>147</v>
      </c>
    </row>
    <row r="1730" spans="1:18" x14ac:dyDescent="0.3">
      <c r="A1730" s="13" t="s">
        <v>2228</v>
      </c>
      <c r="B1730" s="14">
        <v>45617</v>
      </c>
      <c r="C1730" s="13" t="s">
        <v>244</v>
      </c>
      <c r="D1730" s="13" t="s">
        <v>295</v>
      </c>
      <c r="E1730" s="13" t="s">
        <v>201</v>
      </c>
      <c r="F1730" s="15">
        <v>5</v>
      </c>
      <c r="G1730" s="15">
        <v>2030</v>
      </c>
      <c r="H1730" s="15">
        <v>0.9</v>
      </c>
      <c r="I1730" s="15">
        <v>10058.65</v>
      </c>
      <c r="J1730" s="13" t="s">
        <v>140</v>
      </c>
      <c r="K1730" s="13" t="s">
        <v>94</v>
      </c>
      <c r="L1730">
        <f>IF(COUNTIF(A$2:A1730, A1730)=1, IF(COUNTIF(A$2:A$2001, A1730)&gt;1, 1, 0), 0)</f>
        <v>0</v>
      </c>
      <c r="M1730" t="b">
        <f>VLOOKUP(D1730, Products!A$2:F$61, 6, FALSE)</f>
        <v>1</v>
      </c>
      <c r="N1730" t="str">
        <f>VLOOKUP(D1730, Products!A$2:C$61, 3, FALSE)</f>
        <v>Home</v>
      </c>
      <c r="O1730" t="str">
        <f>VLOOKUP(C1730, Customers!A$2:E$301, 5, FALSE)</f>
        <v>Corporate</v>
      </c>
      <c r="P1730">
        <f>VLOOKUP(C1730, Customers!A$2:C$301, 3, FALSE)</f>
        <v>52</v>
      </c>
      <c r="Q1730" t="str">
        <f>VLOOKUP(E1730, Sales_Reps!A$2:C$31, 3, FALSE)</f>
        <v>West</v>
      </c>
      <c r="R1730">
        <f>VLOOKUP(D1730, Products!A$2:D$61, 4, FALSE)</f>
        <v>1143</v>
      </c>
    </row>
    <row r="1731" spans="1:18" x14ac:dyDescent="0.3">
      <c r="A1731" s="13" t="s">
        <v>2229</v>
      </c>
      <c r="B1731" s="14">
        <v>45614</v>
      </c>
      <c r="C1731" s="13" t="s">
        <v>440</v>
      </c>
      <c r="D1731" s="13" t="s">
        <v>264</v>
      </c>
      <c r="E1731" s="13" t="s">
        <v>192</v>
      </c>
      <c r="F1731" s="15">
        <v>1</v>
      </c>
      <c r="G1731" s="15">
        <v>4070</v>
      </c>
      <c r="H1731" s="15">
        <v>9.3000000000000007</v>
      </c>
      <c r="I1731" s="15">
        <v>3691.49</v>
      </c>
      <c r="J1731" s="13" t="s">
        <v>144</v>
      </c>
      <c r="K1731" s="13" t="s">
        <v>88</v>
      </c>
      <c r="L1731">
        <f>IF(COUNTIF(A$2:A1731, A1731)=1, IF(COUNTIF(A$2:A$2001, A1731)&gt;1, 1, 0), 0)</f>
        <v>0</v>
      </c>
      <c r="M1731" t="b">
        <f>VLOOKUP(D1731, Products!A$2:F$61, 6, FALSE)</f>
        <v>1</v>
      </c>
      <c r="N1731" t="str">
        <f>VLOOKUP(D1731, Products!A$2:C$61, 3, FALSE)</f>
        <v>Grocery</v>
      </c>
      <c r="O1731" t="str">
        <f>VLOOKUP(C1731, Customers!A$2:E$301, 5, FALSE)</f>
        <v>SMB</v>
      </c>
      <c r="P1731">
        <f>VLOOKUP(C1731, Customers!A$2:C$301, 3, FALSE)</f>
        <v>30</v>
      </c>
      <c r="Q1731" t="str">
        <f>VLOOKUP(E1731, Sales_Reps!A$2:C$31, 3, FALSE)</f>
        <v>East</v>
      </c>
      <c r="R1731">
        <f>VLOOKUP(D1731, Products!A$2:D$61, 4, FALSE)</f>
        <v>2027</v>
      </c>
    </row>
    <row r="1732" spans="1:18" x14ac:dyDescent="0.3">
      <c r="A1732" s="13" t="s">
        <v>2230</v>
      </c>
      <c r="B1732" s="14">
        <v>45460</v>
      </c>
      <c r="C1732" s="13" t="s">
        <v>533</v>
      </c>
      <c r="D1732" s="13" t="s">
        <v>386</v>
      </c>
      <c r="E1732" s="13" t="s">
        <v>215</v>
      </c>
      <c r="F1732" s="15">
        <v>3</v>
      </c>
      <c r="G1732" s="15">
        <v>2290</v>
      </c>
      <c r="H1732" s="15">
        <v>12.1</v>
      </c>
      <c r="I1732" s="15">
        <v>6038.73</v>
      </c>
      <c r="J1732" s="13" t="s">
        <v>87</v>
      </c>
      <c r="K1732" s="13" t="s">
        <v>99</v>
      </c>
      <c r="L1732">
        <f>IF(COUNTIF(A$2:A1732, A1732)=1, IF(COUNTIF(A$2:A$2001, A1732)&gt;1, 1, 0), 0)</f>
        <v>0</v>
      </c>
      <c r="M1732" t="b">
        <f>VLOOKUP(D1732, Products!A$2:F$61, 6, FALSE)</f>
        <v>1</v>
      </c>
      <c r="N1732" t="str">
        <f>VLOOKUP(D1732, Products!A$2:C$61, 3, FALSE)</f>
        <v>Beauty</v>
      </c>
      <c r="O1732" t="str">
        <f>VLOOKUP(C1732, Customers!A$2:E$301, 5, FALSE)</f>
        <v>SMB</v>
      </c>
      <c r="P1732">
        <f>VLOOKUP(C1732, Customers!A$2:C$301, 3, FALSE)</f>
        <v>48</v>
      </c>
      <c r="Q1732" t="str">
        <f>VLOOKUP(E1732, Sales_Reps!A$2:C$31, 3, FALSE)</f>
        <v>North</v>
      </c>
      <c r="R1732">
        <f>VLOOKUP(D1732, Products!A$2:D$61, 4, FALSE)</f>
        <v>1219</v>
      </c>
    </row>
    <row r="1733" spans="1:18" x14ac:dyDescent="0.3">
      <c r="A1733" s="13" t="s">
        <v>2231</v>
      </c>
      <c r="B1733" s="14">
        <v>45514</v>
      </c>
      <c r="C1733" s="13" t="s">
        <v>418</v>
      </c>
      <c r="D1733" s="13" t="s">
        <v>226</v>
      </c>
      <c r="E1733" s="13" t="s">
        <v>192</v>
      </c>
      <c r="F1733" s="15">
        <v>7</v>
      </c>
      <c r="G1733" s="15">
        <v>3730</v>
      </c>
      <c r="H1733" s="15">
        <v>4.5</v>
      </c>
      <c r="I1733" s="15">
        <v>24935.05</v>
      </c>
      <c r="J1733" s="13" t="s">
        <v>87</v>
      </c>
      <c r="K1733" s="13" t="s">
        <v>133</v>
      </c>
      <c r="L1733">
        <f>IF(COUNTIF(A$2:A1733, A1733)=1, IF(COUNTIF(A$2:A$2001, A1733)&gt;1, 1, 0), 0)</f>
        <v>0</v>
      </c>
      <c r="M1733" t="b">
        <f>VLOOKUP(D1733, Products!A$2:F$61, 6, FALSE)</f>
        <v>1</v>
      </c>
      <c r="N1733" t="str">
        <f>VLOOKUP(D1733, Products!A$2:C$61, 3, FALSE)</f>
        <v>Home</v>
      </c>
      <c r="O1733" t="str">
        <f>VLOOKUP(C1733, Customers!A$2:E$301, 5, FALSE)</f>
        <v>Retail</v>
      </c>
      <c r="P1733">
        <f>VLOOKUP(C1733, Customers!A$2:C$301, 3, FALSE)</f>
        <v>22</v>
      </c>
      <c r="Q1733" t="str">
        <f>VLOOKUP(E1733, Sales_Reps!A$2:C$31, 3, FALSE)</f>
        <v>East</v>
      </c>
      <c r="R1733">
        <f>VLOOKUP(D1733, Products!A$2:D$61, 4, FALSE)</f>
        <v>2135</v>
      </c>
    </row>
    <row r="1734" spans="1:18" x14ac:dyDescent="0.3">
      <c r="A1734" s="13" t="s">
        <v>2232</v>
      </c>
      <c r="B1734" s="14">
        <v>45306</v>
      </c>
      <c r="C1734" s="13" t="s">
        <v>413</v>
      </c>
      <c r="D1734" s="13" t="s">
        <v>292</v>
      </c>
      <c r="E1734" s="13" t="s">
        <v>92</v>
      </c>
      <c r="F1734" s="15">
        <v>5</v>
      </c>
      <c r="G1734" s="15">
        <v>620</v>
      </c>
      <c r="H1734" s="15">
        <v>7.5</v>
      </c>
      <c r="I1734" s="15">
        <v>2867.5</v>
      </c>
      <c r="J1734" s="13" t="s">
        <v>87</v>
      </c>
      <c r="K1734" s="13" t="s">
        <v>88</v>
      </c>
      <c r="L1734">
        <f>IF(COUNTIF(A$2:A1734, A1734)=1, IF(COUNTIF(A$2:A$2001, A1734)&gt;1, 1, 0), 0)</f>
        <v>0</v>
      </c>
      <c r="M1734" t="b">
        <f>VLOOKUP(D1734, Products!A$2:F$61, 6, FALSE)</f>
        <v>1</v>
      </c>
      <c r="N1734" t="str">
        <f>VLOOKUP(D1734, Products!A$2:C$61, 3, FALSE)</f>
        <v>Apparel</v>
      </c>
      <c r="O1734" t="str">
        <f>VLOOKUP(C1734, Customers!A$2:E$301, 5, FALSE)</f>
        <v>Retail</v>
      </c>
      <c r="P1734">
        <f>VLOOKUP(C1734, Customers!A$2:C$301, 3, FALSE)</f>
        <v>22</v>
      </c>
      <c r="Q1734" t="str">
        <f>VLOOKUP(E1734, Sales_Reps!A$2:C$31, 3, FALSE)</f>
        <v>North</v>
      </c>
      <c r="R1734">
        <f>VLOOKUP(D1734, Products!A$2:D$61, 4, FALSE)</f>
        <v>396</v>
      </c>
    </row>
    <row r="1735" spans="1:18" x14ac:dyDescent="0.3">
      <c r="A1735" s="13" t="s">
        <v>2233</v>
      </c>
      <c r="B1735" s="14">
        <v>45455</v>
      </c>
      <c r="C1735" s="13" t="s">
        <v>382</v>
      </c>
      <c r="D1735" s="13" t="s">
        <v>135</v>
      </c>
      <c r="E1735" s="13" t="s">
        <v>132</v>
      </c>
      <c r="F1735" s="15">
        <v>8</v>
      </c>
      <c r="G1735" s="15">
        <v>2640</v>
      </c>
      <c r="H1735" s="15">
        <v>16.399999999999999</v>
      </c>
      <c r="I1735" s="15">
        <v>17656.32</v>
      </c>
      <c r="J1735" s="13" t="s">
        <v>87</v>
      </c>
      <c r="K1735" s="13" t="s">
        <v>99</v>
      </c>
      <c r="L1735">
        <f>IF(COUNTIF(A$2:A1735, A1735)=1, IF(COUNTIF(A$2:A$2001, A1735)&gt;1, 1, 0), 0)</f>
        <v>0</v>
      </c>
      <c r="M1735" t="b">
        <f>VLOOKUP(D1735, Products!A$2:F$61, 6, FALSE)</f>
        <v>1</v>
      </c>
      <c r="N1735" t="str">
        <f>VLOOKUP(D1735, Products!A$2:C$61, 3, FALSE)</f>
        <v>Electronics</v>
      </c>
      <c r="O1735" t="str">
        <f>VLOOKUP(C1735, Customers!A$2:E$301, 5, FALSE)</f>
        <v>Corporate</v>
      </c>
      <c r="P1735">
        <f>VLOOKUP(C1735, Customers!A$2:C$301, 3, FALSE)</f>
        <v>27</v>
      </c>
      <c r="Q1735" t="str">
        <f>VLOOKUP(E1735, Sales_Reps!A$2:C$31, 3, FALSE)</f>
        <v>South</v>
      </c>
      <c r="R1735">
        <f>VLOOKUP(D1735, Products!A$2:D$61, 4, FALSE)</f>
        <v>1149</v>
      </c>
    </row>
    <row r="1736" spans="1:18" x14ac:dyDescent="0.3">
      <c r="A1736" s="13" t="s">
        <v>2234</v>
      </c>
      <c r="B1736" s="14">
        <v>45564</v>
      </c>
      <c r="C1736" s="13" t="s">
        <v>318</v>
      </c>
      <c r="D1736" s="13" t="s">
        <v>102</v>
      </c>
      <c r="E1736" s="13" t="s">
        <v>139</v>
      </c>
      <c r="F1736" s="15">
        <v>6</v>
      </c>
      <c r="G1736" s="15">
        <v>3660</v>
      </c>
      <c r="H1736" s="15">
        <v>6.2</v>
      </c>
      <c r="I1736" s="15">
        <v>20598.48</v>
      </c>
      <c r="J1736" s="13" t="s">
        <v>87</v>
      </c>
      <c r="K1736" s="13" t="s">
        <v>94</v>
      </c>
      <c r="L1736">
        <f>IF(COUNTIF(A$2:A1736, A1736)=1, IF(COUNTIF(A$2:A$2001, A1736)&gt;1, 1, 0), 0)</f>
        <v>0</v>
      </c>
      <c r="M1736" t="b">
        <f>VLOOKUP(D1736, Products!A$2:F$61, 6, FALSE)</f>
        <v>0</v>
      </c>
      <c r="N1736" t="str">
        <f>VLOOKUP(D1736, Products!A$2:C$61, 3, FALSE)</f>
        <v>Grocery</v>
      </c>
      <c r="O1736" t="str">
        <f>VLOOKUP(C1736, Customers!A$2:E$301, 5, FALSE)</f>
        <v>SMB</v>
      </c>
      <c r="P1736">
        <f>VLOOKUP(C1736, Customers!A$2:C$301, 3, FALSE)</f>
        <v>57</v>
      </c>
      <c r="Q1736" t="str">
        <f>VLOOKUP(E1736, Sales_Reps!A$2:C$31, 3, FALSE)</f>
        <v>North</v>
      </c>
      <c r="R1736">
        <f>VLOOKUP(D1736, Products!A$2:D$61, 4, FALSE)</f>
        <v>2214</v>
      </c>
    </row>
    <row r="1737" spans="1:18" x14ac:dyDescent="0.3">
      <c r="A1737" s="13" t="s">
        <v>2235</v>
      </c>
      <c r="B1737" s="14">
        <v>45507</v>
      </c>
      <c r="C1737" s="13" t="s">
        <v>651</v>
      </c>
      <c r="D1737" s="13" t="s">
        <v>91</v>
      </c>
      <c r="E1737" s="13" t="s">
        <v>192</v>
      </c>
      <c r="F1737" s="15">
        <v>2</v>
      </c>
      <c r="G1737" s="15">
        <v>820</v>
      </c>
      <c r="H1737" s="15">
        <v>25.4</v>
      </c>
      <c r="I1737" s="15">
        <v>1223.44</v>
      </c>
      <c r="J1737" s="13" t="s">
        <v>87</v>
      </c>
      <c r="K1737" s="13" t="s">
        <v>133</v>
      </c>
      <c r="L1737">
        <f>IF(COUNTIF(A$2:A1737, A1737)=1, IF(COUNTIF(A$2:A$2001, A1737)&gt;1, 1, 0), 0)</f>
        <v>0</v>
      </c>
      <c r="M1737" t="b">
        <f>VLOOKUP(D1737, Products!A$2:F$61, 6, FALSE)</f>
        <v>1</v>
      </c>
      <c r="N1737" t="str">
        <f>VLOOKUP(D1737, Products!A$2:C$61, 3, FALSE)</f>
        <v>Apparel</v>
      </c>
      <c r="O1737" t="str">
        <f>VLOOKUP(C1737, Customers!A$2:E$301, 5, FALSE)</f>
        <v>Retail</v>
      </c>
      <c r="P1737">
        <f>VLOOKUP(C1737, Customers!A$2:C$301, 3, FALSE)</f>
        <v>50</v>
      </c>
      <c r="Q1737" t="str">
        <f>VLOOKUP(E1737, Sales_Reps!A$2:C$31, 3, FALSE)</f>
        <v>East</v>
      </c>
      <c r="R1737">
        <f>VLOOKUP(D1737, Products!A$2:D$61, 4, FALSE)</f>
        <v>391</v>
      </c>
    </row>
    <row r="1738" spans="1:18" x14ac:dyDescent="0.3">
      <c r="A1738" s="13" t="s">
        <v>2236</v>
      </c>
      <c r="B1738" s="14">
        <v>45596</v>
      </c>
      <c r="C1738" s="13" t="s">
        <v>1234</v>
      </c>
      <c r="D1738" s="13" t="s">
        <v>167</v>
      </c>
      <c r="E1738" s="13" t="s">
        <v>158</v>
      </c>
      <c r="F1738" s="15">
        <v>3</v>
      </c>
      <c r="G1738" s="15">
        <v>2480</v>
      </c>
      <c r="H1738" s="15">
        <v>28.7</v>
      </c>
      <c r="I1738" s="15">
        <v>5304.72</v>
      </c>
      <c r="J1738" s="13" t="s">
        <v>93</v>
      </c>
      <c r="K1738" s="13" t="s">
        <v>112</v>
      </c>
      <c r="L1738">
        <f>IF(COUNTIF(A$2:A1738, A1738)=1, IF(COUNTIF(A$2:A$2001, A1738)&gt;1, 1, 0), 0)</f>
        <v>0</v>
      </c>
      <c r="M1738" t="b">
        <f>VLOOKUP(D1738, Products!A$2:F$61, 6, FALSE)</f>
        <v>1</v>
      </c>
      <c r="N1738" t="str">
        <f>VLOOKUP(D1738, Products!A$2:C$61, 3, FALSE)</f>
        <v>Apparel</v>
      </c>
      <c r="O1738" t="str">
        <f>VLOOKUP(C1738, Customers!A$2:E$301, 5, FALSE)</f>
        <v>Retail</v>
      </c>
      <c r="P1738">
        <f>VLOOKUP(C1738, Customers!A$2:C$301, 3, FALSE)</f>
        <v>29</v>
      </c>
      <c r="Q1738" t="str">
        <f>VLOOKUP(E1738, Sales_Reps!A$2:C$31, 3, FALSE)</f>
        <v>East</v>
      </c>
      <c r="R1738">
        <f>VLOOKUP(D1738, Products!A$2:D$61, 4, FALSE)</f>
        <v>1173</v>
      </c>
    </row>
    <row r="1739" spans="1:18" x14ac:dyDescent="0.3">
      <c r="A1739" s="13" t="s">
        <v>2237</v>
      </c>
      <c r="B1739" s="14">
        <v>45534</v>
      </c>
      <c r="C1739" s="13" t="s">
        <v>823</v>
      </c>
      <c r="D1739" s="13" t="s">
        <v>241</v>
      </c>
      <c r="E1739" s="13" t="s">
        <v>128</v>
      </c>
      <c r="F1739" s="15">
        <v>10</v>
      </c>
      <c r="G1739" s="15">
        <v>6080</v>
      </c>
      <c r="H1739" s="15">
        <v>18.899999999999999</v>
      </c>
      <c r="I1739" s="15">
        <v>49308.800000000003</v>
      </c>
      <c r="J1739" s="13" t="s">
        <v>87</v>
      </c>
      <c r="K1739" s="13" t="s">
        <v>94</v>
      </c>
      <c r="L1739">
        <f>IF(COUNTIF(A$2:A1739, A1739)=1, IF(COUNTIF(A$2:A$2001, A1739)&gt;1, 1, 0), 0)</f>
        <v>0</v>
      </c>
      <c r="M1739" t="b">
        <f>VLOOKUP(D1739, Products!A$2:F$61, 6, FALSE)</f>
        <v>1</v>
      </c>
      <c r="N1739" t="str">
        <f>VLOOKUP(D1739, Products!A$2:C$61, 3, FALSE)</f>
        <v>Beauty</v>
      </c>
      <c r="O1739" t="str">
        <f>VLOOKUP(C1739, Customers!A$2:E$301, 5, FALSE)</f>
        <v>Retail</v>
      </c>
      <c r="P1739">
        <f>VLOOKUP(C1739, Customers!A$2:C$301, 3, FALSE)</f>
        <v>32</v>
      </c>
      <c r="Q1739" t="str">
        <f>VLOOKUP(E1739, Sales_Reps!A$2:C$31, 3, FALSE)</f>
        <v>West</v>
      </c>
      <c r="R1739">
        <f>VLOOKUP(D1739, Products!A$2:D$61, 4, FALSE)</f>
        <v>2617</v>
      </c>
    </row>
    <row r="1740" spans="1:18" x14ac:dyDescent="0.3">
      <c r="A1740" s="13" t="s">
        <v>2238</v>
      </c>
      <c r="B1740" s="14">
        <v>45336</v>
      </c>
      <c r="C1740" s="13" t="s">
        <v>142</v>
      </c>
      <c r="D1740" s="13" t="s">
        <v>147</v>
      </c>
      <c r="E1740" s="13" t="s">
        <v>285</v>
      </c>
      <c r="F1740" s="15">
        <v>1</v>
      </c>
      <c r="G1740" s="15">
        <v>190</v>
      </c>
      <c r="H1740" s="15">
        <v>5.7</v>
      </c>
      <c r="I1740" s="15">
        <v>179.17</v>
      </c>
      <c r="J1740" s="13" t="s">
        <v>87</v>
      </c>
      <c r="K1740" s="13" t="s">
        <v>88</v>
      </c>
      <c r="L1740">
        <f>IF(COUNTIF(A$2:A1740, A1740)=1, IF(COUNTIF(A$2:A$2001, A1740)&gt;1, 1, 0), 0)</f>
        <v>0</v>
      </c>
      <c r="M1740" t="b">
        <f>VLOOKUP(D1740, Products!A$2:F$61, 6, FALSE)</f>
        <v>1</v>
      </c>
      <c r="N1740" t="str">
        <f>VLOOKUP(D1740, Products!A$2:C$61, 3, FALSE)</f>
        <v>Sports</v>
      </c>
      <c r="O1740" t="str">
        <f>VLOOKUP(C1740, Customers!A$2:E$301, 5, FALSE)</f>
        <v>SMB</v>
      </c>
      <c r="P1740">
        <f>VLOOKUP(C1740, Customers!A$2:C$301, 3, FALSE)</f>
        <v>39</v>
      </c>
      <c r="Q1740" t="str">
        <f>VLOOKUP(E1740, Sales_Reps!A$2:C$31, 3, FALSE)</f>
        <v>East</v>
      </c>
      <c r="R1740">
        <f>VLOOKUP(D1740, Products!A$2:D$61, 4, FALSE)</f>
        <v>147</v>
      </c>
    </row>
    <row r="1741" spans="1:18" x14ac:dyDescent="0.3">
      <c r="A1741" s="13" t="s">
        <v>2239</v>
      </c>
      <c r="B1741" s="14">
        <v>45463</v>
      </c>
      <c r="C1741" s="13" t="s">
        <v>210</v>
      </c>
      <c r="D1741" s="13" t="s">
        <v>461</v>
      </c>
      <c r="E1741" s="13" t="s">
        <v>201</v>
      </c>
      <c r="F1741" s="15">
        <v>2</v>
      </c>
      <c r="G1741" s="15">
        <v>3780</v>
      </c>
      <c r="H1741" s="15">
        <v>11.8</v>
      </c>
      <c r="I1741" s="15">
        <v>6667.92</v>
      </c>
      <c r="J1741" s="13" t="s">
        <v>87</v>
      </c>
      <c r="K1741" s="13" t="s">
        <v>99</v>
      </c>
      <c r="L1741">
        <f>IF(COUNTIF(A$2:A1741, A1741)=1, IF(COUNTIF(A$2:A$2001, A1741)&gt;1, 1, 0), 0)</f>
        <v>0</v>
      </c>
      <c r="M1741" t="b">
        <f>VLOOKUP(D1741, Products!A$2:F$61, 6, FALSE)</f>
        <v>1</v>
      </c>
      <c r="N1741" t="str">
        <f>VLOOKUP(D1741, Products!A$2:C$61, 3, FALSE)</f>
        <v>Sports</v>
      </c>
      <c r="O1741" t="str">
        <f>VLOOKUP(C1741, Customers!A$2:E$301, 5, FALSE)</f>
        <v>Retail</v>
      </c>
      <c r="P1741">
        <f>VLOOKUP(C1741, Customers!A$2:C$301, 3, FALSE)</f>
        <v>41</v>
      </c>
      <c r="Q1741" t="str">
        <f>VLOOKUP(E1741, Sales_Reps!A$2:C$31, 3, FALSE)</f>
        <v>West</v>
      </c>
      <c r="R1741">
        <f>VLOOKUP(D1741, Products!A$2:D$61, 4, FALSE)</f>
        <v>1860</v>
      </c>
    </row>
    <row r="1742" spans="1:18" x14ac:dyDescent="0.3">
      <c r="A1742" s="13" t="s">
        <v>2240</v>
      </c>
      <c r="B1742" s="14">
        <v>45602</v>
      </c>
      <c r="C1742" s="13" t="s">
        <v>247</v>
      </c>
      <c r="D1742" s="13" t="s">
        <v>143</v>
      </c>
      <c r="E1742" s="13" t="s">
        <v>215</v>
      </c>
      <c r="F1742" s="15">
        <v>5</v>
      </c>
      <c r="G1742" s="15">
        <v>3250</v>
      </c>
      <c r="H1742" s="15">
        <v>19.899999999999999</v>
      </c>
      <c r="I1742" s="15">
        <v>13016.25</v>
      </c>
      <c r="J1742" s="13" t="s">
        <v>87</v>
      </c>
      <c r="K1742" s="13" t="s">
        <v>117</v>
      </c>
      <c r="L1742">
        <f>IF(COUNTIF(A$2:A1742, A1742)=1, IF(COUNTIF(A$2:A$2001, A1742)&gt;1, 1, 0), 0)</f>
        <v>0</v>
      </c>
      <c r="M1742" t="b">
        <f>VLOOKUP(D1742, Products!A$2:F$61, 6, FALSE)</f>
        <v>1</v>
      </c>
      <c r="N1742" t="str">
        <f>VLOOKUP(D1742, Products!A$2:C$61, 3, FALSE)</f>
        <v>Home</v>
      </c>
      <c r="O1742" t="str">
        <f>VLOOKUP(C1742, Customers!A$2:E$301, 5, FALSE)</f>
        <v>Retail</v>
      </c>
      <c r="P1742">
        <f>VLOOKUP(C1742, Customers!A$2:C$301, 3, FALSE)</f>
        <v>34</v>
      </c>
      <c r="Q1742" t="str">
        <f>VLOOKUP(E1742, Sales_Reps!A$2:C$31, 3, FALSE)</f>
        <v>North</v>
      </c>
      <c r="R1742">
        <f>VLOOKUP(D1742, Products!A$2:D$61, 4, FALSE)</f>
        <v>1556</v>
      </c>
    </row>
    <row r="1743" spans="1:18" x14ac:dyDescent="0.3">
      <c r="A1743" s="13" t="s">
        <v>2241</v>
      </c>
      <c r="B1743" s="14">
        <v>45365</v>
      </c>
      <c r="C1743" s="13" t="s">
        <v>1890</v>
      </c>
      <c r="D1743" s="13" t="s">
        <v>295</v>
      </c>
      <c r="E1743" s="13" t="s">
        <v>107</v>
      </c>
      <c r="F1743" s="15">
        <v>7</v>
      </c>
      <c r="G1743" s="15">
        <v>2030</v>
      </c>
      <c r="H1743" s="15">
        <v>4.0999999999999996</v>
      </c>
      <c r="I1743" s="15">
        <v>13627.39</v>
      </c>
      <c r="J1743" s="13" t="s">
        <v>87</v>
      </c>
      <c r="K1743" s="13" t="s">
        <v>133</v>
      </c>
      <c r="L1743">
        <f>IF(COUNTIF(A$2:A1743, A1743)=1, IF(COUNTIF(A$2:A$2001, A1743)&gt;1, 1, 0), 0)</f>
        <v>0</v>
      </c>
      <c r="M1743" t="b">
        <f>VLOOKUP(D1743, Products!A$2:F$61, 6, FALSE)</f>
        <v>1</v>
      </c>
      <c r="N1743" t="str">
        <f>VLOOKUP(D1743, Products!A$2:C$61, 3, FALSE)</f>
        <v>Home</v>
      </c>
      <c r="O1743" t="str">
        <f>VLOOKUP(C1743, Customers!A$2:E$301, 5, FALSE)</f>
        <v>SMB</v>
      </c>
      <c r="P1743">
        <f>VLOOKUP(C1743, Customers!A$2:C$301, 3, FALSE)</f>
        <v>34</v>
      </c>
      <c r="Q1743" t="str">
        <f>VLOOKUP(E1743, Sales_Reps!A$2:C$31, 3, FALSE)</f>
        <v>North</v>
      </c>
      <c r="R1743">
        <f>VLOOKUP(D1743, Products!A$2:D$61, 4, FALSE)</f>
        <v>1143</v>
      </c>
    </row>
    <row r="1744" spans="1:18" x14ac:dyDescent="0.3">
      <c r="A1744" s="13" t="s">
        <v>2242</v>
      </c>
      <c r="B1744" s="14">
        <v>45651</v>
      </c>
      <c r="C1744" s="13" t="s">
        <v>697</v>
      </c>
      <c r="D1744" s="13" t="s">
        <v>184</v>
      </c>
      <c r="E1744" s="13" t="s">
        <v>325</v>
      </c>
      <c r="F1744" s="15">
        <v>5</v>
      </c>
      <c r="G1744" s="15">
        <v>4880</v>
      </c>
      <c r="H1744" s="15">
        <v>22.9</v>
      </c>
      <c r="I1744" s="15">
        <v>18812.400000000001</v>
      </c>
      <c r="J1744" s="13" t="s">
        <v>87</v>
      </c>
      <c r="K1744" s="13" t="s">
        <v>133</v>
      </c>
      <c r="L1744">
        <f>IF(COUNTIF(A$2:A1744, A1744)=1, IF(COUNTIF(A$2:A$2001, A1744)&gt;1, 1, 0), 0)</f>
        <v>0</v>
      </c>
      <c r="M1744" t="b">
        <f>VLOOKUP(D1744, Products!A$2:F$61, 6, FALSE)</f>
        <v>1</v>
      </c>
      <c r="N1744" t="str">
        <f>VLOOKUP(D1744, Products!A$2:C$61, 3, FALSE)</f>
        <v>Beauty</v>
      </c>
      <c r="O1744" t="str">
        <f>VLOOKUP(C1744, Customers!A$2:E$301, 5, FALSE)</f>
        <v>Retail</v>
      </c>
      <c r="P1744">
        <f>VLOOKUP(C1744, Customers!A$2:C$301, 3, FALSE)</f>
        <v>65</v>
      </c>
      <c r="Q1744" t="str">
        <f>VLOOKUP(E1744, Sales_Reps!A$2:C$31, 3, FALSE)</f>
        <v>South</v>
      </c>
      <c r="R1744">
        <f>VLOOKUP(D1744, Products!A$2:D$61, 4, FALSE)</f>
        <v>2768</v>
      </c>
    </row>
    <row r="1745" spans="1:18" x14ac:dyDescent="0.3">
      <c r="A1745" s="13" t="s">
        <v>2243</v>
      </c>
      <c r="B1745" s="14">
        <v>45297</v>
      </c>
      <c r="C1745" s="13" t="s">
        <v>741</v>
      </c>
      <c r="D1745" s="13" t="s">
        <v>179</v>
      </c>
      <c r="E1745" s="13" t="s">
        <v>192</v>
      </c>
      <c r="F1745" s="15">
        <v>3</v>
      </c>
      <c r="G1745" s="15">
        <v>3350</v>
      </c>
      <c r="H1745" s="15">
        <v>15.2</v>
      </c>
      <c r="I1745" s="15">
        <v>8522.4</v>
      </c>
      <c r="J1745" s="13" t="s">
        <v>93</v>
      </c>
      <c r="K1745" s="13" t="s">
        <v>133</v>
      </c>
      <c r="L1745">
        <f>IF(COUNTIF(A$2:A1745, A1745)=1, IF(COUNTIF(A$2:A$2001, A1745)&gt;1, 1, 0), 0)</f>
        <v>0</v>
      </c>
      <c r="M1745" t="b">
        <f>VLOOKUP(D1745, Products!A$2:F$61, 6, FALSE)</f>
        <v>1</v>
      </c>
      <c r="N1745" t="str">
        <f>VLOOKUP(D1745, Products!A$2:C$61, 3, FALSE)</f>
        <v>Beauty</v>
      </c>
      <c r="O1745" t="str">
        <f>VLOOKUP(C1745, Customers!A$2:E$301, 5, FALSE)</f>
        <v>SMB</v>
      </c>
      <c r="P1745">
        <f>VLOOKUP(C1745, Customers!A$2:C$301, 3, FALSE)</f>
        <v>29</v>
      </c>
      <c r="Q1745" t="str">
        <f>VLOOKUP(E1745, Sales_Reps!A$2:C$31, 3, FALSE)</f>
        <v>East</v>
      </c>
      <c r="R1745">
        <f>VLOOKUP(D1745, Products!A$2:D$61, 4, FALSE)</f>
        <v>1728</v>
      </c>
    </row>
    <row r="1746" spans="1:18" x14ac:dyDescent="0.3">
      <c r="A1746" s="13" t="s">
        <v>2244</v>
      </c>
      <c r="B1746" s="14">
        <v>45425</v>
      </c>
      <c r="C1746" s="13" t="s">
        <v>507</v>
      </c>
      <c r="D1746" s="13" t="s">
        <v>195</v>
      </c>
      <c r="E1746" s="13" t="s">
        <v>229</v>
      </c>
      <c r="F1746" s="15">
        <v>10</v>
      </c>
      <c r="G1746" s="15">
        <v>2860</v>
      </c>
      <c r="H1746" s="15">
        <v>15</v>
      </c>
      <c r="I1746" s="15">
        <v>24310</v>
      </c>
      <c r="J1746" s="13" t="s">
        <v>87</v>
      </c>
      <c r="K1746" s="13" t="s">
        <v>88</v>
      </c>
      <c r="L1746">
        <f>IF(COUNTIF(A$2:A1746, A1746)=1, IF(COUNTIF(A$2:A$2001, A1746)&gt;1, 1, 0), 0)</f>
        <v>0</v>
      </c>
      <c r="M1746" t="b">
        <f>VLOOKUP(D1746, Products!A$2:F$61, 6, FALSE)</f>
        <v>1</v>
      </c>
      <c r="N1746" t="str">
        <f>VLOOKUP(D1746, Products!A$2:C$61, 3, FALSE)</f>
        <v>Sports</v>
      </c>
      <c r="O1746" t="str">
        <f>VLOOKUP(C1746, Customers!A$2:E$301, 5, FALSE)</f>
        <v>Retail</v>
      </c>
      <c r="P1746">
        <f>VLOOKUP(C1746, Customers!A$2:C$301, 3, FALSE)</f>
        <v>59</v>
      </c>
      <c r="Q1746" t="str">
        <f>VLOOKUP(E1746, Sales_Reps!A$2:C$31, 3, FALSE)</f>
        <v>West</v>
      </c>
      <c r="R1746">
        <f>VLOOKUP(D1746, Products!A$2:D$61, 4, FALSE)</f>
        <v>2028</v>
      </c>
    </row>
    <row r="1747" spans="1:18" x14ac:dyDescent="0.3">
      <c r="A1747" s="13" t="s">
        <v>2245</v>
      </c>
      <c r="B1747" s="14">
        <v>45444</v>
      </c>
      <c r="C1747" s="13" t="s">
        <v>310</v>
      </c>
      <c r="D1747" s="13" t="s">
        <v>157</v>
      </c>
      <c r="E1747" s="13" t="s">
        <v>303</v>
      </c>
      <c r="F1747" s="15">
        <v>5</v>
      </c>
      <c r="G1747" s="15">
        <v>3450</v>
      </c>
      <c r="H1747" s="15">
        <v>2.2999999999999998</v>
      </c>
      <c r="I1747" s="15">
        <v>16853.25</v>
      </c>
      <c r="J1747" s="13" t="s">
        <v>87</v>
      </c>
      <c r="K1747" s="13" t="s">
        <v>117</v>
      </c>
      <c r="L1747">
        <f>IF(COUNTIF(A$2:A1747, A1747)=1, IF(COUNTIF(A$2:A$2001, A1747)&gt;1, 1, 0), 0)</f>
        <v>0</v>
      </c>
      <c r="M1747" t="b">
        <f>VLOOKUP(D1747, Products!A$2:F$61, 6, FALSE)</f>
        <v>1</v>
      </c>
      <c r="N1747" t="str">
        <f>VLOOKUP(D1747, Products!A$2:C$61, 3, FALSE)</f>
        <v>Beauty</v>
      </c>
      <c r="O1747" t="str">
        <f>VLOOKUP(C1747, Customers!A$2:E$301, 5, FALSE)</f>
        <v>Retail</v>
      </c>
      <c r="P1747">
        <f>VLOOKUP(C1747, Customers!A$2:C$301, 3, FALSE)</f>
        <v>42</v>
      </c>
      <c r="Q1747" t="str">
        <f>VLOOKUP(E1747, Sales_Reps!A$2:C$31, 3, FALSE)</f>
        <v>East</v>
      </c>
      <c r="R1747">
        <f>VLOOKUP(D1747, Products!A$2:D$61, 4, FALSE)</f>
        <v>2420</v>
      </c>
    </row>
    <row r="1748" spans="1:18" x14ac:dyDescent="0.3">
      <c r="A1748" s="13" t="s">
        <v>2246</v>
      </c>
      <c r="B1748" s="14">
        <v>45397</v>
      </c>
      <c r="C1748" s="13" t="s">
        <v>194</v>
      </c>
      <c r="D1748" s="13" t="s">
        <v>131</v>
      </c>
      <c r="E1748" s="13" t="s">
        <v>188</v>
      </c>
      <c r="F1748" s="15">
        <v>3</v>
      </c>
      <c r="G1748" s="15">
        <v>2270</v>
      </c>
      <c r="H1748" s="15">
        <v>2.8</v>
      </c>
      <c r="I1748" s="15">
        <v>6619.32</v>
      </c>
      <c r="J1748" s="13" t="s">
        <v>93</v>
      </c>
      <c r="K1748" s="13" t="s">
        <v>88</v>
      </c>
      <c r="L1748">
        <f>IF(COUNTIF(A$2:A1748, A1748)=1, IF(COUNTIF(A$2:A$2001, A1748)&gt;1, 1, 0), 0)</f>
        <v>0</v>
      </c>
      <c r="M1748" t="b">
        <f>VLOOKUP(D1748, Products!A$2:F$61, 6, FALSE)</f>
        <v>1</v>
      </c>
      <c r="N1748" t="str">
        <f>VLOOKUP(D1748, Products!A$2:C$61, 3, FALSE)</f>
        <v>Grocery</v>
      </c>
      <c r="O1748" t="str">
        <f>VLOOKUP(C1748, Customers!A$2:E$301, 5, FALSE)</f>
        <v>SMB</v>
      </c>
      <c r="P1748">
        <f>VLOOKUP(C1748, Customers!A$2:C$301, 3, FALSE)</f>
        <v>44</v>
      </c>
      <c r="Q1748" t="str">
        <f>VLOOKUP(E1748, Sales_Reps!A$2:C$31, 3, FALSE)</f>
        <v>South</v>
      </c>
      <c r="R1748">
        <f>VLOOKUP(D1748, Products!A$2:D$61, 4, FALSE)</f>
        <v>1203</v>
      </c>
    </row>
    <row r="1749" spans="1:18" x14ac:dyDescent="0.3">
      <c r="A1749" s="13" t="s">
        <v>2247</v>
      </c>
      <c r="B1749" s="14">
        <v>45354</v>
      </c>
      <c r="C1749" s="13" t="s">
        <v>781</v>
      </c>
      <c r="D1749" s="13" t="s">
        <v>102</v>
      </c>
      <c r="E1749" s="13" t="s">
        <v>86</v>
      </c>
      <c r="F1749" s="15">
        <v>8</v>
      </c>
      <c r="G1749" s="15">
        <v>3660</v>
      </c>
      <c r="H1749" s="15">
        <v>16.8</v>
      </c>
      <c r="I1749" s="15">
        <v>24360.959999999999</v>
      </c>
      <c r="J1749" s="13" t="s">
        <v>87</v>
      </c>
      <c r="K1749" s="13" t="s">
        <v>99</v>
      </c>
      <c r="L1749">
        <f>IF(COUNTIF(A$2:A1749, A1749)=1, IF(COUNTIF(A$2:A$2001, A1749)&gt;1, 1, 0), 0)</f>
        <v>0</v>
      </c>
      <c r="M1749" t="b">
        <f>VLOOKUP(D1749, Products!A$2:F$61, 6, FALSE)</f>
        <v>0</v>
      </c>
      <c r="N1749" t="str">
        <f>VLOOKUP(D1749, Products!A$2:C$61, 3, FALSE)</f>
        <v>Grocery</v>
      </c>
      <c r="O1749" t="str">
        <f>VLOOKUP(C1749, Customers!A$2:E$301, 5, FALSE)</f>
        <v>SMB</v>
      </c>
      <c r="P1749">
        <f>VLOOKUP(C1749, Customers!A$2:C$301, 3, FALSE)</f>
        <v>29</v>
      </c>
      <c r="Q1749" t="str">
        <f>VLOOKUP(E1749, Sales_Reps!A$2:C$31, 3, FALSE)</f>
        <v>North</v>
      </c>
      <c r="R1749">
        <f>VLOOKUP(D1749, Products!A$2:D$61, 4, FALSE)</f>
        <v>2214</v>
      </c>
    </row>
    <row r="1750" spans="1:18" x14ac:dyDescent="0.3">
      <c r="A1750" s="13" t="s">
        <v>2248</v>
      </c>
      <c r="B1750" s="14">
        <v>45469</v>
      </c>
      <c r="C1750" s="13" t="s">
        <v>615</v>
      </c>
      <c r="D1750" s="13" t="s">
        <v>276</v>
      </c>
      <c r="E1750" s="13" t="s">
        <v>107</v>
      </c>
      <c r="F1750" s="15">
        <v>7</v>
      </c>
      <c r="G1750" s="15">
        <v>3020</v>
      </c>
      <c r="H1750" s="15">
        <v>17.8</v>
      </c>
      <c r="I1750" s="15">
        <v>17377.080000000002</v>
      </c>
      <c r="J1750" s="13" t="s">
        <v>87</v>
      </c>
      <c r="K1750" s="13" t="s">
        <v>112</v>
      </c>
      <c r="L1750">
        <f>IF(COUNTIF(A$2:A1750, A1750)=1, IF(COUNTIF(A$2:A$2001, A1750)&gt;1, 1, 0), 0)</f>
        <v>0</v>
      </c>
      <c r="M1750" t="b">
        <f>VLOOKUP(D1750, Products!A$2:F$61, 6, FALSE)</f>
        <v>1</v>
      </c>
      <c r="N1750" t="str">
        <f>VLOOKUP(D1750, Products!A$2:C$61, 3, FALSE)</f>
        <v>Beauty</v>
      </c>
      <c r="O1750" t="str">
        <f>VLOOKUP(C1750, Customers!A$2:E$301, 5, FALSE)</f>
        <v>Retail</v>
      </c>
      <c r="P1750">
        <f>VLOOKUP(C1750, Customers!A$2:C$301, 3, FALSE)</f>
        <v>53</v>
      </c>
      <c r="Q1750" t="str">
        <f>VLOOKUP(E1750, Sales_Reps!A$2:C$31, 3, FALSE)</f>
        <v>North</v>
      </c>
      <c r="R1750">
        <f>VLOOKUP(D1750, Products!A$2:D$61, 4, FALSE)</f>
        <v>1626</v>
      </c>
    </row>
    <row r="1751" spans="1:18" x14ac:dyDescent="0.3">
      <c r="A1751" s="13" t="s">
        <v>2249</v>
      </c>
      <c r="B1751" s="14">
        <v>45587</v>
      </c>
      <c r="C1751" s="13" t="s">
        <v>1261</v>
      </c>
      <c r="D1751" s="13" t="s">
        <v>164</v>
      </c>
      <c r="E1751" s="13" t="s">
        <v>98</v>
      </c>
      <c r="F1751" s="15">
        <v>7</v>
      </c>
      <c r="G1751" s="15">
        <v>1080</v>
      </c>
      <c r="H1751" s="15">
        <v>12.9</v>
      </c>
      <c r="I1751" s="15">
        <v>6584.76</v>
      </c>
      <c r="J1751" s="13" t="s">
        <v>87</v>
      </c>
      <c r="K1751" s="13" t="s">
        <v>117</v>
      </c>
      <c r="L1751">
        <f>IF(COUNTIF(A$2:A1751, A1751)=1, IF(COUNTIF(A$2:A$2001, A1751)&gt;1, 1, 0), 0)</f>
        <v>0</v>
      </c>
      <c r="M1751" t="b">
        <f>VLOOKUP(D1751, Products!A$2:F$61, 6, FALSE)</f>
        <v>1</v>
      </c>
      <c r="N1751" t="str">
        <f>VLOOKUP(D1751, Products!A$2:C$61, 3, FALSE)</f>
        <v>Home</v>
      </c>
      <c r="O1751" t="str">
        <f>VLOOKUP(C1751, Customers!A$2:E$301, 5, FALSE)</f>
        <v>Retail</v>
      </c>
      <c r="P1751">
        <f>VLOOKUP(C1751, Customers!A$2:C$301, 3, FALSE)</f>
        <v>54</v>
      </c>
      <c r="Q1751" t="str">
        <f>VLOOKUP(E1751, Sales_Reps!A$2:C$31, 3, FALSE)</f>
        <v>South</v>
      </c>
      <c r="R1751">
        <f>VLOOKUP(D1751, Products!A$2:D$61, 4, FALSE)</f>
        <v>519</v>
      </c>
    </row>
    <row r="1752" spans="1:18" x14ac:dyDescent="0.3">
      <c r="A1752" s="13" t="s">
        <v>2250</v>
      </c>
      <c r="B1752" s="14">
        <v>45494</v>
      </c>
      <c r="C1752" s="13" t="s">
        <v>565</v>
      </c>
      <c r="D1752" s="13" t="s">
        <v>245</v>
      </c>
      <c r="E1752" s="13" t="s">
        <v>325</v>
      </c>
      <c r="F1752" s="15">
        <v>2</v>
      </c>
      <c r="G1752" s="15">
        <v>2270</v>
      </c>
      <c r="H1752" s="15">
        <v>8.6</v>
      </c>
      <c r="I1752" s="15">
        <v>4149.5600000000004</v>
      </c>
      <c r="J1752" s="13" t="s">
        <v>140</v>
      </c>
      <c r="K1752" s="13" t="s">
        <v>112</v>
      </c>
      <c r="L1752">
        <f>IF(COUNTIF(A$2:A1752, A1752)=1, IF(COUNTIF(A$2:A$2001, A1752)&gt;1, 1, 0), 0)</f>
        <v>0</v>
      </c>
      <c r="M1752" t="b">
        <f>VLOOKUP(D1752, Products!A$2:F$61, 6, FALSE)</f>
        <v>1</v>
      </c>
      <c r="N1752" t="str">
        <f>VLOOKUP(D1752, Products!A$2:C$61, 3, FALSE)</f>
        <v>Grocery</v>
      </c>
      <c r="O1752" t="str">
        <f>VLOOKUP(C1752, Customers!A$2:E$301, 5, FALSE)</f>
        <v>SMB</v>
      </c>
      <c r="P1752">
        <f>VLOOKUP(C1752, Customers!A$2:C$301, 3, FALSE)</f>
        <v>61</v>
      </c>
      <c r="Q1752" t="str">
        <f>VLOOKUP(E1752, Sales_Reps!A$2:C$31, 3, FALSE)</f>
        <v>South</v>
      </c>
      <c r="R1752">
        <f>VLOOKUP(D1752, Products!A$2:D$61, 4, FALSE)</f>
        <v>1412</v>
      </c>
    </row>
    <row r="1753" spans="1:18" x14ac:dyDescent="0.3">
      <c r="A1753" s="13" t="s">
        <v>2251</v>
      </c>
      <c r="B1753" s="14">
        <v>45445</v>
      </c>
      <c r="C1753" s="13" t="s">
        <v>390</v>
      </c>
      <c r="D1753" s="13" t="s">
        <v>292</v>
      </c>
      <c r="E1753" s="13" t="s">
        <v>325</v>
      </c>
      <c r="F1753" s="15">
        <v>10</v>
      </c>
      <c r="G1753" s="15">
        <v>620</v>
      </c>
      <c r="H1753" s="15">
        <v>26.1</v>
      </c>
      <c r="I1753" s="15">
        <v>4581.8</v>
      </c>
      <c r="J1753" s="13" t="s">
        <v>87</v>
      </c>
      <c r="K1753" s="13" t="s">
        <v>88</v>
      </c>
      <c r="L1753">
        <f>IF(COUNTIF(A$2:A1753, A1753)=1, IF(COUNTIF(A$2:A$2001, A1753)&gt;1, 1, 0), 0)</f>
        <v>0</v>
      </c>
      <c r="M1753" t="b">
        <f>VLOOKUP(D1753, Products!A$2:F$61, 6, FALSE)</f>
        <v>1</v>
      </c>
      <c r="N1753" t="str">
        <f>VLOOKUP(D1753, Products!A$2:C$61, 3, FALSE)</f>
        <v>Apparel</v>
      </c>
      <c r="O1753" t="str">
        <f>VLOOKUP(C1753, Customers!A$2:E$301, 5, FALSE)</f>
        <v>SMB</v>
      </c>
      <c r="P1753">
        <f>VLOOKUP(C1753, Customers!A$2:C$301, 3, FALSE)</f>
        <v>54</v>
      </c>
      <c r="Q1753" t="str">
        <f>VLOOKUP(E1753, Sales_Reps!A$2:C$31, 3, FALSE)</f>
        <v>South</v>
      </c>
      <c r="R1753">
        <f>VLOOKUP(D1753, Products!A$2:D$61, 4, FALSE)</f>
        <v>396</v>
      </c>
    </row>
    <row r="1754" spans="1:18" x14ac:dyDescent="0.3">
      <c r="A1754" s="13" t="s">
        <v>2252</v>
      </c>
      <c r="B1754" s="14">
        <v>45561</v>
      </c>
      <c r="C1754" s="13" t="s">
        <v>606</v>
      </c>
      <c r="D1754" s="13" t="s">
        <v>351</v>
      </c>
      <c r="E1754" s="13" t="s">
        <v>188</v>
      </c>
      <c r="F1754" s="15">
        <v>2</v>
      </c>
      <c r="G1754" s="15">
        <v>4060</v>
      </c>
      <c r="H1754" s="15">
        <v>3.8</v>
      </c>
      <c r="I1754" s="15">
        <v>7811.44</v>
      </c>
      <c r="J1754" s="13" t="s">
        <v>87</v>
      </c>
      <c r="K1754" s="13" t="s">
        <v>112</v>
      </c>
      <c r="L1754">
        <f>IF(COUNTIF(A$2:A1754, A1754)=1, IF(COUNTIF(A$2:A$2001, A1754)&gt;1, 1, 0), 0)</f>
        <v>0</v>
      </c>
      <c r="M1754" t="b">
        <f>VLOOKUP(D1754, Products!A$2:F$61, 6, FALSE)</f>
        <v>1</v>
      </c>
      <c r="N1754" t="str">
        <f>VLOOKUP(D1754, Products!A$2:C$61, 3, FALSE)</f>
        <v>Grocery</v>
      </c>
      <c r="O1754" t="str">
        <f>VLOOKUP(C1754, Customers!A$2:E$301, 5, FALSE)</f>
        <v>Retail</v>
      </c>
      <c r="P1754">
        <f>VLOOKUP(C1754, Customers!A$2:C$301, 3, FALSE)</f>
        <v>52</v>
      </c>
      <c r="Q1754" t="str">
        <f>VLOOKUP(E1754, Sales_Reps!A$2:C$31, 3, FALSE)</f>
        <v>South</v>
      </c>
      <c r="R1754">
        <f>VLOOKUP(D1754, Products!A$2:D$61, 4, FALSE)</f>
        <v>2911</v>
      </c>
    </row>
    <row r="1755" spans="1:18" x14ac:dyDescent="0.3">
      <c r="A1755" s="13" t="s">
        <v>2253</v>
      </c>
      <c r="B1755" s="14">
        <v>45488</v>
      </c>
      <c r="C1755" s="13" t="s">
        <v>278</v>
      </c>
      <c r="D1755" s="13" t="s">
        <v>234</v>
      </c>
      <c r="E1755" s="13" t="s">
        <v>325</v>
      </c>
      <c r="F1755" s="15">
        <v>1</v>
      </c>
      <c r="G1755" s="15">
        <v>3780</v>
      </c>
      <c r="H1755" s="15">
        <v>27.9</v>
      </c>
      <c r="I1755" s="15">
        <v>2725.38</v>
      </c>
      <c r="J1755" s="13" t="s">
        <v>87</v>
      </c>
      <c r="K1755" s="13" t="s">
        <v>133</v>
      </c>
      <c r="L1755">
        <f>IF(COUNTIF(A$2:A1755, A1755)=1, IF(COUNTIF(A$2:A$2001, A1755)&gt;1, 1, 0), 0)</f>
        <v>0</v>
      </c>
      <c r="M1755" t="b">
        <f>VLOOKUP(D1755, Products!A$2:F$61, 6, FALSE)</f>
        <v>1</v>
      </c>
      <c r="N1755" t="str">
        <f>VLOOKUP(D1755, Products!A$2:C$61, 3, FALSE)</f>
        <v>Grocery</v>
      </c>
      <c r="O1755" t="str">
        <f>VLOOKUP(C1755, Customers!A$2:E$301, 5, FALSE)</f>
        <v>Corporate</v>
      </c>
      <c r="P1755">
        <f>VLOOKUP(C1755, Customers!A$2:C$301, 3, FALSE)</f>
        <v>29</v>
      </c>
      <c r="Q1755" t="str">
        <f>VLOOKUP(E1755, Sales_Reps!A$2:C$31, 3, FALSE)</f>
        <v>South</v>
      </c>
      <c r="R1755">
        <f>VLOOKUP(D1755, Products!A$2:D$61, 4, FALSE)</f>
        <v>2436</v>
      </c>
    </row>
    <row r="1756" spans="1:18" x14ac:dyDescent="0.3">
      <c r="A1756" s="13" t="s">
        <v>2254</v>
      </c>
      <c r="B1756" s="14">
        <v>45617</v>
      </c>
      <c r="C1756" s="13" t="s">
        <v>258</v>
      </c>
      <c r="D1756" s="13" t="s">
        <v>367</v>
      </c>
      <c r="E1756" s="13" t="s">
        <v>285</v>
      </c>
      <c r="F1756" s="15">
        <v>8</v>
      </c>
      <c r="G1756" s="15">
        <v>2380</v>
      </c>
      <c r="H1756" s="15">
        <v>3.8</v>
      </c>
      <c r="I1756" s="15">
        <v>18316.48</v>
      </c>
      <c r="J1756" s="13" t="s">
        <v>87</v>
      </c>
      <c r="K1756" s="13" t="s">
        <v>99</v>
      </c>
      <c r="L1756">
        <f>IF(COUNTIF(A$2:A1756, A1756)=1, IF(COUNTIF(A$2:A$2001, A1756)&gt;1, 1, 0), 0)</f>
        <v>0</v>
      </c>
      <c r="M1756" t="b">
        <f>VLOOKUP(D1756, Products!A$2:F$61, 6, FALSE)</f>
        <v>1</v>
      </c>
      <c r="N1756" t="str">
        <f>VLOOKUP(D1756, Products!A$2:C$61, 3, FALSE)</f>
        <v>Grocery</v>
      </c>
      <c r="O1756" t="str">
        <f>VLOOKUP(C1756, Customers!A$2:E$301, 5, FALSE)</f>
        <v>SMB</v>
      </c>
      <c r="P1756">
        <f>VLOOKUP(C1756, Customers!A$2:C$301, 3, FALSE)</f>
        <v>55</v>
      </c>
      <c r="Q1756" t="str">
        <f>VLOOKUP(E1756, Sales_Reps!A$2:C$31, 3, FALSE)</f>
        <v>East</v>
      </c>
      <c r="R1756">
        <f>VLOOKUP(D1756, Products!A$2:D$61, 4, FALSE)</f>
        <v>1182</v>
      </c>
    </row>
    <row r="1757" spans="1:18" x14ac:dyDescent="0.3">
      <c r="A1757" s="13" t="s">
        <v>2255</v>
      </c>
      <c r="B1757" s="14">
        <v>45378</v>
      </c>
      <c r="C1757" s="13" t="s">
        <v>289</v>
      </c>
      <c r="D1757" s="13" t="s">
        <v>264</v>
      </c>
      <c r="E1757" s="13" t="s">
        <v>116</v>
      </c>
      <c r="F1757" s="15">
        <v>7</v>
      </c>
      <c r="G1757" s="15">
        <v>4070</v>
      </c>
      <c r="H1757" s="15">
        <v>0.3</v>
      </c>
      <c r="I1757" s="15">
        <v>28404.53</v>
      </c>
      <c r="J1757" s="13" t="s">
        <v>87</v>
      </c>
      <c r="K1757" s="13" t="s">
        <v>94</v>
      </c>
      <c r="L1757">
        <f>IF(COUNTIF(A$2:A1757, A1757)=1, IF(COUNTIF(A$2:A$2001, A1757)&gt;1, 1, 0), 0)</f>
        <v>0</v>
      </c>
      <c r="M1757" t="b">
        <f>VLOOKUP(D1757, Products!A$2:F$61, 6, FALSE)</f>
        <v>1</v>
      </c>
      <c r="N1757" t="str">
        <f>VLOOKUP(D1757, Products!A$2:C$61, 3, FALSE)</f>
        <v>Grocery</v>
      </c>
      <c r="O1757" t="str">
        <f>VLOOKUP(C1757, Customers!A$2:E$301, 5, FALSE)</f>
        <v>Retail</v>
      </c>
      <c r="P1757">
        <f>VLOOKUP(C1757, Customers!A$2:C$301, 3, FALSE)</f>
        <v>38</v>
      </c>
      <c r="Q1757" t="str">
        <f>VLOOKUP(E1757, Sales_Reps!A$2:C$31, 3, FALSE)</f>
        <v>West</v>
      </c>
      <c r="R1757">
        <f>VLOOKUP(D1757, Products!A$2:D$61, 4, FALSE)</f>
        <v>2027</v>
      </c>
    </row>
    <row r="1758" spans="1:18" x14ac:dyDescent="0.3">
      <c r="A1758" s="13" t="s">
        <v>2256</v>
      </c>
      <c r="B1758" s="14">
        <v>45459</v>
      </c>
      <c r="C1758" s="13" t="s">
        <v>1234</v>
      </c>
      <c r="D1758" s="13" t="s">
        <v>135</v>
      </c>
      <c r="E1758" s="13" t="s">
        <v>192</v>
      </c>
      <c r="F1758" s="15">
        <v>6</v>
      </c>
      <c r="G1758" s="15">
        <v>2640</v>
      </c>
      <c r="H1758" s="15">
        <v>3.4</v>
      </c>
      <c r="I1758" s="15">
        <v>15301.44</v>
      </c>
      <c r="J1758" s="13" t="s">
        <v>87</v>
      </c>
      <c r="K1758" s="13" t="s">
        <v>112</v>
      </c>
      <c r="L1758">
        <f>IF(COUNTIF(A$2:A1758, A1758)=1, IF(COUNTIF(A$2:A$2001, A1758)&gt;1, 1, 0), 0)</f>
        <v>0</v>
      </c>
      <c r="M1758" t="b">
        <f>VLOOKUP(D1758, Products!A$2:F$61, 6, FALSE)</f>
        <v>1</v>
      </c>
      <c r="N1758" t="str">
        <f>VLOOKUP(D1758, Products!A$2:C$61, 3, FALSE)</f>
        <v>Electronics</v>
      </c>
      <c r="O1758" t="str">
        <f>VLOOKUP(C1758, Customers!A$2:E$301, 5, FALSE)</f>
        <v>Retail</v>
      </c>
      <c r="P1758">
        <f>VLOOKUP(C1758, Customers!A$2:C$301, 3, FALSE)</f>
        <v>29</v>
      </c>
      <c r="Q1758" t="str">
        <f>VLOOKUP(E1758, Sales_Reps!A$2:C$31, 3, FALSE)</f>
        <v>East</v>
      </c>
      <c r="R1758">
        <f>VLOOKUP(D1758, Products!A$2:D$61, 4, FALSE)</f>
        <v>1149</v>
      </c>
    </row>
    <row r="1759" spans="1:18" x14ac:dyDescent="0.3">
      <c r="A1759" s="13" t="s">
        <v>2257</v>
      </c>
      <c r="B1759" s="14">
        <v>45377</v>
      </c>
      <c r="C1759" s="13" t="s">
        <v>181</v>
      </c>
      <c r="D1759" s="13" t="s">
        <v>461</v>
      </c>
      <c r="E1759" s="13" t="s">
        <v>170</v>
      </c>
      <c r="F1759" s="15">
        <v>10</v>
      </c>
      <c r="G1759" s="15">
        <v>3780</v>
      </c>
      <c r="H1759" s="15">
        <v>13.3</v>
      </c>
      <c r="I1759" s="15">
        <v>32772.6</v>
      </c>
      <c r="J1759" s="13" t="s">
        <v>87</v>
      </c>
      <c r="K1759" s="13" t="s">
        <v>99</v>
      </c>
      <c r="L1759">
        <f>IF(COUNTIF(A$2:A1759, A1759)=1, IF(COUNTIF(A$2:A$2001, A1759)&gt;1, 1, 0), 0)</f>
        <v>0</v>
      </c>
      <c r="M1759" t="b">
        <f>VLOOKUP(D1759, Products!A$2:F$61, 6, FALSE)</f>
        <v>1</v>
      </c>
      <c r="N1759" t="str">
        <f>VLOOKUP(D1759, Products!A$2:C$61, 3, FALSE)</f>
        <v>Sports</v>
      </c>
      <c r="O1759" t="str">
        <f>VLOOKUP(C1759, Customers!A$2:E$301, 5, FALSE)</f>
        <v>Retail</v>
      </c>
      <c r="P1759">
        <f>VLOOKUP(C1759, Customers!A$2:C$301, 3, FALSE)</f>
        <v>31</v>
      </c>
      <c r="Q1759" t="str">
        <f>VLOOKUP(E1759, Sales_Reps!A$2:C$31, 3, FALSE)</f>
        <v>West</v>
      </c>
      <c r="R1759">
        <f>VLOOKUP(D1759, Products!A$2:D$61, 4, FALSE)</f>
        <v>1860</v>
      </c>
    </row>
    <row r="1760" spans="1:18" x14ac:dyDescent="0.3">
      <c r="A1760" s="13" t="s">
        <v>2258</v>
      </c>
      <c r="B1760" s="14">
        <v>45302</v>
      </c>
      <c r="C1760" s="13" t="s">
        <v>872</v>
      </c>
      <c r="D1760" s="13" t="s">
        <v>179</v>
      </c>
      <c r="E1760" s="13" t="s">
        <v>204</v>
      </c>
      <c r="F1760" s="15">
        <v>9</v>
      </c>
      <c r="G1760" s="15">
        <v>3350</v>
      </c>
      <c r="H1760" s="15">
        <v>12.8</v>
      </c>
      <c r="I1760" s="15">
        <v>26290.799999999999</v>
      </c>
      <c r="J1760" s="13" t="s">
        <v>87</v>
      </c>
      <c r="K1760" s="13" t="s">
        <v>112</v>
      </c>
      <c r="L1760">
        <f>IF(COUNTIF(A$2:A1760, A1760)=1, IF(COUNTIF(A$2:A$2001, A1760)&gt;1, 1, 0), 0)</f>
        <v>0</v>
      </c>
      <c r="M1760" t="b">
        <f>VLOOKUP(D1760, Products!A$2:F$61, 6, FALSE)</f>
        <v>1</v>
      </c>
      <c r="N1760" t="str">
        <f>VLOOKUP(D1760, Products!A$2:C$61, 3, FALSE)</f>
        <v>Beauty</v>
      </c>
      <c r="O1760" t="str">
        <f>VLOOKUP(C1760, Customers!A$2:E$301, 5, FALSE)</f>
        <v>Corporate</v>
      </c>
      <c r="P1760">
        <f>VLOOKUP(C1760, Customers!A$2:C$301, 3, FALSE)</f>
        <v>62</v>
      </c>
      <c r="Q1760" t="str">
        <f>VLOOKUP(E1760, Sales_Reps!A$2:C$31, 3, FALSE)</f>
        <v>South</v>
      </c>
      <c r="R1760">
        <f>VLOOKUP(D1760, Products!A$2:D$61, 4, FALSE)</f>
        <v>1728</v>
      </c>
    </row>
    <row r="1761" spans="1:18" x14ac:dyDescent="0.3">
      <c r="A1761" s="13" t="s">
        <v>2259</v>
      </c>
      <c r="B1761" s="14">
        <v>45459</v>
      </c>
      <c r="C1761" s="13" t="s">
        <v>676</v>
      </c>
      <c r="D1761" s="13" t="s">
        <v>106</v>
      </c>
      <c r="E1761" s="13" t="s">
        <v>116</v>
      </c>
      <c r="F1761" s="15">
        <v>7</v>
      </c>
      <c r="G1761" s="15">
        <v>3160</v>
      </c>
      <c r="H1761" s="15">
        <v>15.3</v>
      </c>
      <c r="I1761" s="15">
        <v>18735.64</v>
      </c>
      <c r="J1761" s="13" t="s">
        <v>87</v>
      </c>
      <c r="K1761" s="13" t="s">
        <v>88</v>
      </c>
      <c r="L1761">
        <f>IF(COUNTIF(A$2:A1761, A1761)=1, IF(COUNTIF(A$2:A$2001, A1761)&gt;1, 1, 0), 0)</f>
        <v>0</v>
      </c>
      <c r="M1761" t="b">
        <f>VLOOKUP(D1761, Products!A$2:F$61, 6, FALSE)</f>
        <v>1</v>
      </c>
      <c r="N1761" t="str">
        <f>VLOOKUP(D1761, Products!A$2:C$61, 3, FALSE)</f>
        <v>Apparel</v>
      </c>
      <c r="O1761" t="str">
        <f>VLOOKUP(C1761, Customers!A$2:E$301, 5, FALSE)</f>
        <v>SMB</v>
      </c>
      <c r="P1761">
        <f>VLOOKUP(C1761, Customers!A$2:C$301, 3, FALSE)</f>
        <v>35</v>
      </c>
      <c r="Q1761" t="str">
        <f>VLOOKUP(E1761, Sales_Reps!A$2:C$31, 3, FALSE)</f>
        <v>West</v>
      </c>
      <c r="R1761">
        <f>VLOOKUP(D1761, Products!A$2:D$61, 4, FALSE)</f>
        <v>1886</v>
      </c>
    </row>
    <row r="1762" spans="1:18" x14ac:dyDescent="0.3">
      <c r="A1762" s="13" t="s">
        <v>2260</v>
      </c>
      <c r="B1762" s="14">
        <v>45428</v>
      </c>
      <c r="C1762" s="13" t="s">
        <v>983</v>
      </c>
      <c r="D1762" s="13" t="s">
        <v>195</v>
      </c>
      <c r="E1762" s="13" t="s">
        <v>139</v>
      </c>
      <c r="F1762" s="15">
        <v>6</v>
      </c>
      <c r="G1762" s="15">
        <v>2860</v>
      </c>
      <c r="H1762" s="15">
        <v>17.5</v>
      </c>
      <c r="I1762" s="15">
        <v>14157</v>
      </c>
      <c r="J1762" s="13" t="s">
        <v>87</v>
      </c>
      <c r="K1762" s="13" t="s">
        <v>117</v>
      </c>
      <c r="L1762">
        <f>IF(COUNTIF(A$2:A1762, A1762)=1, IF(COUNTIF(A$2:A$2001, A1762)&gt;1, 1, 0), 0)</f>
        <v>0</v>
      </c>
      <c r="M1762" t="b">
        <f>VLOOKUP(D1762, Products!A$2:F$61, 6, FALSE)</f>
        <v>1</v>
      </c>
      <c r="N1762" t="str">
        <f>VLOOKUP(D1762, Products!A$2:C$61, 3, FALSE)</f>
        <v>Sports</v>
      </c>
      <c r="O1762" t="str">
        <f>VLOOKUP(C1762, Customers!A$2:E$301, 5, FALSE)</f>
        <v>SMB</v>
      </c>
      <c r="P1762">
        <f>VLOOKUP(C1762, Customers!A$2:C$301, 3, FALSE)</f>
        <v>36</v>
      </c>
      <c r="Q1762" t="str">
        <f>VLOOKUP(E1762, Sales_Reps!A$2:C$31, 3, FALSE)</f>
        <v>North</v>
      </c>
      <c r="R1762">
        <f>VLOOKUP(D1762, Products!A$2:D$61, 4, FALSE)</f>
        <v>2028</v>
      </c>
    </row>
    <row r="1763" spans="1:18" x14ac:dyDescent="0.3">
      <c r="A1763" s="13" t="s">
        <v>2261</v>
      </c>
      <c r="B1763" s="14">
        <v>45341</v>
      </c>
      <c r="C1763" s="13" t="s">
        <v>757</v>
      </c>
      <c r="D1763" s="13" t="s">
        <v>282</v>
      </c>
      <c r="E1763" s="13" t="s">
        <v>132</v>
      </c>
      <c r="F1763" s="15">
        <v>9</v>
      </c>
      <c r="G1763" s="15">
        <v>300</v>
      </c>
      <c r="H1763" s="15">
        <v>25.2</v>
      </c>
      <c r="I1763" s="15">
        <v>2019.6</v>
      </c>
      <c r="J1763" s="13" t="s">
        <v>87</v>
      </c>
      <c r="K1763" s="13" t="s">
        <v>117</v>
      </c>
      <c r="L1763">
        <f>IF(COUNTIF(A$2:A1763, A1763)=1, IF(COUNTIF(A$2:A$2001, A1763)&gt;1, 1, 0), 0)</f>
        <v>0</v>
      </c>
      <c r="M1763" t="b">
        <f>VLOOKUP(D1763, Products!A$2:F$61, 6, FALSE)</f>
        <v>1</v>
      </c>
      <c r="N1763" t="str">
        <f>VLOOKUP(D1763, Products!A$2:C$61, 3, FALSE)</f>
        <v>Electronics</v>
      </c>
      <c r="O1763" t="str">
        <f>VLOOKUP(C1763, Customers!A$2:E$301, 5, FALSE)</f>
        <v>Corporate</v>
      </c>
      <c r="P1763">
        <f>VLOOKUP(C1763, Customers!A$2:C$301, 3, FALSE)</f>
        <v>43</v>
      </c>
      <c r="Q1763" t="str">
        <f>VLOOKUP(E1763, Sales_Reps!A$2:C$31, 3, FALSE)</f>
        <v>South</v>
      </c>
      <c r="R1763">
        <f>VLOOKUP(D1763, Products!A$2:D$61, 4, FALSE)</f>
        <v>128</v>
      </c>
    </row>
    <row r="1764" spans="1:18" x14ac:dyDescent="0.3">
      <c r="A1764" s="13" t="s">
        <v>2262</v>
      </c>
      <c r="B1764" s="14">
        <v>45296</v>
      </c>
      <c r="C1764" s="13" t="s">
        <v>977</v>
      </c>
      <c r="D1764" s="13" t="s">
        <v>147</v>
      </c>
      <c r="E1764" s="13" t="s">
        <v>192</v>
      </c>
      <c r="F1764" s="15">
        <v>5</v>
      </c>
      <c r="G1764" s="15">
        <v>190</v>
      </c>
      <c r="H1764" s="15">
        <v>1.8</v>
      </c>
      <c r="I1764" s="15">
        <v>932.9</v>
      </c>
      <c r="J1764" s="13" t="s">
        <v>87</v>
      </c>
      <c r="K1764" s="13" t="s">
        <v>88</v>
      </c>
      <c r="L1764">
        <f>IF(COUNTIF(A$2:A1764, A1764)=1, IF(COUNTIF(A$2:A$2001, A1764)&gt;1, 1, 0), 0)</f>
        <v>0</v>
      </c>
      <c r="M1764" t="b">
        <f>VLOOKUP(D1764, Products!A$2:F$61, 6, FALSE)</f>
        <v>1</v>
      </c>
      <c r="N1764" t="str">
        <f>VLOOKUP(D1764, Products!A$2:C$61, 3, FALSE)</f>
        <v>Sports</v>
      </c>
      <c r="O1764" t="str">
        <f>VLOOKUP(C1764, Customers!A$2:E$301, 5, FALSE)</f>
        <v>Corporate</v>
      </c>
      <c r="P1764">
        <f>VLOOKUP(C1764, Customers!A$2:C$301, 3, FALSE)</f>
        <v>29</v>
      </c>
      <c r="Q1764" t="str">
        <f>VLOOKUP(E1764, Sales_Reps!A$2:C$31, 3, FALSE)</f>
        <v>East</v>
      </c>
      <c r="R1764">
        <f>VLOOKUP(D1764, Products!A$2:D$61, 4, FALSE)</f>
        <v>147</v>
      </c>
    </row>
    <row r="1765" spans="1:18" x14ac:dyDescent="0.3">
      <c r="A1765" s="13" t="s">
        <v>2263</v>
      </c>
      <c r="B1765" s="14">
        <v>45533</v>
      </c>
      <c r="C1765" s="13" t="s">
        <v>442</v>
      </c>
      <c r="D1765" s="13" t="s">
        <v>182</v>
      </c>
      <c r="E1765" s="13" t="s">
        <v>158</v>
      </c>
      <c r="F1765" s="15">
        <v>7</v>
      </c>
      <c r="G1765" s="15">
        <v>1010</v>
      </c>
      <c r="H1765" s="15">
        <v>11.2</v>
      </c>
      <c r="I1765" s="15">
        <v>6278.16</v>
      </c>
      <c r="J1765" s="13" t="s">
        <v>87</v>
      </c>
      <c r="K1765" s="13" t="s">
        <v>88</v>
      </c>
      <c r="L1765">
        <f>IF(COUNTIF(A$2:A1765, A1765)=1, IF(COUNTIF(A$2:A$2001, A1765)&gt;1, 1, 0), 0)</f>
        <v>0</v>
      </c>
      <c r="M1765" t="b">
        <f>VLOOKUP(D1765, Products!A$2:F$61, 6, FALSE)</f>
        <v>1</v>
      </c>
      <c r="N1765" t="str">
        <f>VLOOKUP(D1765, Products!A$2:C$61, 3, FALSE)</f>
        <v>Sports</v>
      </c>
      <c r="O1765" t="str">
        <f>VLOOKUP(C1765, Customers!A$2:E$301, 5, FALSE)</f>
        <v>Retail</v>
      </c>
      <c r="P1765">
        <f>VLOOKUP(C1765, Customers!A$2:C$301, 3, FALSE)</f>
        <v>65</v>
      </c>
      <c r="Q1765" t="str">
        <f>VLOOKUP(E1765, Sales_Reps!A$2:C$31, 3, FALSE)</f>
        <v>East</v>
      </c>
      <c r="R1765">
        <f>VLOOKUP(D1765, Products!A$2:D$61, 4, FALSE)</f>
        <v>516</v>
      </c>
    </row>
    <row r="1766" spans="1:18" x14ac:dyDescent="0.3">
      <c r="A1766" s="13" t="s">
        <v>2264</v>
      </c>
      <c r="B1766" s="14">
        <v>45515</v>
      </c>
      <c r="C1766" s="13" t="s">
        <v>219</v>
      </c>
      <c r="D1766" s="13" t="s">
        <v>161</v>
      </c>
      <c r="E1766" s="13" t="s">
        <v>215</v>
      </c>
      <c r="F1766" s="15">
        <v>8</v>
      </c>
      <c r="G1766" s="15">
        <v>3450</v>
      </c>
      <c r="H1766" s="15">
        <v>8.4</v>
      </c>
      <c r="I1766" s="15">
        <v>25281.599999999999</v>
      </c>
      <c r="J1766" s="13" t="s">
        <v>87</v>
      </c>
      <c r="K1766" s="13" t="s">
        <v>99</v>
      </c>
      <c r="L1766">
        <f>IF(COUNTIF(A$2:A1766, A1766)=1, IF(COUNTIF(A$2:A$2001, A1766)&gt;1, 1, 0), 0)</f>
        <v>0</v>
      </c>
      <c r="M1766" t="b">
        <f>VLOOKUP(D1766, Products!A$2:F$61, 6, FALSE)</f>
        <v>1</v>
      </c>
      <c r="N1766" t="str">
        <f>VLOOKUP(D1766, Products!A$2:C$61, 3, FALSE)</f>
        <v>Sports</v>
      </c>
      <c r="O1766" t="str">
        <f>VLOOKUP(C1766, Customers!A$2:E$301, 5, FALSE)</f>
        <v>SMB</v>
      </c>
      <c r="P1766">
        <f>VLOOKUP(C1766, Customers!A$2:C$301, 3, FALSE)</f>
        <v>50</v>
      </c>
      <c r="Q1766" t="str">
        <f>VLOOKUP(E1766, Sales_Reps!A$2:C$31, 3, FALSE)</f>
        <v>North</v>
      </c>
      <c r="R1766">
        <f>VLOOKUP(D1766, Products!A$2:D$61, 4, FALSE)</f>
        <v>2467</v>
      </c>
    </row>
    <row r="1767" spans="1:18" x14ac:dyDescent="0.3">
      <c r="A1767" s="13" t="s">
        <v>2265</v>
      </c>
      <c r="B1767" s="14">
        <v>45597</v>
      </c>
      <c r="C1767" s="13" t="s">
        <v>986</v>
      </c>
      <c r="D1767" s="13" t="s">
        <v>282</v>
      </c>
      <c r="E1767" s="13" t="s">
        <v>215</v>
      </c>
      <c r="F1767" s="15">
        <v>3</v>
      </c>
      <c r="G1767" s="15">
        <v>300</v>
      </c>
      <c r="H1767" s="15">
        <v>7.5</v>
      </c>
      <c r="I1767" s="15">
        <v>832.5</v>
      </c>
      <c r="J1767" s="13" t="s">
        <v>144</v>
      </c>
      <c r="K1767" s="13" t="s">
        <v>94</v>
      </c>
      <c r="L1767">
        <f>IF(COUNTIF(A$2:A1767, A1767)=1, IF(COUNTIF(A$2:A$2001, A1767)&gt;1, 1, 0), 0)</f>
        <v>0</v>
      </c>
      <c r="M1767" t="b">
        <f>VLOOKUP(D1767, Products!A$2:F$61, 6, FALSE)</f>
        <v>1</v>
      </c>
      <c r="N1767" t="str">
        <f>VLOOKUP(D1767, Products!A$2:C$61, 3, FALSE)</f>
        <v>Electronics</v>
      </c>
      <c r="O1767" t="str">
        <f>VLOOKUP(C1767, Customers!A$2:E$301, 5, FALSE)</f>
        <v>Corporate</v>
      </c>
      <c r="P1767">
        <f>VLOOKUP(C1767, Customers!A$2:C$301, 3, FALSE)</f>
        <v>52</v>
      </c>
      <c r="Q1767" t="str">
        <f>VLOOKUP(E1767, Sales_Reps!A$2:C$31, 3, FALSE)</f>
        <v>North</v>
      </c>
      <c r="R1767">
        <f>VLOOKUP(D1767, Products!A$2:D$61, 4, FALSE)</f>
        <v>128</v>
      </c>
    </row>
    <row r="1768" spans="1:18" x14ac:dyDescent="0.3">
      <c r="A1768" s="13" t="s">
        <v>2266</v>
      </c>
      <c r="B1768" s="14">
        <v>45370</v>
      </c>
      <c r="C1768" s="13" t="s">
        <v>228</v>
      </c>
      <c r="D1768" s="13" t="s">
        <v>226</v>
      </c>
      <c r="E1768" s="13" t="s">
        <v>303</v>
      </c>
      <c r="F1768" s="15">
        <v>4</v>
      </c>
      <c r="G1768" s="15">
        <v>3730</v>
      </c>
      <c r="H1768" s="15">
        <v>24.8</v>
      </c>
      <c r="I1768" s="15">
        <v>11219.84</v>
      </c>
      <c r="J1768" s="13" t="s">
        <v>87</v>
      </c>
      <c r="K1768" s="13" t="s">
        <v>112</v>
      </c>
      <c r="L1768">
        <f>IF(COUNTIF(A$2:A1768, A1768)=1, IF(COUNTIF(A$2:A$2001, A1768)&gt;1, 1, 0), 0)</f>
        <v>0</v>
      </c>
      <c r="M1768" t="b">
        <f>VLOOKUP(D1768, Products!A$2:F$61, 6, FALSE)</f>
        <v>1</v>
      </c>
      <c r="N1768" t="str">
        <f>VLOOKUP(D1768, Products!A$2:C$61, 3, FALSE)</f>
        <v>Home</v>
      </c>
      <c r="O1768" t="str">
        <f>VLOOKUP(C1768, Customers!A$2:E$301, 5, FALSE)</f>
        <v>SMB</v>
      </c>
      <c r="P1768">
        <f>VLOOKUP(C1768, Customers!A$2:C$301, 3, FALSE)</f>
        <v>54</v>
      </c>
      <c r="Q1768" t="str">
        <f>VLOOKUP(E1768, Sales_Reps!A$2:C$31, 3, FALSE)</f>
        <v>East</v>
      </c>
      <c r="R1768">
        <f>VLOOKUP(D1768, Products!A$2:D$61, 4, FALSE)</f>
        <v>2135</v>
      </c>
    </row>
    <row r="1769" spans="1:18" x14ac:dyDescent="0.3">
      <c r="A1769" s="13" t="s">
        <v>2267</v>
      </c>
      <c r="B1769" s="14">
        <v>45462</v>
      </c>
      <c r="C1769" s="13" t="s">
        <v>178</v>
      </c>
      <c r="D1769" s="13" t="s">
        <v>151</v>
      </c>
      <c r="E1769" s="13" t="s">
        <v>192</v>
      </c>
      <c r="F1769" s="15">
        <v>5</v>
      </c>
      <c r="G1769" s="15">
        <v>2400</v>
      </c>
      <c r="H1769" s="15">
        <v>9.1999999999999993</v>
      </c>
      <c r="I1769" s="15">
        <v>10896</v>
      </c>
      <c r="J1769" s="13" t="s">
        <v>87</v>
      </c>
      <c r="K1769" s="13" t="s">
        <v>94</v>
      </c>
      <c r="L1769">
        <f>IF(COUNTIF(A$2:A1769, A1769)=1, IF(COUNTIF(A$2:A$2001, A1769)&gt;1, 1, 0), 0)</f>
        <v>0</v>
      </c>
      <c r="M1769" t="b">
        <f>VLOOKUP(D1769, Products!A$2:F$61, 6, FALSE)</f>
        <v>1</v>
      </c>
      <c r="N1769" t="str">
        <f>VLOOKUP(D1769, Products!A$2:C$61, 3, FALSE)</f>
        <v>Sports</v>
      </c>
      <c r="O1769" t="str">
        <f>VLOOKUP(C1769, Customers!A$2:E$301, 5, FALSE)</f>
        <v>Corporate</v>
      </c>
      <c r="P1769">
        <f>VLOOKUP(C1769, Customers!A$2:C$301, 3, FALSE)</f>
        <v>55</v>
      </c>
      <c r="Q1769" t="str">
        <f>VLOOKUP(E1769, Sales_Reps!A$2:C$31, 3, FALSE)</f>
        <v>East</v>
      </c>
      <c r="R1769">
        <f>VLOOKUP(D1769, Products!A$2:D$61, 4, FALSE)</f>
        <v>974</v>
      </c>
    </row>
    <row r="1770" spans="1:18" x14ac:dyDescent="0.3">
      <c r="A1770" s="13" t="s">
        <v>2268</v>
      </c>
      <c r="B1770" s="14">
        <v>45609</v>
      </c>
      <c r="C1770" s="13" t="s">
        <v>403</v>
      </c>
      <c r="D1770" s="13" t="s">
        <v>200</v>
      </c>
      <c r="E1770" s="13" t="s">
        <v>215</v>
      </c>
      <c r="F1770" s="15">
        <v>3</v>
      </c>
      <c r="G1770" s="15">
        <v>2760</v>
      </c>
      <c r="H1770" s="15">
        <v>2.4</v>
      </c>
      <c r="I1770" s="15">
        <v>8081.28</v>
      </c>
      <c r="J1770" s="13" t="s">
        <v>87</v>
      </c>
      <c r="K1770" s="13" t="s">
        <v>117</v>
      </c>
      <c r="L1770">
        <f>IF(COUNTIF(A$2:A1770, A1770)=1, IF(COUNTIF(A$2:A$2001, A1770)&gt;1, 1, 0), 0)</f>
        <v>0</v>
      </c>
      <c r="M1770" t="b">
        <f>VLOOKUP(D1770, Products!A$2:F$61, 6, FALSE)</f>
        <v>1</v>
      </c>
      <c r="N1770" t="str">
        <f>VLOOKUP(D1770, Products!A$2:C$61, 3, FALSE)</f>
        <v>Grocery</v>
      </c>
      <c r="O1770" t="str">
        <f>VLOOKUP(C1770, Customers!A$2:E$301, 5, FALSE)</f>
        <v>Retail</v>
      </c>
      <c r="P1770">
        <f>VLOOKUP(C1770, Customers!A$2:C$301, 3, FALSE)</f>
        <v>59</v>
      </c>
      <c r="Q1770" t="str">
        <f>VLOOKUP(E1770, Sales_Reps!A$2:C$31, 3, FALSE)</f>
        <v>North</v>
      </c>
      <c r="R1770">
        <f>VLOOKUP(D1770, Products!A$2:D$61, 4, FALSE)</f>
        <v>1435</v>
      </c>
    </row>
    <row r="1771" spans="1:18" x14ac:dyDescent="0.3">
      <c r="A1771" s="13" t="s">
        <v>667</v>
      </c>
      <c r="B1771" s="14">
        <v>45548</v>
      </c>
      <c r="C1771" s="13" t="s">
        <v>208</v>
      </c>
      <c r="D1771" s="13" t="s">
        <v>97</v>
      </c>
      <c r="E1771" s="13" t="s">
        <v>204</v>
      </c>
      <c r="F1771" s="15">
        <v>8</v>
      </c>
      <c r="G1771" s="15">
        <v>470</v>
      </c>
      <c r="H1771" s="15">
        <v>24.8</v>
      </c>
      <c r="I1771" s="15">
        <v>2827.52</v>
      </c>
      <c r="J1771" s="13" t="s">
        <v>93</v>
      </c>
      <c r="K1771" s="13" t="s">
        <v>133</v>
      </c>
      <c r="L1771">
        <f>IF(COUNTIF(A$2:A1771, A1771)=1, IF(COUNTIF(A$2:A$2001, A1771)&gt;1, 1, 0), 0)</f>
        <v>0</v>
      </c>
      <c r="M1771" t="b">
        <f>VLOOKUP(D1771, Products!A$2:F$61, 6, FALSE)</f>
        <v>0</v>
      </c>
      <c r="N1771" t="str">
        <f>VLOOKUP(D1771, Products!A$2:C$61, 3, FALSE)</f>
        <v>Sports</v>
      </c>
      <c r="O1771" t="str">
        <f>VLOOKUP(C1771, Customers!A$2:E$301, 5, FALSE)</f>
        <v>Retail</v>
      </c>
      <c r="P1771">
        <f>VLOOKUP(C1771, Customers!A$2:C$301, 3, FALSE)</f>
        <v>26</v>
      </c>
      <c r="Q1771" t="str">
        <f>VLOOKUP(E1771, Sales_Reps!A$2:C$31, 3, FALSE)</f>
        <v>South</v>
      </c>
      <c r="R1771">
        <f>VLOOKUP(D1771, Products!A$2:D$61, 4, FALSE)</f>
        <v>302</v>
      </c>
    </row>
    <row r="1772" spans="1:18" x14ac:dyDescent="0.3">
      <c r="A1772" s="13" t="s">
        <v>2269</v>
      </c>
      <c r="B1772" s="14">
        <v>45633</v>
      </c>
      <c r="C1772" s="13" t="s">
        <v>602</v>
      </c>
      <c r="D1772" s="13" t="s">
        <v>97</v>
      </c>
      <c r="E1772" s="13" t="s">
        <v>343</v>
      </c>
      <c r="F1772" s="15">
        <v>3</v>
      </c>
      <c r="G1772" s="15">
        <v>470</v>
      </c>
      <c r="H1772" s="15">
        <v>18.600000000000001</v>
      </c>
      <c r="I1772" s="15">
        <v>1147.74</v>
      </c>
      <c r="J1772" s="13" t="s">
        <v>87</v>
      </c>
      <c r="K1772" s="13" t="s">
        <v>94</v>
      </c>
      <c r="L1772">
        <f>IF(COUNTIF(A$2:A1772, A1772)=1, IF(COUNTIF(A$2:A$2001, A1772)&gt;1, 1, 0), 0)</f>
        <v>0</v>
      </c>
      <c r="M1772" t="b">
        <f>VLOOKUP(D1772, Products!A$2:F$61, 6, FALSE)</f>
        <v>0</v>
      </c>
      <c r="N1772" t="str">
        <f>VLOOKUP(D1772, Products!A$2:C$61, 3, FALSE)</f>
        <v>Sports</v>
      </c>
      <c r="O1772" t="str">
        <f>VLOOKUP(C1772, Customers!A$2:E$301, 5, FALSE)</f>
        <v>Retail</v>
      </c>
      <c r="P1772">
        <f>VLOOKUP(C1772, Customers!A$2:C$301, 3, FALSE)</f>
        <v>61</v>
      </c>
      <c r="Q1772" t="str">
        <f>VLOOKUP(E1772, Sales_Reps!A$2:C$31, 3, FALSE)</f>
        <v>West</v>
      </c>
      <c r="R1772">
        <f>VLOOKUP(D1772, Products!A$2:D$61, 4, FALSE)</f>
        <v>302</v>
      </c>
    </row>
    <row r="1773" spans="1:18" x14ac:dyDescent="0.3">
      <c r="A1773" s="13" t="s">
        <v>2270</v>
      </c>
      <c r="B1773" s="14">
        <v>45580</v>
      </c>
      <c r="C1773" s="13" t="s">
        <v>507</v>
      </c>
      <c r="D1773" s="13" t="s">
        <v>110</v>
      </c>
      <c r="E1773" s="13" t="s">
        <v>128</v>
      </c>
      <c r="F1773" s="15">
        <v>2</v>
      </c>
      <c r="G1773" s="15">
        <v>370</v>
      </c>
      <c r="H1773" s="15">
        <v>24</v>
      </c>
      <c r="I1773" s="15">
        <v>562.4</v>
      </c>
      <c r="J1773" s="13" t="s">
        <v>87</v>
      </c>
      <c r="K1773" s="13" t="s">
        <v>88</v>
      </c>
      <c r="L1773">
        <f>IF(COUNTIF(A$2:A1773, A1773)=1, IF(COUNTIF(A$2:A$2001, A1773)&gt;1, 1, 0), 0)</f>
        <v>0</v>
      </c>
      <c r="M1773" t="b">
        <f>VLOOKUP(D1773, Products!A$2:F$61, 6, FALSE)</f>
        <v>1</v>
      </c>
      <c r="N1773" t="str">
        <f>VLOOKUP(D1773, Products!A$2:C$61, 3, FALSE)</f>
        <v>Home</v>
      </c>
      <c r="O1773" t="str">
        <f>VLOOKUP(C1773, Customers!A$2:E$301, 5, FALSE)</f>
        <v>Retail</v>
      </c>
      <c r="P1773">
        <f>VLOOKUP(C1773, Customers!A$2:C$301, 3, FALSE)</f>
        <v>59</v>
      </c>
      <c r="Q1773" t="str">
        <f>VLOOKUP(E1773, Sales_Reps!A$2:C$31, 3, FALSE)</f>
        <v>West</v>
      </c>
      <c r="R1773">
        <f>VLOOKUP(D1773, Products!A$2:D$61, 4, FALSE)</f>
        <v>288</v>
      </c>
    </row>
    <row r="1774" spans="1:18" x14ac:dyDescent="0.3">
      <c r="A1774" s="13" t="s">
        <v>2271</v>
      </c>
      <c r="B1774" s="14">
        <v>45329</v>
      </c>
      <c r="C1774" s="13" t="s">
        <v>1234</v>
      </c>
      <c r="D1774" s="13" t="s">
        <v>338</v>
      </c>
      <c r="E1774" s="13" t="s">
        <v>215</v>
      </c>
      <c r="F1774" s="15">
        <v>6</v>
      </c>
      <c r="G1774" s="15">
        <v>2210</v>
      </c>
      <c r="H1774" s="15">
        <v>28.3</v>
      </c>
      <c r="I1774" s="15">
        <v>9507.42</v>
      </c>
      <c r="J1774" s="13" t="s">
        <v>140</v>
      </c>
      <c r="K1774" s="13" t="s">
        <v>112</v>
      </c>
      <c r="L1774">
        <f>IF(COUNTIF(A$2:A1774, A1774)=1, IF(COUNTIF(A$2:A$2001, A1774)&gt;1, 1, 0), 0)</f>
        <v>0</v>
      </c>
      <c r="M1774" t="b">
        <f>VLOOKUP(D1774, Products!A$2:F$61, 6, FALSE)</f>
        <v>1</v>
      </c>
      <c r="N1774" t="str">
        <f>VLOOKUP(D1774, Products!A$2:C$61, 3, FALSE)</f>
        <v>Grocery</v>
      </c>
      <c r="O1774" t="str">
        <f>VLOOKUP(C1774, Customers!A$2:E$301, 5, FALSE)</f>
        <v>Retail</v>
      </c>
      <c r="P1774">
        <f>VLOOKUP(C1774, Customers!A$2:C$301, 3, FALSE)</f>
        <v>29</v>
      </c>
      <c r="Q1774" t="str">
        <f>VLOOKUP(E1774, Sales_Reps!A$2:C$31, 3, FALSE)</f>
        <v>North</v>
      </c>
      <c r="R1774">
        <f>VLOOKUP(D1774, Products!A$2:D$61, 4, FALSE)</f>
        <v>1010</v>
      </c>
    </row>
    <row r="1775" spans="1:18" x14ac:dyDescent="0.3">
      <c r="A1775" s="13" t="s">
        <v>2272</v>
      </c>
      <c r="B1775" s="14">
        <v>45549</v>
      </c>
      <c r="C1775" s="13" t="s">
        <v>561</v>
      </c>
      <c r="D1775" s="13" t="s">
        <v>515</v>
      </c>
      <c r="E1775" s="13" t="s">
        <v>297</v>
      </c>
      <c r="F1775" s="15">
        <v>3</v>
      </c>
      <c r="G1775" s="15">
        <v>6940</v>
      </c>
      <c r="H1775" s="15">
        <v>27.2</v>
      </c>
      <c r="I1775" s="15">
        <v>15156.96</v>
      </c>
      <c r="J1775" s="13" t="s">
        <v>144</v>
      </c>
      <c r="K1775" s="13" t="s">
        <v>133</v>
      </c>
      <c r="L1775">
        <f>IF(COUNTIF(A$2:A1775, A1775)=1, IF(COUNTIF(A$2:A$2001, A1775)&gt;1, 1, 0), 0)</f>
        <v>0</v>
      </c>
      <c r="M1775" t="b">
        <f>VLOOKUP(D1775, Products!A$2:F$61, 6, FALSE)</f>
        <v>1</v>
      </c>
      <c r="N1775" t="str">
        <f>VLOOKUP(D1775, Products!A$2:C$61, 3, FALSE)</f>
        <v>Sports</v>
      </c>
      <c r="O1775" t="str">
        <f>VLOOKUP(C1775, Customers!A$2:E$301, 5, FALSE)</f>
        <v>SMB</v>
      </c>
      <c r="P1775">
        <f>VLOOKUP(C1775, Customers!A$2:C$301, 3, FALSE)</f>
        <v>43</v>
      </c>
      <c r="Q1775" t="str">
        <f>VLOOKUP(E1775, Sales_Reps!A$2:C$31, 3, FALSE)</f>
        <v>North</v>
      </c>
      <c r="R1775">
        <f>VLOOKUP(D1775, Products!A$2:D$61, 4, FALSE)</f>
        <v>2827</v>
      </c>
    </row>
    <row r="1776" spans="1:18" x14ac:dyDescent="0.3">
      <c r="A1776" s="13" t="s">
        <v>2273</v>
      </c>
      <c r="B1776" s="14">
        <v>45423</v>
      </c>
      <c r="C1776" s="13" t="s">
        <v>945</v>
      </c>
      <c r="D1776" s="13" t="s">
        <v>295</v>
      </c>
      <c r="E1776" s="13" t="s">
        <v>303</v>
      </c>
      <c r="F1776" s="15">
        <v>10</v>
      </c>
      <c r="G1776" s="15">
        <v>2030</v>
      </c>
      <c r="H1776" s="15">
        <v>25.6</v>
      </c>
      <c r="I1776" s="15">
        <v>15103.2</v>
      </c>
      <c r="J1776" s="13" t="s">
        <v>87</v>
      </c>
      <c r="K1776" s="13" t="s">
        <v>88</v>
      </c>
      <c r="L1776">
        <f>IF(COUNTIF(A$2:A1776, A1776)=1, IF(COUNTIF(A$2:A$2001, A1776)&gt;1, 1, 0), 0)</f>
        <v>0</v>
      </c>
      <c r="M1776" t="b">
        <f>VLOOKUP(D1776, Products!A$2:F$61, 6, FALSE)</f>
        <v>1</v>
      </c>
      <c r="N1776" t="str">
        <f>VLOOKUP(D1776, Products!A$2:C$61, 3, FALSE)</f>
        <v>Home</v>
      </c>
      <c r="O1776" t="str">
        <f>VLOOKUP(C1776, Customers!A$2:E$301, 5, FALSE)</f>
        <v>Retail</v>
      </c>
      <c r="P1776">
        <f>VLOOKUP(C1776, Customers!A$2:C$301, 3, FALSE)</f>
        <v>54</v>
      </c>
      <c r="Q1776" t="str">
        <f>VLOOKUP(E1776, Sales_Reps!A$2:C$31, 3, FALSE)</f>
        <v>East</v>
      </c>
      <c r="R1776">
        <f>VLOOKUP(D1776, Products!A$2:D$61, 4, FALSE)</f>
        <v>1143</v>
      </c>
    </row>
    <row r="1777" spans="1:18" x14ac:dyDescent="0.3">
      <c r="A1777" s="13" t="s">
        <v>2274</v>
      </c>
      <c r="B1777" s="14">
        <v>45533</v>
      </c>
      <c r="C1777" s="13" t="s">
        <v>945</v>
      </c>
      <c r="D1777" s="13" t="s">
        <v>182</v>
      </c>
      <c r="E1777" s="13" t="s">
        <v>238</v>
      </c>
      <c r="F1777" s="15">
        <v>9</v>
      </c>
      <c r="G1777" s="15">
        <v>1010</v>
      </c>
      <c r="H1777" s="15">
        <v>9.3000000000000007</v>
      </c>
      <c r="I1777" s="15">
        <v>8244.6299999999992</v>
      </c>
      <c r="J1777" s="13" t="s">
        <v>87</v>
      </c>
      <c r="K1777" s="13" t="s">
        <v>88</v>
      </c>
      <c r="L1777">
        <f>IF(COUNTIF(A$2:A1777, A1777)=1, IF(COUNTIF(A$2:A$2001, A1777)&gt;1, 1, 0), 0)</f>
        <v>0</v>
      </c>
      <c r="M1777" t="b">
        <f>VLOOKUP(D1777, Products!A$2:F$61, 6, FALSE)</f>
        <v>1</v>
      </c>
      <c r="N1777" t="str">
        <f>VLOOKUP(D1777, Products!A$2:C$61, 3, FALSE)</f>
        <v>Sports</v>
      </c>
      <c r="O1777" t="str">
        <f>VLOOKUP(C1777, Customers!A$2:E$301, 5, FALSE)</f>
        <v>Retail</v>
      </c>
      <c r="P1777">
        <f>VLOOKUP(C1777, Customers!A$2:C$301, 3, FALSE)</f>
        <v>54</v>
      </c>
      <c r="Q1777" t="str">
        <f>VLOOKUP(E1777, Sales_Reps!A$2:C$31, 3, FALSE)</f>
        <v>East</v>
      </c>
      <c r="R1777">
        <f>VLOOKUP(D1777, Products!A$2:D$61, 4, FALSE)</f>
        <v>516</v>
      </c>
    </row>
    <row r="1778" spans="1:18" x14ac:dyDescent="0.3">
      <c r="A1778" s="13" t="s">
        <v>2275</v>
      </c>
      <c r="B1778" s="14">
        <v>45571</v>
      </c>
      <c r="C1778" s="13" t="s">
        <v>328</v>
      </c>
      <c r="D1778" s="13" t="s">
        <v>355</v>
      </c>
      <c r="E1778" s="13" t="s">
        <v>297</v>
      </c>
      <c r="F1778" s="15">
        <v>5</v>
      </c>
      <c r="G1778" s="15">
        <v>2510</v>
      </c>
      <c r="H1778" s="15">
        <v>22.2</v>
      </c>
      <c r="I1778" s="15">
        <v>9763.9</v>
      </c>
      <c r="J1778" s="13" t="s">
        <v>87</v>
      </c>
      <c r="K1778" s="13" t="s">
        <v>94</v>
      </c>
      <c r="L1778">
        <f>IF(COUNTIF(A$2:A1778, A1778)=1, IF(COUNTIF(A$2:A$2001, A1778)&gt;1, 1, 0), 0)</f>
        <v>0</v>
      </c>
      <c r="M1778" t="b">
        <f>VLOOKUP(D1778, Products!A$2:F$61, 6, FALSE)</f>
        <v>0</v>
      </c>
      <c r="N1778" t="str">
        <f>VLOOKUP(D1778, Products!A$2:C$61, 3, FALSE)</f>
        <v>Apparel</v>
      </c>
      <c r="O1778" t="str">
        <f>VLOOKUP(C1778, Customers!A$2:E$301, 5, FALSE)</f>
        <v>Retail</v>
      </c>
      <c r="P1778">
        <f>VLOOKUP(C1778, Customers!A$2:C$301, 3, FALSE)</f>
        <v>28</v>
      </c>
      <c r="Q1778" t="str">
        <f>VLOOKUP(E1778, Sales_Reps!A$2:C$31, 3, FALSE)</f>
        <v>North</v>
      </c>
      <c r="R1778">
        <f>VLOOKUP(D1778, Products!A$2:D$61, 4, FALSE)</f>
        <v>1075</v>
      </c>
    </row>
    <row r="1779" spans="1:18" x14ac:dyDescent="0.3">
      <c r="A1779" s="13" t="s">
        <v>2276</v>
      </c>
      <c r="B1779" s="14">
        <v>45441</v>
      </c>
      <c r="C1779" s="13" t="s">
        <v>759</v>
      </c>
      <c r="D1779" s="13" t="s">
        <v>110</v>
      </c>
      <c r="E1779" s="13" t="s">
        <v>297</v>
      </c>
      <c r="F1779" s="15">
        <v>10</v>
      </c>
      <c r="G1779" s="15">
        <v>370</v>
      </c>
      <c r="H1779" s="15">
        <v>29</v>
      </c>
      <c r="I1779" s="15">
        <v>2627</v>
      </c>
      <c r="J1779" s="13" t="s">
        <v>87</v>
      </c>
      <c r="K1779" s="13" t="s">
        <v>117</v>
      </c>
      <c r="L1779">
        <f>IF(COUNTIF(A$2:A1779, A1779)=1, IF(COUNTIF(A$2:A$2001, A1779)&gt;1, 1, 0), 0)</f>
        <v>0</v>
      </c>
      <c r="M1779" t="b">
        <f>VLOOKUP(D1779, Products!A$2:F$61, 6, FALSE)</f>
        <v>1</v>
      </c>
      <c r="N1779" t="str">
        <f>VLOOKUP(D1779, Products!A$2:C$61, 3, FALSE)</f>
        <v>Home</v>
      </c>
      <c r="O1779" t="str">
        <f>VLOOKUP(C1779, Customers!A$2:E$301, 5, FALSE)</f>
        <v>Retail</v>
      </c>
      <c r="P1779">
        <f>VLOOKUP(C1779, Customers!A$2:C$301, 3, FALSE)</f>
        <v>29</v>
      </c>
      <c r="Q1779" t="str">
        <f>VLOOKUP(E1779, Sales_Reps!A$2:C$31, 3, FALSE)</f>
        <v>North</v>
      </c>
      <c r="R1779">
        <f>VLOOKUP(D1779, Products!A$2:D$61, 4, FALSE)</f>
        <v>288</v>
      </c>
    </row>
    <row r="1780" spans="1:18" x14ac:dyDescent="0.3">
      <c r="A1780" s="13" t="s">
        <v>2277</v>
      </c>
      <c r="B1780" s="14">
        <v>45403</v>
      </c>
      <c r="C1780" s="13" t="s">
        <v>544</v>
      </c>
      <c r="D1780" s="13" t="s">
        <v>167</v>
      </c>
      <c r="E1780" s="13" t="s">
        <v>158</v>
      </c>
      <c r="F1780" s="15">
        <v>3</v>
      </c>
      <c r="G1780" s="15">
        <v>2480</v>
      </c>
      <c r="H1780" s="15">
        <v>9.6</v>
      </c>
      <c r="I1780" s="15">
        <v>6725.76</v>
      </c>
      <c r="J1780" s="13" t="s">
        <v>87</v>
      </c>
      <c r="K1780" s="13" t="s">
        <v>133</v>
      </c>
      <c r="L1780">
        <f>IF(COUNTIF(A$2:A1780, A1780)=1, IF(COUNTIF(A$2:A$2001, A1780)&gt;1, 1, 0), 0)</f>
        <v>0</v>
      </c>
      <c r="M1780" t="b">
        <f>VLOOKUP(D1780, Products!A$2:F$61, 6, FALSE)</f>
        <v>1</v>
      </c>
      <c r="N1780" t="str">
        <f>VLOOKUP(D1780, Products!A$2:C$61, 3, FALSE)</f>
        <v>Apparel</v>
      </c>
      <c r="O1780" t="str">
        <f>VLOOKUP(C1780, Customers!A$2:E$301, 5, FALSE)</f>
        <v>Retail</v>
      </c>
      <c r="P1780">
        <f>VLOOKUP(C1780, Customers!A$2:C$301, 3, FALSE)</f>
        <v>25</v>
      </c>
      <c r="Q1780" t="str">
        <f>VLOOKUP(E1780, Sales_Reps!A$2:C$31, 3, FALSE)</f>
        <v>East</v>
      </c>
      <c r="R1780">
        <f>VLOOKUP(D1780, Products!A$2:D$61, 4, FALSE)</f>
        <v>1173</v>
      </c>
    </row>
    <row r="1781" spans="1:18" x14ac:dyDescent="0.3">
      <c r="A1781" s="13" t="s">
        <v>2278</v>
      </c>
      <c r="B1781" s="14">
        <v>45644</v>
      </c>
      <c r="C1781" s="13" t="s">
        <v>795</v>
      </c>
      <c r="D1781" s="13" t="s">
        <v>135</v>
      </c>
      <c r="E1781" s="13" t="s">
        <v>238</v>
      </c>
      <c r="F1781" s="15">
        <v>3</v>
      </c>
      <c r="G1781" s="15">
        <v>2640</v>
      </c>
      <c r="H1781" s="15">
        <v>10.199999999999999</v>
      </c>
      <c r="I1781" s="15">
        <v>7112.16</v>
      </c>
      <c r="J1781" s="13" t="s">
        <v>140</v>
      </c>
      <c r="K1781" s="13" t="s">
        <v>94</v>
      </c>
      <c r="L1781">
        <f>IF(COUNTIF(A$2:A1781, A1781)=1, IF(COUNTIF(A$2:A$2001, A1781)&gt;1, 1, 0), 0)</f>
        <v>0</v>
      </c>
      <c r="M1781" t="b">
        <f>VLOOKUP(D1781, Products!A$2:F$61, 6, FALSE)</f>
        <v>1</v>
      </c>
      <c r="N1781" t="str">
        <f>VLOOKUP(D1781, Products!A$2:C$61, 3, FALSE)</f>
        <v>Electronics</v>
      </c>
      <c r="O1781" t="str">
        <f>VLOOKUP(C1781, Customers!A$2:E$301, 5, FALSE)</f>
        <v>Retail</v>
      </c>
      <c r="P1781">
        <f>VLOOKUP(C1781, Customers!A$2:C$301, 3, FALSE)</f>
        <v>22</v>
      </c>
      <c r="Q1781" t="str">
        <f>VLOOKUP(E1781, Sales_Reps!A$2:C$31, 3, FALSE)</f>
        <v>East</v>
      </c>
      <c r="R1781">
        <f>VLOOKUP(D1781, Products!A$2:D$61, 4, FALSE)</f>
        <v>1149</v>
      </c>
    </row>
    <row r="1782" spans="1:18" x14ac:dyDescent="0.3">
      <c r="A1782" s="13" t="s">
        <v>2279</v>
      </c>
      <c r="B1782" s="14">
        <v>45504</v>
      </c>
      <c r="C1782" s="13" t="s">
        <v>1499</v>
      </c>
      <c r="D1782" s="13" t="s">
        <v>502</v>
      </c>
      <c r="E1782" s="13" t="s">
        <v>192</v>
      </c>
      <c r="F1782" s="15">
        <v>1</v>
      </c>
      <c r="G1782" s="15">
        <v>1090</v>
      </c>
      <c r="H1782" s="15">
        <v>21.6</v>
      </c>
      <c r="I1782" s="15">
        <v>854.56</v>
      </c>
      <c r="J1782" s="13" t="s">
        <v>140</v>
      </c>
      <c r="K1782" s="13" t="s">
        <v>94</v>
      </c>
      <c r="L1782">
        <f>IF(COUNTIF(A$2:A1782, A1782)=1, IF(COUNTIF(A$2:A$2001, A1782)&gt;1, 1, 0), 0)</f>
        <v>0</v>
      </c>
      <c r="M1782" t="b">
        <f>VLOOKUP(D1782, Products!A$2:F$61, 6, FALSE)</f>
        <v>1</v>
      </c>
      <c r="N1782" t="str">
        <f>VLOOKUP(D1782, Products!A$2:C$61, 3, FALSE)</f>
        <v>Home</v>
      </c>
      <c r="O1782" t="str">
        <f>VLOOKUP(C1782, Customers!A$2:E$301, 5, FALSE)</f>
        <v>Retail</v>
      </c>
      <c r="P1782">
        <f>VLOOKUP(C1782, Customers!A$2:C$301, 3, FALSE)</f>
        <v>26</v>
      </c>
      <c r="Q1782" t="str">
        <f>VLOOKUP(E1782, Sales_Reps!A$2:C$31, 3, FALSE)</f>
        <v>East</v>
      </c>
      <c r="R1782">
        <f>VLOOKUP(D1782, Products!A$2:D$61, 4, FALSE)</f>
        <v>464</v>
      </c>
    </row>
    <row r="1783" spans="1:18" x14ac:dyDescent="0.3">
      <c r="A1783" s="13" t="s">
        <v>2280</v>
      </c>
      <c r="B1783" s="14">
        <v>45606</v>
      </c>
      <c r="C1783" s="13" t="s">
        <v>1350</v>
      </c>
      <c r="D1783" s="13" t="s">
        <v>179</v>
      </c>
      <c r="E1783" s="13" t="s">
        <v>297</v>
      </c>
      <c r="F1783" s="15">
        <v>10</v>
      </c>
      <c r="G1783" s="15">
        <v>3350</v>
      </c>
      <c r="H1783" s="15">
        <v>12.1</v>
      </c>
      <c r="I1783" s="15">
        <v>29446.5</v>
      </c>
      <c r="J1783" s="13" t="s">
        <v>87</v>
      </c>
      <c r="K1783" s="13" t="s">
        <v>112</v>
      </c>
      <c r="L1783">
        <f>IF(COUNTIF(A$2:A1783, A1783)=1, IF(COUNTIF(A$2:A$2001, A1783)&gt;1, 1, 0), 0)</f>
        <v>0</v>
      </c>
      <c r="M1783" t="b">
        <f>VLOOKUP(D1783, Products!A$2:F$61, 6, FALSE)</f>
        <v>1</v>
      </c>
      <c r="N1783" t="str">
        <f>VLOOKUP(D1783, Products!A$2:C$61, 3, FALSE)</f>
        <v>Beauty</v>
      </c>
      <c r="O1783" t="str">
        <f>VLOOKUP(C1783, Customers!A$2:E$301, 5, FALSE)</f>
        <v>Retail</v>
      </c>
      <c r="P1783">
        <f>VLOOKUP(C1783, Customers!A$2:C$301, 3, FALSE)</f>
        <v>38</v>
      </c>
      <c r="Q1783" t="str">
        <f>VLOOKUP(E1783, Sales_Reps!A$2:C$31, 3, FALSE)</f>
        <v>North</v>
      </c>
      <c r="R1783">
        <f>VLOOKUP(D1783, Products!A$2:D$61, 4, FALSE)</f>
        <v>1728</v>
      </c>
    </row>
    <row r="1784" spans="1:18" x14ac:dyDescent="0.3">
      <c r="A1784" s="13" t="s">
        <v>2281</v>
      </c>
      <c r="B1784" s="14">
        <v>45562</v>
      </c>
      <c r="C1784" s="13" t="s">
        <v>585</v>
      </c>
      <c r="D1784" s="13" t="s">
        <v>241</v>
      </c>
      <c r="E1784" s="13" t="s">
        <v>188</v>
      </c>
      <c r="F1784" s="15">
        <v>4</v>
      </c>
      <c r="G1784" s="15">
        <v>6080</v>
      </c>
      <c r="H1784" s="15">
        <v>26.7</v>
      </c>
      <c r="I1784" s="15">
        <v>17826.560000000001</v>
      </c>
      <c r="J1784" s="13" t="s">
        <v>140</v>
      </c>
      <c r="K1784" s="13" t="s">
        <v>94</v>
      </c>
      <c r="L1784">
        <f>IF(COUNTIF(A$2:A1784, A1784)=1, IF(COUNTIF(A$2:A$2001, A1784)&gt;1, 1, 0), 0)</f>
        <v>0</v>
      </c>
      <c r="M1784" t="b">
        <f>VLOOKUP(D1784, Products!A$2:F$61, 6, FALSE)</f>
        <v>1</v>
      </c>
      <c r="N1784" t="str">
        <f>VLOOKUP(D1784, Products!A$2:C$61, 3, FALSE)</f>
        <v>Beauty</v>
      </c>
      <c r="O1784" t="str">
        <f>VLOOKUP(C1784, Customers!A$2:E$301, 5, FALSE)</f>
        <v>Retail</v>
      </c>
      <c r="P1784">
        <f>VLOOKUP(C1784, Customers!A$2:C$301, 3, FALSE)</f>
        <v>26</v>
      </c>
      <c r="Q1784" t="str">
        <f>VLOOKUP(E1784, Sales_Reps!A$2:C$31, 3, FALSE)</f>
        <v>South</v>
      </c>
      <c r="R1784">
        <f>VLOOKUP(D1784, Products!A$2:D$61, 4, FALSE)</f>
        <v>2617</v>
      </c>
    </row>
    <row r="1785" spans="1:18" x14ac:dyDescent="0.3">
      <c r="A1785" s="13" t="s">
        <v>2282</v>
      </c>
      <c r="B1785" s="14">
        <v>45372</v>
      </c>
      <c r="C1785" s="13" t="s">
        <v>697</v>
      </c>
      <c r="D1785" s="13" t="s">
        <v>380</v>
      </c>
      <c r="E1785" s="13" t="s">
        <v>297</v>
      </c>
      <c r="F1785" s="15">
        <v>3</v>
      </c>
      <c r="G1785" s="15">
        <v>960</v>
      </c>
      <c r="H1785" s="15">
        <v>13.2</v>
      </c>
      <c r="I1785" s="15">
        <v>2499.84</v>
      </c>
      <c r="J1785" s="13" t="s">
        <v>87</v>
      </c>
      <c r="K1785" s="13" t="s">
        <v>133</v>
      </c>
      <c r="L1785">
        <f>IF(COUNTIF(A$2:A1785, A1785)=1, IF(COUNTIF(A$2:A$2001, A1785)&gt;1, 1, 0), 0)</f>
        <v>0</v>
      </c>
      <c r="M1785" t="b">
        <f>VLOOKUP(D1785, Products!A$2:F$61, 6, FALSE)</f>
        <v>1</v>
      </c>
      <c r="N1785" t="str">
        <f>VLOOKUP(D1785, Products!A$2:C$61, 3, FALSE)</f>
        <v>Beauty</v>
      </c>
      <c r="O1785" t="str">
        <f>VLOOKUP(C1785, Customers!A$2:E$301, 5, FALSE)</f>
        <v>Retail</v>
      </c>
      <c r="P1785">
        <f>VLOOKUP(C1785, Customers!A$2:C$301, 3, FALSE)</f>
        <v>65</v>
      </c>
      <c r="Q1785" t="str">
        <f>VLOOKUP(E1785, Sales_Reps!A$2:C$31, 3, FALSE)</f>
        <v>North</v>
      </c>
      <c r="R1785">
        <f>VLOOKUP(D1785, Products!A$2:D$61, 4, FALSE)</f>
        <v>675</v>
      </c>
    </row>
    <row r="1786" spans="1:18" x14ac:dyDescent="0.3">
      <c r="A1786" s="13" t="s">
        <v>2283</v>
      </c>
      <c r="B1786" s="14">
        <v>45610</v>
      </c>
      <c r="C1786" s="13" t="s">
        <v>563</v>
      </c>
      <c r="D1786" s="13" t="s">
        <v>102</v>
      </c>
      <c r="E1786" s="13" t="s">
        <v>86</v>
      </c>
      <c r="F1786" s="15">
        <v>9</v>
      </c>
      <c r="G1786" s="15">
        <v>3660</v>
      </c>
      <c r="H1786" s="15">
        <v>9.3000000000000007</v>
      </c>
      <c r="I1786" s="15">
        <v>29876.58</v>
      </c>
      <c r="J1786" s="13" t="s">
        <v>140</v>
      </c>
      <c r="K1786" s="13" t="s">
        <v>88</v>
      </c>
      <c r="L1786">
        <f>IF(COUNTIF(A$2:A1786, A1786)=1, IF(COUNTIF(A$2:A$2001, A1786)&gt;1, 1, 0), 0)</f>
        <v>0</v>
      </c>
      <c r="M1786" t="b">
        <f>VLOOKUP(D1786, Products!A$2:F$61, 6, FALSE)</f>
        <v>0</v>
      </c>
      <c r="N1786" t="str">
        <f>VLOOKUP(D1786, Products!A$2:C$61, 3, FALSE)</f>
        <v>Grocery</v>
      </c>
      <c r="O1786" t="str">
        <f>VLOOKUP(C1786, Customers!A$2:E$301, 5, FALSE)</f>
        <v>SMB</v>
      </c>
      <c r="P1786">
        <f>VLOOKUP(C1786, Customers!A$2:C$301, 3, FALSE)</f>
        <v>24</v>
      </c>
      <c r="Q1786" t="str">
        <f>VLOOKUP(E1786, Sales_Reps!A$2:C$31, 3, FALSE)</f>
        <v>North</v>
      </c>
      <c r="R1786">
        <f>VLOOKUP(D1786, Products!A$2:D$61, 4, FALSE)</f>
        <v>2214</v>
      </c>
    </row>
    <row r="1787" spans="1:18" x14ac:dyDescent="0.3">
      <c r="A1787" s="13" t="s">
        <v>2284</v>
      </c>
      <c r="B1787" s="14">
        <v>45388</v>
      </c>
      <c r="C1787" s="13" t="s">
        <v>405</v>
      </c>
      <c r="D1787" s="13" t="s">
        <v>157</v>
      </c>
      <c r="E1787" s="13" t="s">
        <v>121</v>
      </c>
      <c r="F1787" s="15">
        <v>6</v>
      </c>
      <c r="G1787" s="15">
        <v>3450</v>
      </c>
      <c r="H1787" s="15">
        <v>8.1999999999999993</v>
      </c>
      <c r="I1787" s="15">
        <v>19002.599999999999</v>
      </c>
      <c r="J1787" s="13" t="s">
        <v>87</v>
      </c>
      <c r="K1787" s="13" t="s">
        <v>94</v>
      </c>
      <c r="L1787">
        <f>IF(COUNTIF(A$2:A1787, A1787)=1, IF(COUNTIF(A$2:A$2001, A1787)&gt;1, 1, 0), 0)</f>
        <v>0</v>
      </c>
      <c r="M1787" t="b">
        <f>VLOOKUP(D1787, Products!A$2:F$61, 6, FALSE)</f>
        <v>1</v>
      </c>
      <c r="N1787" t="str">
        <f>VLOOKUP(D1787, Products!A$2:C$61, 3, FALSE)</f>
        <v>Beauty</v>
      </c>
      <c r="O1787" t="str">
        <f>VLOOKUP(C1787, Customers!A$2:E$301, 5, FALSE)</f>
        <v>Corporate</v>
      </c>
      <c r="P1787">
        <f>VLOOKUP(C1787, Customers!A$2:C$301, 3, FALSE)</f>
        <v>24</v>
      </c>
      <c r="Q1787" t="str">
        <f>VLOOKUP(E1787, Sales_Reps!A$2:C$31, 3, FALSE)</f>
        <v>East</v>
      </c>
      <c r="R1787">
        <f>VLOOKUP(D1787, Products!A$2:D$61, 4, FALSE)</f>
        <v>2420</v>
      </c>
    </row>
    <row r="1788" spans="1:18" x14ac:dyDescent="0.3">
      <c r="A1788" s="13" t="s">
        <v>2285</v>
      </c>
      <c r="B1788" s="14">
        <v>45421</v>
      </c>
      <c r="C1788" s="13" t="s">
        <v>673</v>
      </c>
      <c r="D1788" s="13" t="s">
        <v>270</v>
      </c>
      <c r="E1788" s="13" t="s">
        <v>192</v>
      </c>
      <c r="F1788" s="15">
        <v>7</v>
      </c>
      <c r="G1788" s="15">
        <v>4610</v>
      </c>
      <c r="H1788" s="15">
        <v>10.4</v>
      </c>
      <c r="I1788" s="15">
        <v>28913.919999999998</v>
      </c>
      <c r="J1788" s="13" t="s">
        <v>87</v>
      </c>
      <c r="K1788" s="13" t="s">
        <v>112</v>
      </c>
      <c r="L1788">
        <f>IF(COUNTIF(A$2:A1788, A1788)=1, IF(COUNTIF(A$2:A$2001, A1788)&gt;1, 1, 0), 0)</f>
        <v>0</v>
      </c>
      <c r="M1788" t="b">
        <f>VLOOKUP(D1788, Products!A$2:F$61, 6, FALSE)</f>
        <v>1</v>
      </c>
      <c r="N1788" t="str">
        <f>VLOOKUP(D1788, Products!A$2:C$61, 3, FALSE)</f>
        <v>Home</v>
      </c>
      <c r="O1788" t="str">
        <f>VLOOKUP(C1788, Customers!A$2:E$301, 5, FALSE)</f>
        <v>Retail</v>
      </c>
      <c r="P1788">
        <f>VLOOKUP(C1788, Customers!A$2:C$301, 3, FALSE)</f>
        <v>35</v>
      </c>
      <c r="Q1788" t="str">
        <f>VLOOKUP(E1788, Sales_Reps!A$2:C$31, 3, FALSE)</f>
        <v>East</v>
      </c>
      <c r="R1788">
        <f>VLOOKUP(D1788, Products!A$2:D$61, 4, FALSE)</f>
        <v>1850</v>
      </c>
    </row>
    <row r="1789" spans="1:18" x14ac:dyDescent="0.3">
      <c r="A1789" s="13" t="s">
        <v>2286</v>
      </c>
      <c r="B1789" s="14">
        <v>45529</v>
      </c>
      <c r="C1789" s="13" t="s">
        <v>463</v>
      </c>
      <c r="D1789" s="13" t="s">
        <v>115</v>
      </c>
      <c r="E1789" s="13" t="s">
        <v>204</v>
      </c>
      <c r="F1789" s="15">
        <v>2</v>
      </c>
      <c r="G1789" s="15">
        <v>960</v>
      </c>
      <c r="H1789" s="15">
        <v>16.5</v>
      </c>
      <c r="I1789" s="15">
        <v>1603.2</v>
      </c>
      <c r="J1789" s="13" t="s">
        <v>87</v>
      </c>
      <c r="K1789" s="13" t="s">
        <v>117</v>
      </c>
      <c r="L1789">
        <f>IF(COUNTIF(A$2:A1789, A1789)=1, IF(COUNTIF(A$2:A$2001, A1789)&gt;1, 1, 0), 0)</f>
        <v>0</v>
      </c>
      <c r="M1789" t="b">
        <f>VLOOKUP(D1789, Products!A$2:F$61, 6, FALSE)</f>
        <v>1</v>
      </c>
      <c r="N1789" t="str">
        <f>VLOOKUP(D1789, Products!A$2:C$61, 3, FALSE)</f>
        <v>Sports</v>
      </c>
      <c r="O1789" t="str">
        <f>VLOOKUP(C1789, Customers!A$2:E$301, 5, FALSE)</f>
        <v>Retail</v>
      </c>
      <c r="P1789">
        <f>VLOOKUP(C1789, Customers!A$2:C$301, 3, FALSE)</f>
        <v>55</v>
      </c>
      <c r="Q1789" t="str">
        <f>VLOOKUP(E1789, Sales_Reps!A$2:C$31, 3, FALSE)</f>
        <v>South</v>
      </c>
      <c r="R1789">
        <f>VLOOKUP(D1789, Products!A$2:D$61, 4, FALSE)</f>
        <v>705</v>
      </c>
    </row>
    <row r="1790" spans="1:18" x14ac:dyDescent="0.3">
      <c r="A1790" s="13" t="s">
        <v>2287</v>
      </c>
      <c r="B1790" s="14">
        <v>45553</v>
      </c>
      <c r="C1790" s="13" t="s">
        <v>422</v>
      </c>
      <c r="D1790" s="13" t="s">
        <v>110</v>
      </c>
      <c r="E1790" s="13" t="s">
        <v>154</v>
      </c>
      <c r="F1790" s="15">
        <v>7</v>
      </c>
      <c r="G1790" s="15">
        <v>370</v>
      </c>
      <c r="H1790" s="15">
        <v>1.4</v>
      </c>
      <c r="I1790" s="15">
        <v>2553.7399999999998</v>
      </c>
      <c r="J1790" s="13" t="s">
        <v>144</v>
      </c>
      <c r="K1790" s="13" t="s">
        <v>94</v>
      </c>
      <c r="L1790">
        <f>IF(COUNTIF(A$2:A1790, A1790)=1, IF(COUNTIF(A$2:A$2001, A1790)&gt;1, 1, 0), 0)</f>
        <v>0</v>
      </c>
      <c r="M1790" t="b">
        <f>VLOOKUP(D1790, Products!A$2:F$61, 6, FALSE)</f>
        <v>1</v>
      </c>
      <c r="N1790" t="str">
        <f>VLOOKUP(D1790, Products!A$2:C$61, 3, FALSE)</f>
        <v>Home</v>
      </c>
      <c r="O1790" t="str">
        <f>VLOOKUP(C1790, Customers!A$2:E$301, 5, FALSE)</f>
        <v>SMB</v>
      </c>
      <c r="P1790">
        <f>VLOOKUP(C1790, Customers!A$2:C$301, 3, FALSE)</f>
        <v>64</v>
      </c>
      <c r="Q1790" t="str">
        <f>VLOOKUP(E1790, Sales_Reps!A$2:C$31, 3, FALSE)</f>
        <v>East</v>
      </c>
      <c r="R1790">
        <f>VLOOKUP(D1790, Products!A$2:D$61, 4, FALSE)</f>
        <v>288</v>
      </c>
    </row>
    <row r="1791" spans="1:18" x14ac:dyDescent="0.3">
      <c r="A1791" s="13" t="s">
        <v>2288</v>
      </c>
      <c r="B1791" s="14">
        <v>45535</v>
      </c>
      <c r="C1791" s="13" t="s">
        <v>621</v>
      </c>
      <c r="D1791" s="13" t="s">
        <v>131</v>
      </c>
      <c r="E1791" s="13" t="s">
        <v>139</v>
      </c>
      <c r="F1791" s="15">
        <v>3</v>
      </c>
      <c r="G1791" s="15">
        <v>2270</v>
      </c>
      <c r="H1791" s="15">
        <v>12.6</v>
      </c>
      <c r="I1791" s="15">
        <v>5951.94</v>
      </c>
      <c r="J1791" s="13" t="s">
        <v>87</v>
      </c>
      <c r="K1791" s="13" t="s">
        <v>94</v>
      </c>
      <c r="L1791">
        <f>IF(COUNTIF(A$2:A1791, A1791)=1, IF(COUNTIF(A$2:A$2001, A1791)&gt;1, 1, 0), 0)</f>
        <v>0</v>
      </c>
      <c r="M1791" t="b">
        <f>VLOOKUP(D1791, Products!A$2:F$61, 6, FALSE)</f>
        <v>1</v>
      </c>
      <c r="N1791" t="str">
        <f>VLOOKUP(D1791, Products!A$2:C$61, 3, FALSE)</f>
        <v>Grocery</v>
      </c>
      <c r="O1791" t="str">
        <f>VLOOKUP(C1791, Customers!A$2:E$301, 5, FALSE)</f>
        <v>Corporate</v>
      </c>
      <c r="P1791">
        <f>VLOOKUP(C1791, Customers!A$2:C$301, 3, FALSE)</f>
        <v>22</v>
      </c>
      <c r="Q1791" t="str">
        <f>VLOOKUP(E1791, Sales_Reps!A$2:C$31, 3, FALSE)</f>
        <v>North</v>
      </c>
      <c r="R1791">
        <f>VLOOKUP(D1791, Products!A$2:D$61, 4, FALSE)</f>
        <v>1203</v>
      </c>
    </row>
    <row r="1792" spans="1:18" x14ac:dyDescent="0.3">
      <c r="A1792" s="13" t="s">
        <v>631</v>
      </c>
      <c r="B1792" s="14">
        <v>45301</v>
      </c>
      <c r="C1792" s="13" t="s">
        <v>1358</v>
      </c>
      <c r="D1792" s="13" t="s">
        <v>143</v>
      </c>
      <c r="E1792" s="13" t="s">
        <v>98</v>
      </c>
      <c r="F1792" s="15">
        <v>1</v>
      </c>
      <c r="G1792" s="15">
        <v>3250</v>
      </c>
      <c r="H1792" s="15">
        <v>17.8</v>
      </c>
      <c r="I1792" s="15">
        <v>2671.5</v>
      </c>
      <c r="J1792" s="13" t="s">
        <v>87</v>
      </c>
      <c r="K1792" s="13" t="s">
        <v>112</v>
      </c>
      <c r="L1792">
        <f>IF(COUNTIF(A$2:A1792, A1792)=1, IF(COUNTIF(A$2:A$2001, A1792)&gt;1, 1, 0), 0)</f>
        <v>0</v>
      </c>
      <c r="M1792" t="b">
        <f>VLOOKUP(D1792, Products!A$2:F$61, 6, FALSE)</f>
        <v>1</v>
      </c>
      <c r="N1792" t="str">
        <f>VLOOKUP(D1792, Products!A$2:C$61, 3, FALSE)</f>
        <v>Home</v>
      </c>
      <c r="O1792" t="str">
        <f>VLOOKUP(C1792, Customers!A$2:E$301, 5, FALSE)</f>
        <v>Corporate</v>
      </c>
      <c r="P1792">
        <f>VLOOKUP(C1792, Customers!A$2:C$301, 3, FALSE)</f>
        <v>42</v>
      </c>
      <c r="Q1792" t="str">
        <f>VLOOKUP(E1792, Sales_Reps!A$2:C$31, 3, FALSE)</f>
        <v>South</v>
      </c>
      <c r="R1792">
        <f>VLOOKUP(D1792, Products!A$2:D$61, 4, FALSE)</f>
        <v>1556</v>
      </c>
    </row>
    <row r="1793" spans="1:18" x14ac:dyDescent="0.3">
      <c r="A1793" s="13" t="s">
        <v>2289</v>
      </c>
      <c r="B1793" s="14">
        <v>45404</v>
      </c>
      <c r="C1793" s="13" t="s">
        <v>1875</v>
      </c>
      <c r="D1793" s="13" t="s">
        <v>292</v>
      </c>
      <c r="E1793" s="13" t="s">
        <v>303</v>
      </c>
      <c r="F1793" s="15">
        <v>5</v>
      </c>
      <c r="G1793" s="15">
        <v>620</v>
      </c>
      <c r="H1793" s="15">
        <v>19.399999999999999</v>
      </c>
      <c r="I1793" s="15">
        <v>2498.6</v>
      </c>
      <c r="J1793" s="13" t="s">
        <v>93</v>
      </c>
      <c r="K1793" s="13" t="s">
        <v>94</v>
      </c>
      <c r="L1793">
        <f>IF(COUNTIF(A$2:A1793, A1793)=1, IF(COUNTIF(A$2:A$2001, A1793)&gt;1, 1, 0), 0)</f>
        <v>0</v>
      </c>
      <c r="M1793" t="b">
        <f>VLOOKUP(D1793, Products!A$2:F$61, 6, FALSE)</f>
        <v>1</v>
      </c>
      <c r="N1793" t="str">
        <f>VLOOKUP(D1793, Products!A$2:C$61, 3, FALSE)</f>
        <v>Apparel</v>
      </c>
      <c r="O1793" t="str">
        <f>VLOOKUP(C1793, Customers!A$2:E$301, 5, FALSE)</f>
        <v>Corporate</v>
      </c>
      <c r="P1793">
        <f>VLOOKUP(C1793, Customers!A$2:C$301, 3, FALSE)</f>
        <v>54</v>
      </c>
      <c r="Q1793" t="str">
        <f>VLOOKUP(E1793, Sales_Reps!A$2:C$31, 3, FALSE)</f>
        <v>East</v>
      </c>
      <c r="R1793">
        <f>VLOOKUP(D1793, Products!A$2:D$61, 4, FALSE)</f>
        <v>396</v>
      </c>
    </row>
    <row r="1794" spans="1:18" x14ac:dyDescent="0.3">
      <c r="A1794" s="13" t="s">
        <v>2290</v>
      </c>
      <c r="B1794" s="14">
        <v>45600</v>
      </c>
      <c r="C1794" s="13" t="s">
        <v>390</v>
      </c>
      <c r="D1794" s="13" t="s">
        <v>279</v>
      </c>
      <c r="E1794" s="13" t="s">
        <v>92</v>
      </c>
      <c r="F1794" s="15">
        <v>6</v>
      </c>
      <c r="G1794" s="15">
        <v>2660</v>
      </c>
      <c r="H1794" s="15">
        <v>14.9</v>
      </c>
      <c r="I1794" s="15">
        <v>13581.96</v>
      </c>
      <c r="J1794" s="13" t="s">
        <v>87</v>
      </c>
      <c r="K1794" s="13" t="s">
        <v>88</v>
      </c>
      <c r="L1794">
        <f>IF(COUNTIF(A$2:A1794, A1794)=1, IF(COUNTIF(A$2:A$2001, A1794)&gt;1, 1, 0), 0)</f>
        <v>0</v>
      </c>
      <c r="M1794" t="b">
        <f>VLOOKUP(D1794, Products!A$2:F$61, 6, FALSE)</f>
        <v>0</v>
      </c>
      <c r="N1794" t="str">
        <f>VLOOKUP(D1794, Products!A$2:C$61, 3, FALSE)</f>
        <v>Electronics</v>
      </c>
      <c r="O1794" t="str">
        <f>VLOOKUP(C1794, Customers!A$2:E$301, 5, FALSE)</f>
        <v>SMB</v>
      </c>
      <c r="P1794">
        <f>VLOOKUP(C1794, Customers!A$2:C$301, 3, FALSE)</f>
        <v>54</v>
      </c>
      <c r="Q1794" t="str">
        <f>VLOOKUP(E1794, Sales_Reps!A$2:C$31, 3, FALSE)</f>
        <v>North</v>
      </c>
      <c r="R1794">
        <f>VLOOKUP(D1794, Products!A$2:D$61, 4, FALSE)</f>
        <v>1259</v>
      </c>
    </row>
    <row r="1795" spans="1:18" x14ac:dyDescent="0.3">
      <c r="A1795" s="13" t="s">
        <v>2291</v>
      </c>
      <c r="B1795" s="14">
        <v>45526</v>
      </c>
      <c r="C1795" s="13" t="s">
        <v>870</v>
      </c>
      <c r="D1795" s="13" t="s">
        <v>85</v>
      </c>
      <c r="E1795" s="13" t="s">
        <v>215</v>
      </c>
      <c r="F1795" s="15">
        <v>5</v>
      </c>
      <c r="G1795" s="15">
        <v>3620</v>
      </c>
      <c r="H1795" s="15">
        <v>21</v>
      </c>
      <c r="I1795" s="15">
        <v>14299</v>
      </c>
      <c r="J1795" s="13" t="s">
        <v>140</v>
      </c>
      <c r="K1795" s="13" t="s">
        <v>117</v>
      </c>
      <c r="L1795">
        <f>IF(COUNTIF(A$2:A1795, A1795)=1, IF(COUNTIF(A$2:A$2001, A1795)&gt;1, 1, 0), 0)</f>
        <v>0</v>
      </c>
      <c r="M1795" t="b">
        <f>VLOOKUP(D1795, Products!A$2:F$61, 6, FALSE)</f>
        <v>1</v>
      </c>
      <c r="N1795" t="str">
        <f>VLOOKUP(D1795, Products!A$2:C$61, 3, FALSE)</f>
        <v>Apparel</v>
      </c>
      <c r="O1795" t="str">
        <f>VLOOKUP(C1795, Customers!A$2:E$301, 5, FALSE)</f>
        <v>Retail</v>
      </c>
      <c r="P1795">
        <f>VLOOKUP(C1795, Customers!A$2:C$301, 3, FALSE)</f>
        <v>47</v>
      </c>
      <c r="Q1795" t="str">
        <f>VLOOKUP(E1795, Sales_Reps!A$2:C$31, 3, FALSE)</f>
        <v>North</v>
      </c>
      <c r="R1795">
        <f>VLOOKUP(D1795, Products!A$2:D$61, 4, FALSE)</f>
        <v>2509</v>
      </c>
    </row>
    <row r="1796" spans="1:18" x14ac:dyDescent="0.3">
      <c r="A1796" s="13" t="s">
        <v>2292</v>
      </c>
      <c r="B1796" s="14">
        <v>45580</v>
      </c>
      <c r="C1796" s="13" t="s">
        <v>1664</v>
      </c>
      <c r="D1796" s="13" t="s">
        <v>237</v>
      </c>
      <c r="E1796" s="13" t="s">
        <v>158</v>
      </c>
      <c r="F1796" s="15">
        <v>1</v>
      </c>
      <c r="G1796" s="15">
        <v>3640</v>
      </c>
      <c r="H1796" s="15">
        <v>15.8</v>
      </c>
      <c r="I1796" s="15">
        <v>3064.88</v>
      </c>
      <c r="J1796" s="13" t="s">
        <v>87</v>
      </c>
      <c r="K1796" s="13" t="s">
        <v>117</v>
      </c>
      <c r="L1796">
        <f>IF(COUNTIF(A$2:A1796, A1796)=1, IF(COUNTIF(A$2:A$2001, A1796)&gt;1, 1, 0), 0)</f>
        <v>0</v>
      </c>
      <c r="M1796" t="b">
        <f>VLOOKUP(D1796, Products!A$2:F$61, 6, FALSE)</f>
        <v>1</v>
      </c>
      <c r="N1796" t="str">
        <f>VLOOKUP(D1796, Products!A$2:C$61, 3, FALSE)</f>
        <v>Apparel</v>
      </c>
      <c r="O1796" t="str">
        <f>VLOOKUP(C1796, Customers!A$2:E$301, 5, FALSE)</f>
        <v>Retail</v>
      </c>
      <c r="P1796">
        <f>VLOOKUP(C1796, Customers!A$2:C$301, 3, FALSE)</f>
        <v>48</v>
      </c>
      <c r="Q1796" t="str">
        <f>VLOOKUP(E1796, Sales_Reps!A$2:C$31, 3, FALSE)</f>
        <v>East</v>
      </c>
      <c r="R1796">
        <f>VLOOKUP(D1796, Products!A$2:D$61, 4, FALSE)</f>
        <v>2611</v>
      </c>
    </row>
    <row r="1797" spans="1:18" x14ac:dyDescent="0.3">
      <c r="A1797" s="13" t="s">
        <v>2293</v>
      </c>
      <c r="B1797" s="14">
        <v>45444</v>
      </c>
      <c r="C1797" s="13" t="s">
        <v>762</v>
      </c>
      <c r="D1797" s="13" t="s">
        <v>267</v>
      </c>
      <c r="E1797" s="13" t="s">
        <v>86</v>
      </c>
      <c r="F1797" s="15">
        <v>1</v>
      </c>
      <c r="G1797" s="15">
        <v>1220</v>
      </c>
      <c r="H1797" s="15">
        <v>0.6</v>
      </c>
      <c r="I1797" s="15">
        <v>1212.68</v>
      </c>
      <c r="J1797" s="13" t="s">
        <v>144</v>
      </c>
      <c r="K1797" s="13" t="s">
        <v>133</v>
      </c>
      <c r="L1797">
        <f>IF(COUNTIF(A$2:A1797, A1797)=1, IF(COUNTIF(A$2:A$2001, A1797)&gt;1, 1, 0), 0)</f>
        <v>0</v>
      </c>
      <c r="M1797" t="b">
        <f>VLOOKUP(D1797, Products!A$2:F$61, 6, FALSE)</f>
        <v>1</v>
      </c>
      <c r="N1797" t="str">
        <f>VLOOKUP(D1797, Products!A$2:C$61, 3, FALSE)</f>
        <v>Electronics</v>
      </c>
      <c r="O1797" t="str">
        <f>VLOOKUP(C1797, Customers!A$2:E$301, 5, FALSE)</f>
        <v>Retail</v>
      </c>
      <c r="P1797">
        <f>VLOOKUP(C1797, Customers!A$2:C$301, 3, FALSE)</f>
        <v>52</v>
      </c>
      <c r="Q1797" t="str">
        <f>VLOOKUP(E1797, Sales_Reps!A$2:C$31, 3, FALSE)</f>
        <v>North</v>
      </c>
      <c r="R1797">
        <f>VLOOKUP(D1797, Products!A$2:D$61, 4, FALSE)</f>
        <v>517</v>
      </c>
    </row>
    <row r="1798" spans="1:18" x14ac:dyDescent="0.3">
      <c r="A1798" s="13" t="s">
        <v>2294</v>
      </c>
      <c r="B1798" s="14">
        <v>45350</v>
      </c>
      <c r="C1798" s="13" t="s">
        <v>153</v>
      </c>
      <c r="D1798" s="13" t="s">
        <v>167</v>
      </c>
      <c r="E1798" s="13" t="s">
        <v>297</v>
      </c>
      <c r="F1798" s="15">
        <v>10</v>
      </c>
      <c r="G1798" s="15">
        <v>2480</v>
      </c>
      <c r="H1798" s="15">
        <v>0.6</v>
      </c>
      <c r="I1798" s="15">
        <v>24651.200000000001</v>
      </c>
      <c r="J1798" s="13" t="s">
        <v>87</v>
      </c>
      <c r="K1798" s="13" t="s">
        <v>117</v>
      </c>
      <c r="L1798">
        <f>IF(COUNTIF(A$2:A1798, A1798)=1, IF(COUNTIF(A$2:A$2001, A1798)&gt;1, 1, 0), 0)</f>
        <v>0</v>
      </c>
      <c r="M1798" t="b">
        <f>VLOOKUP(D1798, Products!A$2:F$61, 6, FALSE)</f>
        <v>1</v>
      </c>
      <c r="N1798" t="str">
        <f>VLOOKUP(D1798, Products!A$2:C$61, 3, FALSE)</f>
        <v>Apparel</v>
      </c>
      <c r="O1798" t="str">
        <f>VLOOKUP(C1798, Customers!A$2:E$301, 5, FALSE)</f>
        <v>SMB</v>
      </c>
      <c r="P1798">
        <f>VLOOKUP(C1798, Customers!A$2:C$301, 3, FALSE)</f>
        <v>46</v>
      </c>
      <c r="Q1798" t="str">
        <f>VLOOKUP(E1798, Sales_Reps!A$2:C$31, 3, FALSE)</f>
        <v>North</v>
      </c>
      <c r="R1798">
        <f>VLOOKUP(D1798, Products!A$2:D$61, 4, FALSE)</f>
        <v>1173</v>
      </c>
    </row>
    <row r="1799" spans="1:18" x14ac:dyDescent="0.3">
      <c r="A1799" s="13" t="s">
        <v>2295</v>
      </c>
      <c r="B1799" s="14">
        <v>45634</v>
      </c>
      <c r="C1799" s="13" t="s">
        <v>602</v>
      </c>
      <c r="D1799" s="13" t="s">
        <v>176</v>
      </c>
      <c r="E1799" s="13" t="s">
        <v>343</v>
      </c>
      <c r="F1799" s="15">
        <v>9</v>
      </c>
      <c r="G1799" s="15">
        <v>1650</v>
      </c>
      <c r="H1799" s="15">
        <v>26.8</v>
      </c>
      <c r="I1799" s="15">
        <v>10870.2</v>
      </c>
      <c r="J1799" s="13" t="s">
        <v>87</v>
      </c>
      <c r="K1799" s="13" t="s">
        <v>94</v>
      </c>
      <c r="L1799">
        <f>IF(COUNTIF(A$2:A1799, A1799)=1, IF(COUNTIF(A$2:A$2001, A1799)&gt;1, 1, 0), 0)</f>
        <v>0</v>
      </c>
      <c r="M1799" t="b">
        <f>VLOOKUP(D1799, Products!A$2:F$61, 6, FALSE)</f>
        <v>1</v>
      </c>
      <c r="N1799" t="str">
        <f>VLOOKUP(D1799, Products!A$2:C$61, 3, FALSE)</f>
        <v>Beauty</v>
      </c>
      <c r="O1799" t="str">
        <f>VLOOKUP(C1799, Customers!A$2:E$301, 5, FALSE)</f>
        <v>Retail</v>
      </c>
      <c r="P1799">
        <f>VLOOKUP(C1799, Customers!A$2:C$301, 3, FALSE)</f>
        <v>61</v>
      </c>
      <c r="Q1799" t="str">
        <f>VLOOKUP(E1799, Sales_Reps!A$2:C$31, 3, FALSE)</f>
        <v>West</v>
      </c>
      <c r="R1799">
        <f>VLOOKUP(D1799, Products!A$2:D$61, 4, FALSE)</f>
        <v>1222</v>
      </c>
    </row>
    <row r="1800" spans="1:18" x14ac:dyDescent="0.3">
      <c r="A1800" s="13" t="s">
        <v>2296</v>
      </c>
      <c r="B1800" s="14">
        <v>45560</v>
      </c>
      <c r="C1800" s="13" t="s">
        <v>717</v>
      </c>
      <c r="D1800" s="13" t="s">
        <v>276</v>
      </c>
      <c r="E1800" s="13" t="s">
        <v>107</v>
      </c>
      <c r="F1800" s="15">
        <v>10</v>
      </c>
      <c r="G1800" s="15">
        <v>3020</v>
      </c>
      <c r="H1800" s="15">
        <v>2.6</v>
      </c>
      <c r="I1800" s="15">
        <v>29414.799999999999</v>
      </c>
      <c r="J1800" s="13" t="s">
        <v>87</v>
      </c>
      <c r="K1800" s="13" t="s">
        <v>94</v>
      </c>
      <c r="L1800">
        <f>IF(COUNTIF(A$2:A1800, A1800)=1, IF(COUNTIF(A$2:A$2001, A1800)&gt;1, 1, 0), 0)</f>
        <v>0</v>
      </c>
      <c r="M1800" t="b">
        <f>VLOOKUP(D1800, Products!A$2:F$61, 6, FALSE)</f>
        <v>1</v>
      </c>
      <c r="N1800" t="str">
        <f>VLOOKUP(D1800, Products!A$2:C$61, 3, FALSE)</f>
        <v>Beauty</v>
      </c>
      <c r="O1800" t="str">
        <f>VLOOKUP(C1800, Customers!A$2:E$301, 5, FALSE)</f>
        <v>Retail</v>
      </c>
      <c r="P1800">
        <f>VLOOKUP(C1800, Customers!A$2:C$301, 3, FALSE)</f>
        <v>24</v>
      </c>
      <c r="Q1800" t="str">
        <f>VLOOKUP(E1800, Sales_Reps!A$2:C$31, 3, FALSE)</f>
        <v>North</v>
      </c>
      <c r="R1800">
        <f>VLOOKUP(D1800, Products!A$2:D$61, 4, FALSE)</f>
        <v>1626</v>
      </c>
    </row>
    <row r="1801" spans="1:18" x14ac:dyDescent="0.3">
      <c r="A1801" s="13" t="s">
        <v>2297</v>
      </c>
      <c r="B1801" s="14">
        <v>45544</v>
      </c>
      <c r="C1801" s="13" t="s">
        <v>870</v>
      </c>
      <c r="D1801" s="13" t="s">
        <v>452</v>
      </c>
      <c r="E1801" s="13" t="s">
        <v>98</v>
      </c>
      <c r="F1801" s="15">
        <v>5</v>
      </c>
      <c r="G1801" s="15">
        <v>3450</v>
      </c>
      <c r="H1801" s="15">
        <v>25.3</v>
      </c>
      <c r="I1801" s="15">
        <v>12885.75</v>
      </c>
      <c r="J1801" s="13" t="s">
        <v>87</v>
      </c>
      <c r="K1801" s="13" t="s">
        <v>117</v>
      </c>
      <c r="L1801">
        <f>IF(COUNTIF(A$2:A1801, A1801)=1, IF(COUNTIF(A$2:A$2001, A1801)&gt;1, 1, 0), 0)</f>
        <v>0</v>
      </c>
      <c r="M1801" t="b">
        <f>VLOOKUP(D1801, Products!A$2:F$61, 6, FALSE)</f>
        <v>1</v>
      </c>
      <c r="N1801" t="str">
        <f>VLOOKUP(D1801, Products!A$2:C$61, 3, FALSE)</f>
        <v>Apparel</v>
      </c>
      <c r="O1801" t="str">
        <f>VLOOKUP(C1801, Customers!A$2:E$301, 5, FALSE)</f>
        <v>Retail</v>
      </c>
      <c r="P1801">
        <f>VLOOKUP(C1801, Customers!A$2:C$301, 3, FALSE)</f>
        <v>47</v>
      </c>
      <c r="Q1801" t="str">
        <f>VLOOKUP(E1801, Sales_Reps!A$2:C$31, 3, FALSE)</f>
        <v>South</v>
      </c>
      <c r="R1801">
        <f>VLOOKUP(D1801, Products!A$2:D$61, 4, FALSE)</f>
        <v>1748</v>
      </c>
    </row>
    <row r="1802" spans="1:18" x14ac:dyDescent="0.3">
      <c r="A1802" s="13" t="s">
        <v>2298</v>
      </c>
      <c r="B1802" s="14">
        <v>45457</v>
      </c>
      <c r="C1802" s="13" t="s">
        <v>208</v>
      </c>
      <c r="D1802" s="13" t="s">
        <v>267</v>
      </c>
      <c r="E1802" s="13" t="s">
        <v>121</v>
      </c>
      <c r="F1802" s="15">
        <v>7</v>
      </c>
      <c r="G1802" s="15">
        <v>1220</v>
      </c>
      <c r="H1802" s="15">
        <v>13.1</v>
      </c>
      <c r="I1802" s="15">
        <v>7421.26</v>
      </c>
      <c r="J1802" s="13" t="s">
        <v>87</v>
      </c>
      <c r="K1802" s="13" t="s">
        <v>133</v>
      </c>
      <c r="L1802">
        <f>IF(COUNTIF(A$2:A1802, A1802)=1, IF(COUNTIF(A$2:A$2001, A1802)&gt;1, 1, 0), 0)</f>
        <v>0</v>
      </c>
      <c r="M1802" t="b">
        <f>VLOOKUP(D1802, Products!A$2:F$61, 6, FALSE)</f>
        <v>1</v>
      </c>
      <c r="N1802" t="str">
        <f>VLOOKUP(D1802, Products!A$2:C$61, 3, FALSE)</f>
        <v>Electronics</v>
      </c>
      <c r="O1802" t="str">
        <f>VLOOKUP(C1802, Customers!A$2:E$301, 5, FALSE)</f>
        <v>Retail</v>
      </c>
      <c r="P1802">
        <f>VLOOKUP(C1802, Customers!A$2:C$301, 3, FALSE)</f>
        <v>26</v>
      </c>
      <c r="Q1802" t="str">
        <f>VLOOKUP(E1802, Sales_Reps!A$2:C$31, 3, FALSE)</f>
        <v>East</v>
      </c>
      <c r="R1802">
        <f>VLOOKUP(D1802, Products!A$2:D$61, 4, FALSE)</f>
        <v>517</v>
      </c>
    </row>
    <row r="1803" spans="1:18" x14ac:dyDescent="0.3">
      <c r="A1803" s="13" t="s">
        <v>2299</v>
      </c>
      <c r="B1803" s="14">
        <v>45578</v>
      </c>
      <c r="C1803" s="13" t="s">
        <v>206</v>
      </c>
      <c r="D1803" s="13" t="s">
        <v>234</v>
      </c>
      <c r="E1803" s="13" t="s">
        <v>92</v>
      </c>
      <c r="F1803" s="15">
        <v>10</v>
      </c>
      <c r="G1803" s="15">
        <v>3780</v>
      </c>
      <c r="H1803" s="15">
        <v>23.7</v>
      </c>
      <c r="I1803" s="15">
        <v>28841.4</v>
      </c>
      <c r="J1803" s="13" t="s">
        <v>87</v>
      </c>
      <c r="K1803" s="13" t="s">
        <v>133</v>
      </c>
      <c r="L1803">
        <f>IF(COUNTIF(A$2:A1803, A1803)=1, IF(COUNTIF(A$2:A$2001, A1803)&gt;1, 1, 0), 0)</f>
        <v>0</v>
      </c>
      <c r="M1803" t="b">
        <f>VLOOKUP(D1803, Products!A$2:F$61, 6, FALSE)</f>
        <v>1</v>
      </c>
      <c r="N1803" t="str">
        <f>VLOOKUP(D1803, Products!A$2:C$61, 3, FALSE)</f>
        <v>Grocery</v>
      </c>
      <c r="O1803" t="str">
        <f>VLOOKUP(C1803, Customers!A$2:E$301, 5, FALSE)</f>
        <v>SMB</v>
      </c>
      <c r="P1803">
        <f>VLOOKUP(C1803, Customers!A$2:C$301, 3, FALSE)</f>
        <v>40</v>
      </c>
      <c r="Q1803" t="str">
        <f>VLOOKUP(E1803, Sales_Reps!A$2:C$31, 3, FALSE)</f>
        <v>North</v>
      </c>
      <c r="R1803">
        <f>VLOOKUP(D1803, Products!A$2:D$61, 4, FALSE)</f>
        <v>2436</v>
      </c>
    </row>
    <row r="1804" spans="1:18" x14ac:dyDescent="0.3">
      <c r="A1804" s="13" t="s">
        <v>2300</v>
      </c>
      <c r="B1804" s="14">
        <v>45405</v>
      </c>
      <c r="C1804" s="13" t="s">
        <v>420</v>
      </c>
      <c r="D1804" s="13" t="s">
        <v>279</v>
      </c>
      <c r="E1804" s="13" t="s">
        <v>297</v>
      </c>
      <c r="F1804" s="15">
        <v>8</v>
      </c>
      <c r="G1804" s="15">
        <v>2660</v>
      </c>
      <c r="H1804" s="15">
        <v>16.100000000000001</v>
      </c>
      <c r="I1804" s="15">
        <v>17853.919999999998</v>
      </c>
      <c r="J1804" s="13" t="s">
        <v>87</v>
      </c>
      <c r="K1804" s="13" t="s">
        <v>99</v>
      </c>
      <c r="L1804">
        <f>IF(COUNTIF(A$2:A1804, A1804)=1, IF(COUNTIF(A$2:A$2001, A1804)&gt;1, 1, 0), 0)</f>
        <v>0</v>
      </c>
      <c r="M1804" t="b">
        <f>VLOOKUP(D1804, Products!A$2:F$61, 6, FALSE)</f>
        <v>0</v>
      </c>
      <c r="N1804" t="str">
        <f>VLOOKUP(D1804, Products!A$2:C$61, 3, FALSE)</f>
        <v>Electronics</v>
      </c>
      <c r="O1804" t="str">
        <f>VLOOKUP(C1804, Customers!A$2:E$301, 5, FALSE)</f>
        <v>Retail</v>
      </c>
      <c r="P1804">
        <f>VLOOKUP(C1804, Customers!A$2:C$301, 3, FALSE)</f>
        <v>44</v>
      </c>
      <c r="Q1804" t="str">
        <f>VLOOKUP(E1804, Sales_Reps!A$2:C$31, 3, FALSE)</f>
        <v>North</v>
      </c>
      <c r="R1804">
        <f>VLOOKUP(D1804, Products!A$2:D$61, 4, FALSE)</f>
        <v>1259</v>
      </c>
    </row>
    <row r="1805" spans="1:18" x14ac:dyDescent="0.3">
      <c r="A1805" s="13" t="s">
        <v>2301</v>
      </c>
      <c r="B1805" s="14">
        <v>45338</v>
      </c>
      <c r="C1805" s="13" t="s">
        <v>312</v>
      </c>
      <c r="D1805" s="13" t="s">
        <v>502</v>
      </c>
      <c r="E1805" s="13" t="s">
        <v>107</v>
      </c>
      <c r="F1805" s="15">
        <v>6</v>
      </c>
      <c r="G1805" s="15">
        <v>1090</v>
      </c>
      <c r="H1805" s="15">
        <v>20</v>
      </c>
      <c r="I1805" s="15">
        <v>5232</v>
      </c>
      <c r="J1805" s="13" t="s">
        <v>93</v>
      </c>
      <c r="K1805" s="13" t="s">
        <v>133</v>
      </c>
      <c r="L1805">
        <f>IF(COUNTIF(A$2:A1805, A1805)=1, IF(COUNTIF(A$2:A$2001, A1805)&gt;1, 1, 0), 0)</f>
        <v>0</v>
      </c>
      <c r="M1805" t="b">
        <f>VLOOKUP(D1805, Products!A$2:F$61, 6, FALSE)</f>
        <v>1</v>
      </c>
      <c r="N1805" t="str">
        <f>VLOOKUP(D1805, Products!A$2:C$61, 3, FALSE)</f>
        <v>Home</v>
      </c>
      <c r="O1805" t="str">
        <f>VLOOKUP(C1805, Customers!A$2:E$301, 5, FALSE)</f>
        <v>Retail</v>
      </c>
      <c r="P1805">
        <f>VLOOKUP(C1805, Customers!A$2:C$301, 3, FALSE)</f>
        <v>46</v>
      </c>
      <c r="Q1805" t="str">
        <f>VLOOKUP(E1805, Sales_Reps!A$2:C$31, 3, FALSE)</f>
        <v>North</v>
      </c>
      <c r="R1805">
        <f>VLOOKUP(D1805, Products!A$2:D$61, 4, FALSE)</f>
        <v>464</v>
      </c>
    </row>
    <row r="1806" spans="1:18" x14ac:dyDescent="0.3">
      <c r="A1806" s="13" t="s">
        <v>2302</v>
      </c>
      <c r="B1806" s="14">
        <v>45324</v>
      </c>
      <c r="C1806" s="13" t="s">
        <v>2303</v>
      </c>
      <c r="D1806" s="13" t="s">
        <v>203</v>
      </c>
      <c r="E1806" s="13" t="s">
        <v>346</v>
      </c>
      <c r="F1806" s="15">
        <v>2</v>
      </c>
      <c r="G1806" s="15">
        <v>660</v>
      </c>
      <c r="H1806" s="15">
        <v>18.7</v>
      </c>
      <c r="I1806" s="15">
        <v>1073.1600000000001</v>
      </c>
      <c r="J1806" s="13" t="s">
        <v>87</v>
      </c>
      <c r="K1806" s="13" t="s">
        <v>112</v>
      </c>
      <c r="L1806">
        <f>IF(COUNTIF(A$2:A1806, A1806)=1, IF(COUNTIF(A$2:A$2001, A1806)&gt;1, 1, 0), 0)</f>
        <v>0</v>
      </c>
      <c r="M1806" t="b">
        <f>VLOOKUP(D1806, Products!A$2:F$61, 6, FALSE)</f>
        <v>1</v>
      </c>
      <c r="N1806" t="str">
        <f>VLOOKUP(D1806, Products!A$2:C$61, 3, FALSE)</f>
        <v>Home</v>
      </c>
      <c r="O1806" t="e">
        <f>VLOOKUP(C1806, Customers!A$2:E$301, 5, FALSE)</f>
        <v>#N/A</v>
      </c>
      <c r="P1806" t="e">
        <f>VLOOKUP(C1806, Customers!A$2:C$301, 3, FALSE)</f>
        <v>#N/A</v>
      </c>
      <c r="Q1806" t="str">
        <f>VLOOKUP(E1806, Sales_Reps!A$2:C$31, 3, FALSE)</f>
        <v>South</v>
      </c>
      <c r="R1806">
        <f>VLOOKUP(D1806, Products!A$2:D$61, 4, FALSE)</f>
        <v>329</v>
      </c>
    </row>
    <row r="1807" spans="1:18" x14ac:dyDescent="0.3">
      <c r="A1807" s="13" t="s">
        <v>2304</v>
      </c>
      <c r="B1807" s="14">
        <v>45332</v>
      </c>
      <c r="C1807" s="13" t="s">
        <v>1072</v>
      </c>
      <c r="D1807" s="13" t="s">
        <v>502</v>
      </c>
      <c r="E1807" s="13" t="s">
        <v>188</v>
      </c>
      <c r="F1807" s="15">
        <v>7</v>
      </c>
      <c r="G1807" s="15">
        <v>1090</v>
      </c>
      <c r="H1807" s="15">
        <v>19.399999999999999</v>
      </c>
      <c r="I1807" s="15">
        <v>6149.78</v>
      </c>
      <c r="J1807" s="13" t="s">
        <v>93</v>
      </c>
      <c r="K1807" s="13" t="s">
        <v>112</v>
      </c>
      <c r="L1807">
        <f>IF(COUNTIF(A$2:A1807, A1807)=1, IF(COUNTIF(A$2:A$2001, A1807)&gt;1, 1, 0), 0)</f>
        <v>0</v>
      </c>
      <c r="M1807" t="b">
        <f>VLOOKUP(D1807, Products!A$2:F$61, 6, FALSE)</f>
        <v>1</v>
      </c>
      <c r="N1807" t="str">
        <f>VLOOKUP(D1807, Products!A$2:C$61, 3, FALSE)</f>
        <v>Home</v>
      </c>
      <c r="O1807" t="str">
        <f>VLOOKUP(C1807, Customers!A$2:E$301, 5, FALSE)</f>
        <v>SMB</v>
      </c>
      <c r="P1807">
        <f>VLOOKUP(C1807, Customers!A$2:C$301, 3, FALSE)</f>
        <v>53</v>
      </c>
      <c r="Q1807" t="str">
        <f>VLOOKUP(E1807, Sales_Reps!A$2:C$31, 3, FALSE)</f>
        <v>South</v>
      </c>
      <c r="R1807">
        <f>VLOOKUP(D1807, Products!A$2:D$61, 4, FALSE)</f>
        <v>464</v>
      </c>
    </row>
    <row r="1808" spans="1:18" x14ac:dyDescent="0.3">
      <c r="A1808" s="13" t="s">
        <v>2305</v>
      </c>
      <c r="B1808" s="14">
        <v>45429</v>
      </c>
      <c r="C1808" s="13" t="s">
        <v>310</v>
      </c>
      <c r="D1808" s="13" t="s">
        <v>338</v>
      </c>
      <c r="E1808" s="13" t="s">
        <v>188</v>
      </c>
      <c r="F1808" s="15">
        <v>3</v>
      </c>
      <c r="G1808" s="15">
        <v>2210</v>
      </c>
      <c r="H1808" s="15">
        <v>11</v>
      </c>
      <c r="I1808" s="15">
        <v>5900.7</v>
      </c>
      <c r="J1808" s="13" t="s">
        <v>87</v>
      </c>
      <c r="K1808" s="13" t="s">
        <v>117</v>
      </c>
      <c r="L1808">
        <f>IF(COUNTIF(A$2:A1808, A1808)=1, IF(COUNTIF(A$2:A$2001, A1808)&gt;1, 1, 0), 0)</f>
        <v>0</v>
      </c>
      <c r="M1808" t="b">
        <f>VLOOKUP(D1808, Products!A$2:F$61, 6, FALSE)</f>
        <v>1</v>
      </c>
      <c r="N1808" t="str">
        <f>VLOOKUP(D1808, Products!A$2:C$61, 3, FALSE)</f>
        <v>Grocery</v>
      </c>
      <c r="O1808" t="str">
        <f>VLOOKUP(C1808, Customers!A$2:E$301, 5, FALSE)</f>
        <v>Retail</v>
      </c>
      <c r="P1808">
        <f>VLOOKUP(C1808, Customers!A$2:C$301, 3, FALSE)</f>
        <v>42</v>
      </c>
      <c r="Q1808" t="str">
        <f>VLOOKUP(E1808, Sales_Reps!A$2:C$31, 3, FALSE)</f>
        <v>South</v>
      </c>
      <c r="R1808">
        <f>VLOOKUP(D1808, Products!A$2:D$61, 4, FALSE)</f>
        <v>1010</v>
      </c>
    </row>
    <row r="1809" spans="1:18" x14ac:dyDescent="0.3">
      <c r="A1809" s="13" t="s">
        <v>2306</v>
      </c>
      <c r="B1809" s="14">
        <v>45420</v>
      </c>
      <c r="C1809" s="13" t="s">
        <v>178</v>
      </c>
      <c r="D1809" s="13" t="s">
        <v>408</v>
      </c>
      <c r="E1809" s="13" t="s">
        <v>229</v>
      </c>
      <c r="F1809" s="15">
        <v>2</v>
      </c>
      <c r="G1809" s="15">
        <v>3970</v>
      </c>
      <c r="H1809" s="15">
        <v>24.9</v>
      </c>
      <c r="I1809" s="15">
        <v>5962.94</v>
      </c>
      <c r="J1809" s="13" t="s">
        <v>87</v>
      </c>
      <c r="K1809" s="13" t="s">
        <v>94</v>
      </c>
      <c r="L1809">
        <f>IF(COUNTIF(A$2:A1809, A1809)=1, IF(COUNTIF(A$2:A$2001, A1809)&gt;1, 1, 0), 0)</f>
        <v>0</v>
      </c>
      <c r="M1809" t="b">
        <f>VLOOKUP(D1809, Products!A$2:F$61, 6, FALSE)</f>
        <v>1</v>
      </c>
      <c r="N1809" t="str">
        <f>VLOOKUP(D1809, Products!A$2:C$61, 3, FALSE)</f>
        <v>Electronics</v>
      </c>
      <c r="O1809" t="str">
        <f>VLOOKUP(C1809, Customers!A$2:E$301, 5, FALSE)</f>
        <v>Corporate</v>
      </c>
      <c r="P1809">
        <f>VLOOKUP(C1809, Customers!A$2:C$301, 3, FALSE)</f>
        <v>55</v>
      </c>
      <c r="Q1809" t="str">
        <f>VLOOKUP(E1809, Sales_Reps!A$2:C$31, 3, FALSE)</f>
        <v>West</v>
      </c>
      <c r="R1809">
        <f>VLOOKUP(D1809, Products!A$2:D$61, 4, FALSE)</f>
        <v>2865</v>
      </c>
    </row>
    <row r="1810" spans="1:18" x14ac:dyDescent="0.3">
      <c r="A1810" s="13" t="s">
        <v>2307</v>
      </c>
      <c r="B1810" s="14">
        <v>45403</v>
      </c>
      <c r="C1810" s="13" t="s">
        <v>507</v>
      </c>
      <c r="D1810" s="13" t="s">
        <v>270</v>
      </c>
      <c r="E1810" s="13" t="s">
        <v>158</v>
      </c>
      <c r="F1810" s="15">
        <v>7</v>
      </c>
      <c r="G1810" s="15">
        <v>4610</v>
      </c>
      <c r="H1810" s="15">
        <v>6.3</v>
      </c>
      <c r="I1810" s="15">
        <v>30236.99</v>
      </c>
      <c r="J1810" s="13" t="s">
        <v>87</v>
      </c>
      <c r="K1810" s="13" t="s">
        <v>88</v>
      </c>
      <c r="L1810">
        <f>IF(COUNTIF(A$2:A1810, A1810)=1, IF(COUNTIF(A$2:A$2001, A1810)&gt;1, 1, 0), 0)</f>
        <v>0</v>
      </c>
      <c r="M1810" t="b">
        <f>VLOOKUP(D1810, Products!A$2:F$61, 6, FALSE)</f>
        <v>1</v>
      </c>
      <c r="N1810" t="str">
        <f>VLOOKUP(D1810, Products!A$2:C$61, 3, FALSE)</f>
        <v>Home</v>
      </c>
      <c r="O1810" t="str">
        <f>VLOOKUP(C1810, Customers!A$2:E$301, 5, FALSE)</f>
        <v>Retail</v>
      </c>
      <c r="P1810">
        <f>VLOOKUP(C1810, Customers!A$2:C$301, 3, FALSE)</f>
        <v>59</v>
      </c>
      <c r="Q1810" t="str">
        <f>VLOOKUP(E1810, Sales_Reps!A$2:C$31, 3, FALSE)</f>
        <v>East</v>
      </c>
      <c r="R1810">
        <f>VLOOKUP(D1810, Products!A$2:D$61, 4, FALSE)</f>
        <v>1850</v>
      </c>
    </row>
    <row r="1811" spans="1:18" x14ac:dyDescent="0.3">
      <c r="A1811" s="13" t="s">
        <v>2308</v>
      </c>
      <c r="B1811" s="14">
        <v>45403</v>
      </c>
      <c r="C1811" s="13" t="s">
        <v>522</v>
      </c>
      <c r="D1811" s="13" t="s">
        <v>380</v>
      </c>
      <c r="E1811" s="13" t="s">
        <v>201</v>
      </c>
      <c r="F1811" s="15">
        <v>10</v>
      </c>
      <c r="G1811" s="15">
        <v>960</v>
      </c>
      <c r="H1811" s="15">
        <v>14.6</v>
      </c>
      <c r="I1811" s="15">
        <v>8198.4</v>
      </c>
      <c r="J1811" s="13" t="s">
        <v>87</v>
      </c>
      <c r="K1811" s="13" t="s">
        <v>99</v>
      </c>
      <c r="L1811">
        <f>IF(COUNTIF(A$2:A1811, A1811)=1, IF(COUNTIF(A$2:A$2001, A1811)&gt;1, 1, 0), 0)</f>
        <v>0</v>
      </c>
      <c r="M1811" t="b">
        <f>VLOOKUP(D1811, Products!A$2:F$61, 6, FALSE)</f>
        <v>1</v>
      </c>
      <c r="N1811" t="str">
        <f>VLOOKUP(D1811, Products!A$2:C$61, 3, FALSE)</f>
        <v>Beauty</v>
      </c>
      <c r="O1811" t="str">
        <f>VLOOKUP(C1811, Customers!A$2:E$301, 5, FALSE)</f>
        <v>SMB</v>
      </c>
      <c r="P1811">
        <f>VLOOKUP(C1811, Customers!A$2:C$301, 3, FALSE)</f>
        <v>55</v>
      </c>
      <c r="Q1811" t="str">
        <f>VLOOKUP(E1811, Sales_Reps!A$2:C$31, 3, FALSE)</f>
        <v>West</v>
      </c>
      <c r="R1811">
        <f>VLOOKUP(D1811, Products!A$2:D$61, 4, FALSE)</f>
        <v>675</v>
      </c>
    </row>
    <row r="1812" spans="1:18" x14ac:dyDescent="0.3">
      <c r="A1812" s="13" t="s">
        <v>2309</v>
      </c>
      <c r="B1812" s="14">
        <v>45600</v>
      </c>
      <c r="C1812" s="13" t="s">
        <v>231</v>
      </c>
      <c r="D1812" s="13" t="s">
        <v>276</v>
      </c>
      <c r="E1812" s="13" t="s">
        <v>346</v>
      </c>
      <c r="F1812" s="15">
        <v>8</v>
      </c>
      <c r="G1812" s="15">
        <v>3020</v>
      </c>
      <c r="H1812" s="15">
        <v>14.5</v>
      </c>
      <c r="I1812" s="15">
        <v>20656.8</v>
      </c>
      <c r="J1812" s="13" t="s">
        <v>87</v>
      </c>
      <c r="K1812" s="13" t="s">
        <v>117</v>
      </c>
      <c r="L1812">
        <f>IF(COUNTIF(A$2:A1812, A1812)=1, IF(COUNTIF(A$2:A$2001, A1812)&gt;1, 1, 0), 0)</f>
        <v>0</v>
      </c>
      <c r="M1812" t="b">
        <f>VLOOKUP(D1812, Products!A$2:F$61, 6, FALSE)</f>
        <v>1</v>
      </c>
      <c r="N1812" t="str">
        <f>VLOOKUP(D1812, Products!A$2:C$61, 3, FALSE)</f>
        <v>Beauty</v>
      </c>
      <c r="O1812" t="str">
        <f>VLOOKUP(C1812, Customers!A$2:E$301, 5, FALSE)</f>
        <v>SMB</v>
      </c>
      <c r="P1812">
        <f>VLOOKUP(C1812, Customers!A$2:C$301, 3, FALSE)</f>
        <v>64</v>
      </c>
      <c r="Q1812" t="str">
        <f>VLOOKUP(E1812, Sales_Reps!A$2:C$31, 3, FALSE)</f>
        <v>South</v>
      </c>
      <c r="R1812">
        <f>VLOOKUP(D1812, Products!A$2:D$61, 4, FALSE)</f>
        <v>1626</v>
      </c>
    </row>
    <row r="1813" spans="1:18" x14ac:dyDescent="0.3">
      <c r="A1813" s="13" t="s">
        <v>2310</v>
      </c>
      <c r="B1813" s="14">
        <v>45629</v>
      </c>
      <c r="C1813" s="13" t="s">
        <v>142</v>
      </c>
      <c r="D1813" s="13" t="s">
        <v>167</v>
      </c>
      <c r="E1813" s="13" t="s">
        <v>201</v>
      </c>
      <c r="F1813" s="15">
        <v>7</v>
      </c>
      <c r="G1813" s="15">
        <v>2480</v>
      </c>
      <c r="H1813" s="15">
        <v>17.3</v>
      </c>
      <c r="I1813" s="15">
        <v>14356.72</v>
      </c>
      <c r="J1813" s="13" t="s">
        <v>87</v>
      </c>
      <c r="K1813" s="13" t="s">
        <v>88</v>
      </c>
      <c r="L1813">
        <f>IF(COUNTIF(A$2:A1813, A1813)=1, IF(COUNTIF(A$2:A$2001, A1813)&gt;1, 1, 0), 0)</f>
        <v>0</v>
      </c>
      <c r="M1813" t="b">
        <f>VLOOKUP(D1813, Products!A$2:F$61, 6, FALSE)</f>
        <v>1</v>
      </c>
      <c r="N1813" t="str">
        <f>VLOOKUP(D1813, Products!A$2:C$61, 3, FALSE)</f>
        <v>Apparel</v>
      </c>
      <c r="O1813" t="str">
        <f>VLOOKUP(C1813, Customers!A$2:E$301, 5, FALSE)</f>
        <v>SMB</v>
      </c>
      <c r="P1813">
        <f>VLOOKUP(C1813, Customers!A$2:C$301, 3, FALSE)</f>
        <v>39</v>
      </c>
      <c r="Q1813" t="str">
        <f>VLOOKUP(E1813, Sales_Reps!A$2:C$31, 3, FALSE)</f>
        <v>West</v>
      </c>
      <c r="R1813">
        <f>VLOOKUP(D1813, Products!A$2:D$61, 4, FALSE)</f>
        <v>1173</v>
      </c>
    </row>
    <row r="1814" spans="1:18" x14ac:dyDescent="0.3">
      <c r="A1814" s="13" t="s">
        <v>2311</v>
      </c>
      <c r="B1814" s="14">
        <v>45330</v>
      </c>
      <c r="C1814" s="13" t="s">
        <v>592</v>
      </c>
      <c r="D1814" s="13" t="s">
        <v>248</v>
      </c>
      <c r="E1814" s="13" t="s">
        <v>252</v>
      </c>
      <c r="F1814" s="15">
        <v>10</v>
      </c>
      <c r="G1814" s="15">
        <v>3870</v>
      </c>
      <c r="H1814" s="15">
        <v>22.4</v>
      </c>
      <c r="I1814" s="15">
        <v>30031.200000000001</v>
      </c>
      <c r="J1814" s="13" t="s">
        <v>93</v>
      </c>
      <c r="K1814" s="13" t="s">
        <v>133</v>
      </c>
      <c r="L1814">
        <f>IF(COUNTIF(A$2:A1814, A1814)=1, IF(COUNTIF(A$2:A$2001, A1814)&gt;1, 1, 0), 0)</f>
        <v>0</v>
      </c>
      <c r="M1814" t="b">
        <f>VLOOKUP(D1814, Products!A$2:F$61, 6, FALSE)</f>
        <v>1</v>
      </c>
      <c r="N1814" t="str">
        <f>VLOOKUP(D1814, Products!A$2:C$61, 3, FALSE)</f>
        <v>Electronics</v>
      </c>
      <c r="O1814" t="str">
        <f>VLOOKUP(C1814, Customers!A$2:E$301, 5, FALSE)</f>
        <v>Retail</v>
      </c>
      <c r="P1814">
        <f>VLOOKUP(C1814, Customers!A$2:C$301, 3, FALSE)</f>
        <v>22</v>
      </c>
      <c r="Q1814" t="str">
        <f>VLOOKUP(E1814, Sales_Reps!A$2:C$31, 3, FALSE)</f>
        <v>South</v>
      </c>
      <c r="R1814">
        <f>VLOOKUP(D1814, Products!A$2:D$61, 4, FALSE)</f>
        <v>1559</v>
      </c>
    </row>
    <row r="1815" spans="1:18" x14ac:dyDescent="0.3">
      <c r="A1815" s="13" t="s">
        <v>2312</v>
      </c>
      <c r="B1815" s="14">
        <v>45551</v>
      </c>
      <c r="C1815" s="13" t="s">
        <v>878</v>
      </c>
      <c r="D1815" s="13" t="s">
        <v>203</v>
      </c>
      <c r="E1815" s="13" t="s">
        <v>285</v>
      </c>
      <c r="F1815" s="15">
        <v>6</v>
      </c>
      <c r="G1815" s="15">
        <v>660</v>
      </c>
      <c r="H1815" s="15">
        <v>27.3</v>
      </c>
      <c r="I1815" s="15">
        <v>2878.92</v>
      </c>
      <c r="J1815" s="13" t="s">
        <v>87</v>
      </c>
      <c r="K1815" s="13" t="s">
        <v>112</v>
      </c>
      <c r="L1815">
        <f>IF(COUNTIF(A$2:A1815, A1815)=1, IF(COUNTIF(A$2:A$2001, A1815)&gt;1, 1, 0), 0)</f>
        <v>0</v>
      </c>
      <c r="M1815" t="b">
        <f>VLOOKUP(D1815, Products!A$2:F$61, 6, FALSE)</f>
        <v>1</v>
      </c>
      <c r="N1815" t="str">
        <f>VLOOKUP(D1815, Products!A$2:C$61, 3, FALSE)</f>
        <v>Home</v>
      </c>
      <c r="O1815" t="str">
        <f>VLOOKUP(C1815, Customers!A$2:E$301, 5, FALSE)</f>
        <v>Corporate</v>
      </c>
      <c r="P1815">
        <f>VLOOKUP(C1815, Customers!A$2:C$301, 3, FALSE)</f>
        <v>62</v>
      </c>
      <c r="Q1815" t="str">
        <f>VLOOKUP(E1815, Sales_Reps!A$2:C$31, 3, FALSE)</f>
        <v>East</v>
      </c>
      <c r="R1815">
        <f>VLOOKUP(D1815, Products!A$2:D$61, 4, FALSE)</f>
        <v>329</v>
      </c>
    </row>
    <row r="1816" spans="1:18" x14ac:dyDescent="0.3">
      <c r="A1816" s="13" t="s">
        <v>2313</v>
      </c>
      <c r="B1816" s="14">
        <v>45321</v>
      </c>
      <c r="C1816" s="13" t="s">
        <v>2314</v>
      </c>
      <c r="D1816" s="13" t="s">
        <v>248</v>
      </c>
      <c r="E1816" s="13" t="s">
        <v>201</v>
      </c>
      <c r="F1816" s="15">
        <v>3</v>
      </c>
      <c r="G1816" s="15">
        <v>3870</v>
      </c>
      <c r="H1816" s="15">
        <v>7.6</v>
      </c>
      <c r="I1816" s="15">
        <v>10727.64</v>
      </c>
      <c r="J1816" s="13" t="s">
        <v>140</v>
      </c>
      <c r="K1816" s="13" t="s">
        <v>94</v>
      </c>
      <c r="L1816">
        <f>IF(COUNTIF(A$2:A1816, A1816)=1, IF(COUNTIF(A$2:A$2001, A1816)&gt;1, 1, 0), 0)</f>
        <v>0</v>
      </c>
      <c r="M1816" t="b">
        <f>VLOOKUP(D1816, Products!A$2:F$61, 6, FALSE)</f>
        <v>1</v>
      </c>
      <c r="N1816" t="str">
        <f>VLOOKUP(D1816, Products!A$2:C$61, 3, FALSE)</f>
        <v>Electronics</v>
      </c>
      <c r="O1816" t="e">
        <f>VLOOKUP(C1816, Customers!A$2:E$301, 5, FALSE)</f>
        <v>#N/A</v>
      </c>
      <c r="P1816" t="e">
        <f>VLOOKUP(C1816, Customers!A$2:C$301, 3, FALSE)</f>
        <v>#N/A</v>
      </c>
      <c r="Q1816" t="str">
        <f>VLOOKUP(E1816, Sales_Reps!A$2:C$31, 3, FALSE)</f>
        <v>West</v>
      </c>
      <c r="R1816">
        <f>VLOOKUP(D1816, Products!A$2:D$61, 4, FALSE)</f>
        <v>1559</v>
      </c>
    </row>
    <row r="1817" spans="1:18" x14ac:dyDescent="0.3">
      <c r="A1817" s="13" t="s">
        <v>2315</v>
      </c>
      <c r="B1817" s="14">
        <v>45542</v>
      </c>
      <c r="C1817" s="13" t="s">
        <v>84</v>
      </c>
      <c r="D1817" s="13" t="s">
        <v>167</v>
      </c>
      <c r="E1817" s="13" t="s">
        <v>103</v>
      </c>
      <c r="F1817" s="15">
        <v>10</v>
      </c>
      <c r="G1817" s="15">
        <v>2480</v>
      </c>
      <c r="H1817" s="15">
        <v>21.5</v>
      </c>
      <c r="I1817" s="15">
        <v>19468</v>
      </c>
      <c r="J1817" s="13" t="s">
        <v>93</v>
      </c>
      <c r="K1817" s="13" t="s">
        <v>88</v>
      </c>
      <c r="L1817">
        <f>IF(COUNTIF(A$2:A1817, A1817)=1, IF(COUNTIF(A$2:A$2001, A1817)&gt;1, 1, 0), 0)</f>
        <v>0</v>
      </c>
      <c r="M1817" t="b">
        <f>VLOOKUP(D1817, Products!A$2:F$61, 6, FALSE)</f>
        <v>1</v>
      </c>
      <c r="N1817" t="str">
        <f>VLOOKUP(D1817, Products!A$2:C$61, 3, FALSE)</f>
        <v>Apparel</v>
      </c>
      <c r="O1817" t="str">
        <f>VLOOKUP(C1817, Customers!A$2:E$301, 5, FALSE)</f>
        <v>SMB</v>
      </c>
      <c r="P1817">
        <f>VLOOKUP(C1817, Customers!A$2:C$301, 3, FALSE)</f>
        <v>44</v>
      </c>
      <c r="Q1817" t="str">
        <f>VLOOKUP(E1817, Sales_Reps!A$2:C$31, 3, FALSE)</f>
        <v>North</v>
      </c>
      <c r="R1817">
        <f>VLOOKUP(D1817, Products!A$2:D$61, 4, FALSE)</f>
        <v>1173</v>
      </c>
    </row>
    <row r="1818" spans="1:18" x14ac:dyDescent="0.3">
      <c r="A1818" s="13" t="s">
        <v>2316</v>
      </c>
      <c r="B1818" s="14">
        <v>45643</v>
      </c>
      <c r="C1818" s="13" t="s">
        <v>602</v>
      </c>
      <c r="D1818" s="13" t="s">
        <v>135</v>
      </c>
      <c r="E1818" s="13" t="s">
        <v>215</v>
      </c>
      <c r="F1818" s="15">
        <v>8</v>
      </c>
      <c r="G1818" s="15">
        <v>2640</v>
      </c>
      <c r="H1818" s="15">
        <v>22.3</v>
      </c>
      <c r="I1818" s="15">
        <v>16410.240000000002</v>
      </c>
      <c r="J1818" s="13" t="s">
        <v>87</v>
      </c>
      <c r="K1818" s="13" t="s">
        <v>94</v>
      </c>
      <c r="L1818">
        <f>IF(COUNTIF(A$2:A1818, A1818)=1, IF(COUNTIF(A$2:A$2001, A1818)&gt;1, 1, 0), 0)</f>
        <v>0</v>
      </c>
      <c r="M1818" t="b">
        <f>VLOOKUP(D1818, Products!A$2:F$61, 6, FALSE)</f>
        <v>1</v>
      </c>
      <c r="N1818" t="str">
        <f>VLOOKUP(D1818, Products!A$2:C$61, 3, FALSE)</f>
        <v>Electronics</v>
      </c>
      <c r="O1818" t="str">
        <f>VLOOKUP(C1818, Customers!A$2:E$301, 5, FALSE)</f>
        <v>Retail</v>
      </c>
      <c r="P1818">
        <f>VLOOKUP(C1818, Customers!A$2:C$301, 3, FALSE)</f>
        <v>61</v>
      </c>
      <c r="Q1818" t="str">
        <f>VLOOKUP(E1818, Sales_Reps!A$2:C$31, 3, FALSE)</f>
        <v>North</v>
      </c>
      <c r="R1818">
        <f>VLOOKUP(D1818, Products!A$2:D$61, 4, FALSE)</f>
        <v>1149</v>
      </c>
    </row>
    <row r="1819" spans="1:18" x14ac:dyDescent="0.3">
      <c r="A1819" s="13" t="s">
        <v>2317</v>
      </c>
      <c r="B1819" s="14">
        <v>45559</v>
      </c>
      <c r="C1819" s="13" t="s">
        <v>1193</v>
      </c>
      <c r="D1819" s="13" t="s">
        <v>127</v>
      </c>
      <c r="E1819" s="13" t="s">
        <v>215</v>
      </c>
      <c r="F1819" s="15">
        <v>8</v>
      </c>
      <c r="G1819" s="15">
        <v>970</v>
      </c>
      <c r="H1819" s="15">
        <v>13.1</v>
      </c>
      <c r="I1819" s="15">
        <v>6743.44</v>
      </c>
      <c r="J1819" s="13" t="s">
        <v>87</v>
      </c>
      <c r="K1819" s="13" t="s">
        <v>133</v>
      </c>
      <c r="L1819">
        <f>IF(COUNTIF(A$2:A1819, A1819)=1, IF(COUNTIF(A$2:A$2001, A1819)&gt;1, 1, 0), 0)</f>
        <v>0</v>
      </c>
      <c r="M1819" t="b">
        <f>VLOOKUP(D1819, Products!A$2:F$61, 6, FALSE)</f>
        <v>1</v>
      </c>
      <c r="N1819" t="str">
        <f>VLOOKUP(D1819, Products!A$2:C$61, 3, FALSE)</f>
        <v>Grocery</v>
      </c>
      <c r="O1819" t="str">
        <f>VLOOKUP(C1819, Customers!A$2:E$301, 5, FALSE)</f>
        <v>SMB</v>
      </c>
      <c r="P1819">
        <f>VLOOKUP(C1819, Customers!A$2:C$301, 3, FALSE)</f>
        <v>25</v>
      </c>
      <c r="Q1819" t="str">
        <f>VLOOKUP(E1819, Sales_Reps!A$2:C$31, 3, FALSE)</f>
        <v>North</v>
      </c>
      <c r="R1819">
        <f>VLOOKUP(D1819, Products!A$2:D$61, 4, FALSE)</f>
        <v>434</v>
      </c>
    </row>
    <row r="1820" spans="1:18" x14ac:dyDescent="0.3">
      <c r="A1820" s="13" t="s">
        <v>2318</v>
      </c>
      <c r="B1820" s="14">
        <v>45416</v>
      </c>
      <c r="C1820" s="13" t="s">
        <v>597</v>
      </c>
      <c r="D1820" s="13" t="s">
        <v>115</v>
      </c>
      <c r="E1820" s="13" t="s">
        <v>215</v>
      </c>
      <c r="F1820" s="15">
        <v>6</v>
      </c>
      <c r="G1820" s="15">
        <v>960</v>
      </c>
      <c r="H1820" s="15">
        <v>3.2</v>
      </c>
      <c r="I1820" s="15">
        <v>5575.68</v>
      </c>
      <c r="J1820" s="13" t="s">
        <v>87</v>
      </c>
      <c r="K1820" s="13" t="s">
        <v>112</v>
      </c>
      <c r="L1820">
        <f>IF(COUNTIF(A$2:A1820, A1820)=1, IF(COUNTIF(A$2:A$2001, A1820)&gt;1, 1, 0), 0)</f>
        <v>0</v>
      </c>
      <c r="M1820" t="b">
        <f>VLOOKUP(D1820, Products!A$2:F$61, 6, FALSE)</f>
        <v>1</v>
      </c>
      <c r="N1820" t="str">
        <f>VLOOKUP(D1820, Products!A$2:C$61, 3, FALSE)</f>
        <v>Sports</v>
      </c>
      <c r="O1820" t="str">
        <f>VLOOKUP(C1820, Customers!A$2:E$301, 5, FALSE)</f>
        <v>Retail</v>
      </c>
      <c r="P1820">
        <f>VLOOKUP(C1820, Customers!A$2:C$301, 3, FALSE)</f>
        <v>39</v>
      </c>
      <c r="Q1820" t="str">
        <f>VLOOKUP(E1820, Sales_Reps!A$2:C$31, 3, FALSE)</f>
        <v>North</v>
      </c>
      <c r="R1820">
        <f>VLOOKUP(D1820, Products!A$2:D$61, 4, FALSE)</f>
        <v>705</v>
      </c>
    </row>
    <row r="1821" spans="1:18" x14ac:dyDescent="0.3">
      <c r="A1821" s="13" t="s">
        <v>2319</v>
      </c>
      <c r="B1821" s="14">
        <v>45469</v>
      </c>
      <c r="C1821" s="13" t="s">
        <v>1529</v>
      </c>
      <c r="D1821" s="13" t="s">
        <v>295</v>
      </c>
      <c r="E1821" s="13" t="s">
        <v>107</v>
      </c>
      <c r="F1821" s="15">
        <v>9</v>
      </c>
      <c r="G1821" s="15">
        <v>2030</v>
      </c>
      <c r="H1821" s="15">
        <v>12.6</v>
      </c>
      <c r="I1821" s="15">
        <v>15967.98</v>
      </c>
      <c r="J1821" s="13" t="s">
        <v>140</v>
      </c>
      <c r="K1821" s="13" t="s">
        <v>94</v>
      </c>
      <c r="L1821">
        <f>IF(COUNTIF(A$2:A1821, A1821)=1, IF(COUNTIF(A$2:A$2001, A1821)&gt;1, 1, 0), 0)</f>
        <v>0</v>
      </c>
      <c r="M1821" t="b">
        <f>VLOOKUP(D1821, Products!A$2:F$61, 6, FALSE)</f>
        <v>1</v>
      </c>
      <c r="N1821" t="str">
        <f>VLOOKUP(D1821, Products!A$2:C$61, 3, FALSE)</f>
        <v>Home</v>
      </c>
      <c r="O1821" t="str">
        <f>VLOOKUP(C1821, Customers!A$2:E$301, 5, FALSE)</f>
        <v>Retail</v>
      </c>
      <c r="P1821">
        <f>VLOOKUP(C1821, Customers!A$2:C$301, 3, FALSE)</f>
        <v>31</v>
      </c>
      <c r="Q1821" t="str">
        <f>VLOOKUP(E1821, Sales_Reps!A$2:C$31, 3, FALSE)</f>
        <v>North</v>
      </c>
      <c r="R1821">
        <f>VLOOKUP(D1821, Products!A$2:D$61, 4, FALSE)</f>
        <v>1143</v>
      </c>
    </row>
    <row r="1822" spans="1:18" x14ac:dyDescent="0.3">
      <c r="A1822" s="13" t="s">
        <v>2025</v>
      </c>
      <c r="B1822" s="14">
        <v>45387</v>
      </c>
      <c r="C1822" s="13" t="s">
        <v>233</v>
      </c>
      <c r="D1822" s="13" t="s">
        <v>386</v>
      </c>
      <c r="E1822" s="13" t="s">
        <v>116</v>
      </c>
      <c r="F1822" s="15">
        <v>10</v>
      </c>
      <c r="G1822" s="15">
        <v>2290</v>
      </c>
      <c r="H1822" s="15">
        <v>22.2</v>
      </c>
      <c r="I1822" s="15">
        <v>17816.2</v>
      </c>
      <c r="J1822" s="13" t="s">
        <v>87</v>
      </c>
      <c r="K1822" s="13" t="s">
        <v>88</v>
      </c>
      <c r="L1822">
        <f>IF(COUNTIF(A$2:A1822, A1822)=1, IF(COUNTIF(A$2:A$2001, A1822)&gt;1, 1, 0), 0)</f>
        <v>0</v>
      </c>
      <c r="M1822" t="b">
        <f>VLOOKUP(D1822, Products!A$2:F$61, 6, FALSE)</f>
        <v>1</v>
      </c>
      <c r="N1822" t="str">
        <f>VLOOKUP(D1822, Products!A$2:C$61, 3, FALSE)</f>
        <v>Beauty</v>
      </c>
      <c r="O1822" t="str">
        <f>VLOOKUP(C1822, Customers!A$2:E$301, 5, FALSE)</f>
        <v>SMB</v>
      </c>
      <c r="P1822">
        <f>VLOOKUP(C1822, Customers!A$2:C$301, 3, FALSE)</f>
        <v>29</v>
      </c>
      <c r="Q1822" t="str">
        <f>VLOOKUP(E1822, Sales_Reps!A$2:C$31, 3, FALSE)</f>
        <v>West</v>
      </c>
      <c r="R1822">
        <f>VLOOKUP(D1822, Products!A$2:D$61, 4, FALSE)</f>
        <v>1219</v>
      </c>
    </row>
    <row r="1823" spans="1:18" x14ac:dyDescent="0.3">
      <c r="A1823" s="13" t="s">
        <v>2320</v>
      </c>
      <c r="B1823" s="14">
        <v>45373</v>
      </c>
      <c r="C1823" s="13" t="s">
        <v>1499</v>
      </c>
      <c r="D1823" s="13" t="s">
        <v>91</v>
      </c>
      <c r="E1823" s="13" t="s">
        <v>343</v>
      </c>
      <c r="F1823" s="15">
        <v>7</v>
      </c>
      <c r="G1823" s="15">
        <v>820</v>
      </c>
      <c r="H1823" s="15">
        <v>6.4</v>
      </c>
      <c r="I1823" s="15">
        <v>5372.64</v>
      </c>
      <c r="J1823" s="13" t="s">
        <v>144</v>
      </c>
      <c r="K1823" s="13" t="s">
        <v>94</v>
      </c>
      <c r="L1823">
        <f>IF(COUNTIF(A$2:A1823, A1823)=1, IF(COUNTIF(A$2:A$2001, A1823)&gt;1, 1, 0), 0)</f>
        <v>0</v>
      </c>
      <c r="M1823" t="b">
        <f>VLOOKUP(D1823, Products!A$2:F$61, 6, FALSE)</f>
        <v>1</v>
      </c>
      <c r="N1823" t="str">
        <f>VLOOKUP(D1823, Products!A$2:C$61, 3, FALSE)</f>
        <v>Apparel</v>
      </c>
      <c r="O1823" t="str">
        <f>VLOOKUP(C1823, Customers!A$2:E$301, 5, FALSE)</f>
        <v>Retail</v>
      </c>
      <c r="P1823">
        <f>VLOOKUP(C1823, Customers!A$2:C$301, 3, FALSE)</f>
        <v>26</v>
      </c>
      <c r="Q1823" t="str">
        <f>VLOOKUP(E1823, Sales_Reps!A$2:C$31, 3, FALSE)</f>
        <v>West</v>
      </c>
      <c r="R1823">
        <f>VLOOKUP(D1823, Products!A$2:D$61, 4, FALSE)</f>
        <v>391</v>
      </c>
    </row>
    <row r="1824" spans="1:18" x14ac:dyDescent="0.3">
      <c r="A1824" s="13" t="s">
        <v>2321</v>
      </c>
      <c r="B1824" s="14">
        <v>45614</v>
      </c>
      <c r="C1824" s="13" t="s">
        <v>333</v>
      </c>
      <c r="D1824" s="13" t="s">
        <v>164</v>
      </c>
      <c r="E1824" s="13" t="s">
        <v>170</v>
      </c>
      <c r="F1824" s="15">
        <v>5</v>
      </c>
      <c r="G1824" s="15">
        <v>1080</v>
      </c>
      <c r="H1824" s="15">
        <v>6</v>
      </c>
      <c r="I1824" s="15">
        <v>5076</v>
      </c>
      <c r="J1824" s="13" t="s">
        <v>87</v>
      </c>
      <c r="K1824" s="13" t="s">
        <v>133</v>
      </c>
      <c r="L1824">
        <f>IF(COUNTIF(A$2:A1824, A1824)=1, IF(COUNTIF(A$2:A$2001, A1824)&gt;1, 1, 0), 0)</f>
        <v>0</v>
      </c>
      <c r="M1824" t="b">
        <f>VLOOKUP(D1824, Products!A$2:F$61, 6, FALSE)</f>
        <v>1</v>
      </c>
      <c r="N1824" t="str">
        <f>VLOOKUP(D1824, Products!A$2:C$61, 3, FALSE)</f>
        <v>Home</v>
      </c>
      <c r="O1824" t="str">
        <f>VLOOKUP(C1824, Customers!A$2:E$301, 5, FALSE)</f>
        <v>SMB</v>
      </c>
      <c r="P1824">
        <f>VLOOKUP(C1824, Customers!A$2:C$301, 3, FALSE)</f>
        <v>65</v>
      </c>
      <c r="Q1824" t="str">
        <f>VLOOKUP(E1824, Sales_Reps!A$2:C$31, 3, FALSE)</f>
        <v>West</v>
      </c>
      <c r="R1824">
        <f>VLOOKUP(D1824, Products!A$2:D$61, 4, FALSE)</f>
        <v>519</v>
      </c>
    </row>
    <row r="1825" spans="1:18" x14ac:dyDescent="0.3">
      <c r="A1825" s="13" t="s">
        <v>2322</v>
      </c>
      <c r="B1825" s="14">
        <v>45310</v>
      </c>
      <c r="C1825" s="13" t="s">
        <v>479</v>
      </c>
      <c r="D1825" s="13" t="s">
        <v>147</v>
      </c>
      <c r="E1825" s="13" t="s">
        <v>128</v>
      </c>
      <c r="F1825" s="15">
        <v>4</v>
      </c>
      <c r="G1825" s="15">
        <v>190</v>
      </c>
      <c r="H1825" s="15">
        <v>6.3</v>
      </c>
      <c r="I1825" s="15">
        <v>712.12</v>
      </c>
      <c r="J1825" s="13" t="s">
        <v>144</v>
      </c>
      <c r="K1825" s="13" t="s">
        <v>88</v>
      </c>
      <c r="L1825">
        <f>IF(COUNTIF(A$2:A1825, A1825)=1, IF(COUNTIF(A$2:A$2001, A1825)&gt;1, 1, 0), 0)</f>
        <v>0</v>
      </c>
      <c r="M1825" t="b">
        <f>VLOOKUP(D1825, Products!A$2:F$61, 6, FALSE)</f>
        <v>1</v>
      </c>
      <c r="N1825" t="str">
        <f>VLOOKUP(D1825, Products!A$2:C$61, 3, FALSE)</f>
        <v>Sports</v>
      </c>
      <c r="O1825" t="str">
        <f>VLOOKUP(C1825, Customers!A$2:E$301, 5, FALSE)</f>
        <v>SMB</v>
      </c>
      <c r="P1825">
        <f>VLOOKUP(C1825, Customers!A$2:C$301, 3, FALSE)</f>
        <v>49</v>
      </c>
      <c r="Q1825" t="str">
        <f>VLOOKUP(E1825, Sales_Reps!A$2:C$31, 3, FALSE)</f>
        <v>West</v>
      </c>
      <c r="R1825">
        <f>VLOOKUP(D1825, Products!A$2:D$61, 4, FALSE)</f>
        <v>147</v>
      </c>
    </row>
    <row r="1826" spans="1:18" x14ac:dyDescent="0.3">
      <c r="A1826" s="13" t="s">
        <v>2323</v>
      </c>
      <c r="B1826" s="14">
        <v>45319</v>
      </c>
      <c r="C1826" s="13" t="s">
        <v>272</v>
      </c>
      <c r="D1826" s="13" t="s">
        <v>355</v>
      </c>
      <c r="E1826" s="13" t="s">
        <v>229</v>
      </c>
      <c r="F1826" s="15">
        <v>6</v>
      </c>
      <c r="G1826" s="15">
        <v>2510</v>
      </c>
      <c r="H1826" s="15">
        <v>11.5</v>
      </c>
      <c r="I1826" s="15">
        <v>13328.1</v>
      </c>
      <c r="J1826" s="13" t="s">
        <v>87</v>
      </c>
      <c r="K1826" s="13" t="s">
        <v>94</v>
      </c>
      <c r="L1826">
        <f>IF(COUNTIF(A$2:A1826, A1826)=1, IF(COUNTIF(A$2:A$2001, A1826)&gt;1, 1, 0), 0)</f>
        <v>0</v>
      </c>
      <c r="M1826" t="b">
        <f>VLOOKUP(D1826, Products!A$2:F$61, 6, FALSE)</f>
        <v>0</v>
      </c>
      <c r="N1826" t="str">
        <f>VLOOKUP(D1826, Products!A$2:C$61, 3, FALSE)</f>
        <v>Apparel</v>
      </c>
      <c r="O1826" t="str">
        <f>VLOOKUP(C1826, Customers!A$2:E$301, 5, FALSE)</f>
        <v>SMB</v>
      </c>
      <c r="P1826">
        <f>VLOOKUP(C1826, Customers!A$2:C$301, 3, FALSE)</f>
        <v>55</v>
      </c>
      <c r="Q1826" t="str">
        <f>VLOOKUP(E1826, Sales_Reps!A$2:C$31, 3, FALSE)</f>
        <v>West</v>
      </c>
      <c r="R1826">
        <f>VLOOKUP(D1826, Products!A$2:D$61, 4, FALSE)</f>
        <v>1075</v>
      </c>
    </row>
    <row r="1827" spans="1:18" x14ac:dyDescent="0.3">
      <c r="A1827" s="13" t="s">
        <v>2324</v>
      </c>
      <c r="B1827" s="14">
        <v>45299</v>
      </c>
      <c r="C1827" s="13" t="s">
        <v>105</v>
      </c>
      <c r="D1827" s="13" t="s">
        <v>659</v>
      </c>
      <c r="E1827" s="13" t="s">
        <v>188</v>
      </c>
      <c r="F1827" s="15">
        <v>2</v>
      </c>
      <c r="G1827" s="15">
        <v>3560</v>
      </c>
      <c r="H1827" s="15">
        <v>10.5</v>
      </c>
      <c r="I1827" s="15">
        <v>6372.4</v>
      </c>
      <c r="J1827" s="13" t="s">
        <v>87</v>
      </c>
      <c r="K1827" s="13" t="s">
        <v>94</v>
      </c>
      <c r="L1827">
        <f>IF(COUNTIF(A$2:A1827, A1827)=1, IF(COUNTIF(A$2:A$2001, A1827)&gt;1, 1, 0), 0)</f>
        <v>0</v>
      </c>
      <c r="M1827" t="b">
        <f>VLOOKUP(D1827, Products!A$2:F$61, 6, FALSE)</f>
        <v>1</v>
      </c>
      <c r="N1827" t="str">
        <f>VLOOKUP(D1827, Products!A$2:C$61, 3, FALSE)</f>
        <v>Apparel</v>
      </c>
      <c r="O1827" t="str">
        <f>VLOOKUP(C1827, Customers!A$2:E$301, 5, FALSE)</f>
        <v>Retail</v>
      </c>
      <c r="P1827">
        <f>VLOOKUP(C1827, Customers!A$2:C$301, 3, FALSE)</f>
        <v>36</v>
      </c>
      <c r="Q1827" t="str">
        <f>VLOOKUP(E1827, Sales_Reps!A$2:C$31, 3, FALSE)</f>
        <v>South</v>
      </c>
      <c r="R1827">
        <f>VLOOKUP(D1827, Products!A$2:D$61, 4, FALSE)</f>
        <v>2629</v>
      </c>
    </row>
    <row r="1828" spans="1:18" x14ac:dyDescent="0.3">
      <c r="A1828" s="13" t="s">
        <v>2325</v>
      </c>
      <c r="B1828" s="14">
        <v>45556</v>
      </c>
      <c r="C1828" s="13" t="s">
        <v>841</v>
      </c>
      <c r="D1828" s="13" t="s">
        <v>91</v>
      </c>
      <c r="E1828" s="13" t="s">
        <v>252</v>
      </c>
      <c r="F1828" s="15">
        <v>3</v>
      </c>
      <c r="G1828" s="15">
        <v>820</v>
      </c>
      <c r="H1828" s="15">
        <v>13</v>
      </c>
      <c r="I1828" s="15">
        <v>2140.1999999999998</v>
      </c>
      <c r="J1828" s="13" t="s">
        <v>140</v>
      </c>
      <c r="K1828" s="13" t="s">
        <v>117</v>
      </c>
      <c r="L1828">
        <f>IF(COUNTIF(A$2:A1828, A1828)=1, IF(COUNTIF(A$2:A$2001, A1828)&gt;1, 1, 0), 0)</f>
        <v>0</v>
      </c>
      <c r="M1828" t="b">
        <f>VLOOKUP(D1828, Products!A$2:F$61, 6, FALSE)</f>
        <v>1</v>
      </c>
      <c r="N1828" t="str">
        <f>VLOOKUP(D1828, Products!A$2:C$61, 3, FALSE)</f>
        <v>Apparel</v>
      </c>
      <c r="O1828" t="str">
        <f>VLOOKUP(C1828, Customers!A$2:E$301, 5, FALSE)</f>
        <v>Corporate</v>
      </c>
      <c r="P1828">
        <f>VLOOKUP(C1828, Customers!A$2:C$301, 3, FALSE)</f>
        <v>41</v>
      </c>
      <c r="Q1828" t="str">
        <f>VLOOKUP(E1828, Sales_Reps!A$2:C$31, 3, FALSE)</f>
        <v>South</v>
      </c>
      <c r="R1828">
        <f>VLOOKUP(D1828, Products!A$2:D$61, 4, FALSE)</f>
        <v>391</v>
      </c>
    </row>
    <row r="1829" spans="1:18" x14ac:dyDescent="0.3">
      <c r="A1829" s="13" t="s">
        <v>2326</v>
      </c>
      <c r="B1829" s="14">
        <v>45500</v>
      </c>
      <c r="C1829" s="13" t="s">
        <v>1358</v>
      </c>
      <c r="D1829" s="13" t="s">
        <v>237</v>
      </c>
      <c r="E1829" s="13" t="s">
        <v>148</v>
      </c>
      <c r="F1829" s="15">
        <v>6</v>
      </c>
      <c r="G1829" s="15">
        <v>3640</v>
      </c>
      <c r="H1829" s="15">
        <v>14</v>
      </c>
      <c r="I1829" s="15">
        <v>18782.400000000001</v>
      </c>
      <c r="J1829" s="13" t="s">
        <v>87</v>
      </c>
      <c r="K1829" s="13" t="s">
        <v>112</v>
      </c>
      <c r="L1829">
        <f>IF(COUNTIF(A$2:A1829, A1829)=1, IF(COUNTIF(A$2:A$2001, A1829)&gt;1, 1, 0), 0)</f>
        <v>0</v>
      </c>
      <c r="M1829" t="b">
        <f>VLOOKUP(D1829, Products!A$2:F$61, 6, FALSE)</f>
        <v>1</v>
      </c>
      <c r="N1829" t="str">
        <f>VLOOKUP(D1829, Products!A$2:C$61, 3, FALSE)</f>
        <v>Apparel</v>
      </c>
      <c r="O1829" t="str">
        <f>VLOOKUP(C1829, Customers!A$2:E$301, 5, FALSE)</f>
        <v>Corporate</v>
      </c>
      <c r="P1829">
        <f>VLOOKUP(C1829, Customers!A$2:C$301, 3, FALSE)</f>
        <v>42</v>
      </c>
      <c r="Q1829" t="str">
        <f>VLOOKUP(E1829, Sales_Reps!A$2:C$31, 3, FALSE)</f>
        <v>North</v>
      </c>
      <c r="R1829">
        <f>VLOOKUP(D1829, Products!A$2:D$61, 4, FALSE)</f>
        <v>2611</v>
      </c>
    </row>
    <row r="1830" spans="1:18" x14ac:dyDescent="0.3">
      <c r="A1830" s="13" t="s">
        <v>2327</v>
      </c>
      <c r="B1830" s="14">
        <v>45370</v>
      </c>
      <c r="C1830" s="13" t="s">
        <v>160</v>
      </c>
      <c r="D1830" s="13" t="s">
        <v>102</v>
      </c>
      <c r="E1830" s="13" t="s">
        <v>121</v>
      </c>
      <c r="F1830" s="15">
        <v>5</v>
      </c>
      <c r="G1830" s="15">
        <v>3660</v>
      </c>
      <c r="H1830" s="15">
        <v>28.7</v>
      </c>
      <c r="I1830" s="15">
        <v>13047.9</v>
      </c>
      <c r="J1830" s="13" t="s">
        <v>87</v>
      </c>
      <c r="K1830" s="13" t="s">
        <v>112</v>
      </c>
      <c r="L1830">
        <f>IF(COUNTIF(A$2:A1830, A1830)=1, IF(COUNTIF(A$2:A$2001, A1830)&gt;1, 1, 0), 0)</f>
        <v>0</v>
      </c>
      <c r="M1830" t="b">
        <f>VLOOKUP(D1830, Products!A$2:F$61, 6, FALSE)</f>
        <v>0</v>
      </c>
      <c r="N1830" t="str">
        <f>VLOOKUP(D1830, Products!A$2:C$61, 3, FALSE)</f>
        <v>Grocery</v>
      </c>
      <c r="O1830" t="str">
        <f>VLOOKUP(C1830, Customers!A$2:E$301, 5, FALSE)</f>
        <v>Retail</v>
      </c>
      <c r="P1830">
        <f>VLOOKUP(C1830, Customers!A$2:C$301, 3, FALSE)</f>
        <v>54</v>
      </c>
      <c r="Q1830" t="str">
        <f>VLOOKUP(E1830, Sales_Reps!A$2:C$31, 3, FALSE)</f>
        <v>East</v>
      </c>
      <c r="R1830">
        <f>VLOOKUP(D1830, Products!A$2:D$61, 4, FALSE)</f>
        <v>2214</v>
      </c>
    </row>
    <row r="1831" spans="1:18" x14ac:dyDescent="0.3">
      <c r="A1831" s="13" t="s">
        <v>2328</v>
      </c>
      <c r="B1831" s="14">
        <v>45521</v>
      </c>
      <c r="C1831" s="13" t="s">
        <v>233</v>
      </c>
      <c r="D1831" s="13" t="s">
        <v>195</v>
      </c>
      <c r="E1831" s="13" t="s">
        <v>170</v>
      </c>
      <c r="F1831" s="15">
        <v>2</v>
      </c>
      <c r="G1831" s="15">
        <v>2860</v>
      </c>
      <c r="H1831" s="15">
        <v>21.1</v>
      </c>
      <c r="I1831" s="15">
        <v>4513.08</v>
      </c>
      <c r="J1831" s="13" t="s">
        <v>87</v>
      </c>
      <c r="K1831" s="13" t="s">
        <v>88</v>
      </c>
      <c r="L1831">
        <f>IF(COUNTIF(A$2:A1831, A1831)=1, IF(COUNTIF(A$2:A$2001, A1831)&gt;1, 1, 0), 0)</f>
        <v>0</v>
      </c>
      <c r="M1831" t="b">
        <f>VLOOKUP(D1831, Products!A$2:F$61, 6, FALSE)</f>
        <v>1</v>
      </c>
      <c r="N1831" t="str">
        <f>VLOOKUP(D1831, Products!A$2:C$61, 3, FALSE)</f>
        <v>Sports</v>
      </c>
      <c r="O1831" t="str">
        <f>VLOOKUP(C1831, Customers!A$2:E$301, 5, FALSE)</f>
        <v>SMB</v>
      </c>
      <c r="P1831">
        <f>VLOOKUP(C1831, Customers!A$2:C$301, 3, FALSE)</f>
        <v>29</v>
      </c>
      <c r="Q1831" t="str">
        <f>VLOOKUP(E1831, Sales_Reps!A$2:C$31, 3, FALSE)</f>
        <v>West</v>
      </c>
      <c r="R1831">
        <f>VLOOKUP(D1831, Products!A$2:D$61, 4, FALSE)</f>
        <v>2028</v>
      </c>
    </row>
    <row r="1832" spans="1:18" x14ac:dyDescent="0.3">
      <c r="A1832" s="13" t="s">
        <v>2329</v>
      </c>
      <c r="B1832" s="14">
        <v>45481</v>
      </c>
      <c r="C1832" s="13" t="s">
        <v>638</v>
      </c>
      <c r="D1832" s="13" t="s">
        <v>173</v>
      </c>
      <c r="E1832" s="13" t="s">
        <v>121</v>
      </c>
      <c r="F1832" s="15">
        <v>1</v>
      </c>
      <c r="G1832" s="15">
        <v>2720</v>
      </c>
      <c r="H1832" s="15">
        <v>22.1</v>
      </c>
      <c r="I1832" s="15">
        <v>2118.88</v>
      </c>
      <c r="J1832" s="13" t="s">
        <v>87</v>
      </c>
      <c r="K1832" s="13" t="s">
        <v>99</v>
      </c>
      <c r="L1832">
        <f>IF(COUNTIF(A$2:A1832, A1832)=1, IF(COUNTIF(A$2:A$2001, A1832)&gt;1, 1, 0), 0)</f>
        <v>0</v>
      </c>
      <c r="M1832" t="b">
        <f>VLOOKUP(D1832, Products!A$2:F$61, 6, FALSE)</f>
        <v>1</v>
      </c>
      <c r="N1832" t="str">
        <f>VLOOKUP(D1832, Products!A$2:C$61, 3, FALSE)</f>
        <v>Apparel</v>
      </c>
      <c r="O1832" t="str">
        <f>VLOOKUP(C1832, Customers!A$2:E$301, 5, FALSE)</f>
        <v>Retail</v>
      </c>
      <c r="P1832">
        <f>VLOOKUP(C1832, Customers!A$2:C$301, 3, FALSE)</f>
        <v>43</v>
      </c>
      <c r="Q1832" t="str">
        <f>VLOOKUP(E1832, Sales_Reps!A$2:C$31, 3, FALSE)</f>
        <v>East</v>
      </c>
      <c r="R1832">
        <f>VLOOKUP(D1832, Products!A$2:D$61, 4, FALSE)</f>
        <v>1962</v>
      </c>
    </row>
    <row r="1833" spans="1:18" x14ac:dyDescent="0.3">
      <c r="A1833" s="13" t="s">
        <v>2330</v>
      </c>
      <c r="B1833" s="14">
        <v>45633</v>
      </c>
      <c r="C1833" s="13" t="s">
        <v>895</v>
      </c>
      <c r="D1833" s="13" t="s">
        <v>195</v>
      </c>
      <c r="E1833" s="13" t="s">
        <v>139</v>
      </c>
      <c r="F1833" s="15">
        <v>6</v>
      </c>
      <c r="G1833" s="15">
        <v>2860</v>
      </c>
      <c r="H1833" s="15">
        <v>10.5</v>
      </c>
      <c r="I1833" s="15">
        <v>15358.2</v>
      </c>
      <c r="J1833" s="13" t="s">
        <v>140</v>
      </c>
      <c r="K1833" s="13" t="s">
        <v>117</v>
      </c>
      <c r="L1833">
        <f>IF(COUNTIF(A$2:A1833, A1833)=1, IF(COUNTIF(A$2:A$2001, A1833)&gt;1, 1, 0), 0)</f>
        <v>0</v>
      </c>
      <c r="M1833" t="b">
        <f>VLOOKUP(D1833, Products!A$2:F$61, 6, FALSE)</f>
        <v>1</v>
      </c>
      <c r="N1833" t="str">
        <f>VLOOKUP(D1833, Products!A$2:C$61, 3, FALSE)</f>
        <v>Sports</v>
      </c>
      <c r="O1833" t="str">
        <f>VLOOKUP(C1833, Customers!A$2:E$301, 5, FALSE)</f>
        <v>Retail</v>
      </c>
      <c r="P1833">
        <f>VLOOKUP(C1833, Customers!A$2:C$301, 3, FALSE)</f>
        <v>46</v>
      </c>
      <c r="Q1833" t="str">
        <f>VLOOKUP(E1833, Sales_Reps!A$2:C$31, 3, FALSE)</f>
        <v>North</v>
      </c>
      <c r="R1833">
        <f>VLOOKUP(D1833, Products!A$2:D$61, 4, FALSE)</f>
        <v>2028</v>
      </c>
    </row>
    <row r="1834" spans="1:18" x14ac:dyDescent="0.3">
      <c r="A1834" s="13" t="s">
        <v>2331</v>
      </c>
      <c r="B1834" s="14">
        <v>45305</v>
      </c>
      <c r="C1834" s="13" t="s">
        <v>555</v>
      </c>
      <c r="D1834" s="13" t="s">
        <v>355</v>
      </c>
      <c r="E1834" s="13" t="s">
        <v>192</v>
      </c>
      <c r="F1834" s="15">
        <v>1</v>
      </c>
      <c r="G1834" s="15">
        <v>2510</v>
      </c>
      <c r="H1834" s="15">
        <v>12</v>
      </c>
      <c r="I1834" s="15">
        <v>2208.8000000000002</v>
      </c>
      <c r="J1834" s="13" t="s">
        <v>87</v>
      </c>
      <c r="K1834" s="13" t="s">
        <v>112</v>
      </c>
      <c r="L1834">
        <f>IF(COUNTIF(A$2:A1834, A1834)=1, IF(COUNTIF(A$2:A$2001, A1834)&gt;1, 1, 0), 0)</f>
        <v>0</v>
      </c>
      <c r="M1834" t="b">
        <f>VLOOKUP(D1834, Products!A$2:F$61, 6, FALSE)</f>
        <v>0</v>
      </c>
      <c r="N1834" t="str">
        <f>VLOOKUP(D1834, Products!A$2:C$61, 3, FALSE)</f>
        <v>Apparel</v>
      </c>
      <c r="O1834" t="str">
        <f>VLOOKUP(C1834, Customers!A$2:E$301, 5, FALSE)</f>
        <v>Retail</v>
      </c>
      <c r="P1834">
        <f>VLOOKUP(C1834, Customers!A$2:C$301, 3, FALSE)</f>
        <v>37</v>
      </c>
      <c r="Q1834" t="str">
        <f>VLOOKUP(E1834, Sales_Reps!A$2:C$31, 3, FALSE)</f>
        <v>East</v>
      </c>
      <c r="R1834">
        <f>VLOOKUP(D1834, Products!A$2:D$61, 4, FALSE)</f>
        <v>1075</v>
      </c>
    </row>
    <row r="1835" spans="1:18" x14ac:dyDescent="0.3">
      <c r="A1835" s="13" t="s">
        <v>2332</v>
      </c>
      <c r="B1835" s="14">
        <v>45593</v>
      </c>
      <c r="C1835" s="13" t="s">
        <v>582</v>
      </c>
      <c r="D1835" s="13" t="s">
        <v>355</v>
      </c>
      <c r="E1835" s="13" t="s">
        <v>192</v>
      </c>
      <c r="F1835" s="15">
        <v>4</v>
      </c>
      <c r="G1835" s="15">
        <v>2510</v>
      </c>
      <c r="H1835" s="15">
        <v>23.2</v>
      </c>
      <c r="I1835" s="15">
        <v>7710.72</v>
      </c>
      <c r="J1835" s="13" t="s">
        <v>87</v>
      </c>
      <c r="K1835" s="13" t="s">
        <v>94</v>
      </c>
      <c r="L1835">
        <f>IF(COUNTIF(A$2:A1835, A1835)=1, IF(COUNTIF(A$2:A$2001, A1835)&gt;1, 1, 0), 0)</f>
        <v>0</v>
      </c>
      <c r="M1835" t="b">
        <f>VLOOKUP(D1835, Products!A$2:F$61, 6, FALSE)</f>
        <v>0</v>
      </c>
      <c r="N1835" t="str">
        <f>VLOOKUP(D1835, Products!A$2:C$61, 3, FALSE)</f>
        <v>Apparel</v>
      </c>
      <c r="O1835" t="str">
        <f>VLOOKUP(C1835, Customers!A$2:E$301, 5, FALSE)</f>
        <v>SMB</v>
      </c>
      <c r="P1835">
        <f>VLOOKUP(C1835, Customers!A$2:C$301, 3, FALSE)</f>
        <v>59</v>
      </c>
      <c r="Q1835" t="str">
        <f>VLOOKUP(E1835, Sales_Reps!A$2:C$31, 3, FALSE)</f>
        <v>East</v>
      </c>
      <c r="R1835">
        <f>VLOOKUP(D1835, Products!A$2:D$61, 4, FALSE)</f>
        <v>1075</v>
      </c>
    </row>
    <row r="1836" spans="1:18" x14ac:dyDescent="0.3">
      <c r="A1836" s="13" t="s">
        <v>2333</v>
      </c>
      <c r="B1836" s="14">
        <v>45555</v>
      </c>
      <c r="C1836" s="13" t="s">
        <v>1065</v>
      </c>
      <c r="D1836" s="13" t="s">
        <v>380</v>
      </c>
      <c r="E1836" s="13" t="s">
        <v>92</v>
      </c>
      <c r="F1836" s="15">
        <v>8</v>
      </c>
      <c r="G1836" s="15">
        <v>960</v>
      </c>
      <c r="H1836" s="15">
        <v>20.3</v>
      </c>
      <c r="I1836" s="15">
        <v>6120.96</v>
      </c>
      <c r="J1836" s="13" t="s">
        <v>93</v>
      </c>
      <c r="K1836" s="13" t="s">
        <v>94</v>
      </c>
      <c r="L1836">
        <f>IF(COUNTIF(A$2:A1836, A1836)=1, IF(COUNTIF(A$2:A$2001, A1836)&gt;1, 1, 0), 0)</f>
        <v>0</v>
      </c>
      <c r="M1836" t="b">
        <f>VLOOKUP(D1836, Products!A$2:F$61, 6, FALSE)</f>
        <v>1</v>
      </c>
      <c r="N1836" t="str">
        <f>VLOOKUP(D1836, Products!A$2:C$61, 3, FALSE)</f>
        <v>Beauty</v>
      </c>
      <c r="O1836" t="str">
        <f>VLOOKUP(C1836, Customers!A$2:E$301, 5, FALSE)</f>
        <v>Retail</v>
      </c>
      <c r="P1836">
        <f>VLOOKUP(C1836, Customers!A$2:C$301, 3, FALSE)</f>
        <v>49</v>
      </c>
      <c r="Q1836" t="str">
        <f>VLOOKUP(E1836, Sales_Reps!A$2:C$31, 3, FALSE)</f>
        <v>North</v>
      </c>
      <c r="R1836">
        <f>VLOOKUP(D1836, Products!A$2:D$61, 4, FALSE)</f>
        <v>675</v>
      </c>
    </row>
    <row r="1837" spans="1:18" x14ac:dyDescent="0.3">
      <c r="A1837" s="13" t="s">
        <v>2334</v>
      </c>
      <c r="B1837" s="14">
        <v>45406</v>
      </c>
      <c r="C1837" s="13" t="s">
        <v>2053</v>
      </c>
      <c r="D1837" s="13" t="s">
        <v>124</v>
      </c>
      <c r="E1837" s="13" t="s">
        <v>132</v>
      </c>
      <c r="F1837" s="15">
        <v>3</v>
      </c>
      <c r="G1837" s="15">
        <v>5490</v>
      </c>
      <c r="H1837" s="15">
        <v>25.2</v>
      </c>
      <c r="I1837" s="15">
        <v>12319.56</v>
      </c>
      <c r="J1837" s="13" t="s">
        <v>87</v>
      </c>
      <c r="K1837" s="13" t="s">
        <v>133</v>
      </c>
      <c r="L1837">
        <f>IF(COUNTIF(A$2:A1837, A1837)=1, IF(COUNTIF(A$2:A$2001, A1837)&gt;1, 1, 0), 0)</f>
        <v>0</v>
      </c>
      <c r="M1837" t="b">
        <f>VLOOKUP(D1837, Products!A$2:F$61, 6, FALSE)</f>
        <v>1</v>
      </c>
      <c r="N1837" t="str">
        <f>VLOOKUP(D1837, Products!A$2:C$61, 3, FALSE)</f>
        <v>Home</v>
      </c>
      <c r="O1837" t="str">
        <f>VLOOKUP(C1837, Customers!A$2:E$301, 5, FALSE)</f>
        <v>SMB</v>
      </c>
      <c r="P1837">
        <f>VLOOKUP(C1837, Customers!A$2:C$301, 3, FALSE)</f>
        <v>39</v>
      </c>
      <c r="Q1837" t="str">
        <f>VLOOKUP(E1837, Sales_Reps!A$2:C$31, 3, FALSE)</f>
        <v>South</v>
      </c>
      <c r="R1837">
        <f>VLOOKUP(D1837, Products!A$2:D$61, 4, FALSE)</f>
        <v>2549</v>
      </c>
    </row>
    <row r="1838" spans="1:18" x14ac:dyDescent="0.3">
      <c r="A1838" s="13" t="s">
        <v>2335</v>
      </c>
      <c r="B1838" s="14">
        <v>45647</v>
      </c>
      <c r="C1838" s="13" t="s">
        <v>945</v>
      </c>
      <c r="D1838" s="13" t="s">
        <v>355</v>
      </c>
      <c r="E1838" s="13" t="s">
        <v>103</v>
      </c>
      <c r="F1838" s="15">
        <v>2</v>
      </c>
      <c r="G1838" s="15">
        <v>2510</v>
      </c>
      <c r="H1838" s="15">
        <v>28.2</v>
      </c>
      <c r="I1838" s="15">
        <v>3604.36</v>
      </c>
      <c r="J1838" s="13" t="s">
        <v>87</v>
      </c>
      <c r="K1838" s="13" t="s">
        <v>88</v>
      </c>
      <c r="L1838">
        <f>IF(COUNTIF(A$2:A1838, A1838)=1, IF(COUNTIF(A$2:A$2001, A1838)&gt;1, 1, 0), 0)</f>
        <v>0</v>
      </c>
      <c r="M1838" t="b">
        <f>VLOOKUP(D1838, Products!A$2:F$61, 6, FALSE)</f>
        <v>0</v>
      </c>
      <c r="N1838" t="str">
        <f>VLOOKUP(D1838, Products!A$2:C$61, 3, FALSE)</f>
        <v>Apparel</v>
      </c>
      <c r="O1838" t="str">
        <f>VLOOKUP(C1838, Customers!A$2:E$301, 5, FALSE)</f>
        <v>Retail</v>
      </c>
      <c r="P1838">
        <f>VLOOKUP(C1838, Customers!A$2:C$301, 3, FALSE)</f>
        <v>54</v>
      </c>
      <c r="Q1838" t="str">
        <f>VLOOKUP(E1838, Sales_Reps!A$2:C$31, 3, FALSE)</f>
        <v>North</v>
      </c>
      <c r="R1838">
        <f>VLOOKUP(D1838, Products!A$2:D$61, 4, FALSE)</f>
        <v>1075</v>
      </c>
    </row>
    <row r="1839" spans="1:18" x14ac:dyDescent="0.3">
      <c r="A1839" s="13" t="s">
        <v>2336</v>
      </c>
      <c r="B1839" s="14">
        <v>45386</v>
      </c>
      <c r="C1839" s="13" t="s">
        <v>797</v>
      </c>
      <c r="D1839" s="13" t="s">
        <v>91</v>
      </c>
      <c r="E1839" s="13" t="s">
        <v>273</v>
      </c>
      <c r="F1839" s="15">
        <v>1</v>
      </c>
      <c r="G1839" s="15">
        <v>820</v>
      </c>
      <c r="H1839" s="15">
        <v>4.7</v>
      </c>
      <c r="I1839" s="15">
        <v>781.46</v>
      </c>
      <c r="J1839" s="13" t="s">
        <v>87</v>
      </c>
      <c r="K1839" s="13" t="s">
        <v>99</v>
      </c>
      <c r="L1839">
        <f>IF(COUNTIF(A$2:A1839, A1839)=1, IF(COUNTIF(A$2:A$2001, A1839)&gt;1, 1, 0), 0)</f>
        <v>0</v>
      </c>
      <c r="M1839" t="b">
        <f>VLOOKUP(D1839, Products!A$2:F$61, 6, FALSE)</f>
        <v>1</v>
      </c>
      <c r="N1839" t="str">
        <f>VLOOKUP(D1839, Products!A$2:C$61, 3, FALSE)</f>
        <v>Apparel</v>
      </c>
      <c r="O1839" t="str">
        <f>VLOOKUP(C1839, Customers!A$2:E$301, 5, FALSE)</f>
        <v>Retail</v>
      </c>
      <c r="P1839">
        <f>VLOOKUP(C1839, Customers!A$2:C$301, 3, FALSE)</f>
        <v>63</v>
      </c>
      <c r="Q1839" t="str">
        <f>VLOOKUP(E1839, Sales_Reps!A$2:C$31, 3, FALSE)</f>
        <v>South</v>
      </c>
      <c r="R1839">
        <f>VLOOKUP(D1839, Products!A$2:D$61, 4, FALSE)</f>
        <v>391</v>
      </c>
    </row>
    <row r="1840" spans="1:18" x14ac:dyDescent="0.3">
      <c r="A1840" s="13" t="s">
        <v>2337</v>
      </c>
      <c r="B1840" s="14">
        <v>45453</v>
      </c>
      <c r="C1840" s="13" t="s">
        <v>350</v>
      </c>
      <c r="D1840" s="13" t="s">
        <v>282</v>
      </c>
      <c r="E1840" s="13" t="s">
        <v>303</v>
      </c>
      <c r="F1840" s="15">
        <v>6</v>
      </c>
      <c r="G1840" s="15">
        <v>300</v>
      </c>
      <c r="H1840" s="15">
        <v>13.3</v>
      </c>
      <c r="I1840" s="15">
        <v>1560.6</v>
      </c>
      <c r="J1840" s="13" t="s">
        <v>87</v>
      </c>
      <c r="K1840" s="13" t="s">
        <v>112</v>
      </c>
      <c r="L1840">
        <f>IF(COUNTIF(A$2:A1840, A1840)=1, IF(COUNTIF(A$2:A$2001, A1840)&gt;1, 1, 0), 0)</f>
        <v>0</v>
      </c>
      <c r="M1840" t="b">
        <f>VLOOKUP(D1840, Products!A$2:F$61, 6, FALSE)</f>
        <v>1</v>
      </c>
      <c r="N1840" t="str">
        <f>VLOOKUP(D1840, Products!A$2:C$61, 3, FALSE)</f>
        <v>Electronics</v>
      </c>
      <c r="O1840" t="str">
        <f>VLOOKUP(C1840, Customers!A$2:E$301, 5, FALSE)</f>
        <v>SMB</v>
      </c>
      <c r="P1840">
        <f>VLOOKUP(C1840, Customers!A$2:C$301, 3, FALSE)</f>
        <v>22</v>
      </c>
      <c r="Q1840" t="str">
        <f>VLOOKUP(E1840, Sales_Reps!A$2:C$31, 3, FALSE)</f>
        <v>East</v>
      </c>
      <c r="R1840">
        <f>VLOOKUP(D1840, Products!A$2:D$61, 4, FALSE)</f>
        <v>128</v>
      </c>
    </row>
    <row r="1841" spans="1:18" x14ac:dyDescent="0.3">
      <c r="A1841" s="13" t="s">
        <v>2338</v>
      </c>
      <c r="B1841" s="14">
        <v>45492</v>
      </c>
      <c r="C1841" s="13" t="s">
        <v>105</v>
      </c>
      <c r="D1841" s="13" t="s">
        <v>179</v>
      </c>
      <c r="E1841" s="13" t="s">
        <v>346</v>
      </c>
      <c r="F1841" s="15">
        <v>4</v>
      </c>
      <c r="G1841" s="15">
        <v>3350</v>
      </c>
      <c r="H1841" s="15">
        <v>5.8</v>
      </c>
      <c r="I1841" s="15">
        <v>12622.8</v>
      </c>
      <c r="J1841" s="13" t="s">
        <v>93</v>
      </c>
      <c r="K1841" s="13" t="s">
        <v>94</v>
      </c>
      <c r="L1841">
        <f>IF(COUNTIF(A$2:A1841, A1841)=1, IF(COUNTIF(A$2:A$2001, A1841)&gt;1, 1, 0), 0)</f>
        <v>0</v>
      </c>
      <c r="M1841" t="b">
        <f>VLOOKUP(D1841, Products!A$2:F$61, 6, FALSE)</f>
        <v>1</v>
      </c>
      <c r="N1841" t="str">
        <f>VLOOKUP(D1841, Products!A$2:C$61, 3, FALSE)</f>
        <v>Beauty</v>
      </c>
      <c r="O1841" t="str">
        <f>VLOOKUP(C1841, Customers!A$2:E$301, 5, FALSE)</f>
        <v>Retail</v>
      </c>
      <c r="P1841">
        <f>VLOOKUP(C1841, Customers!A$2:C$301, 3, FALSE)</f>
        <v>36</v>
      </c>
      <c r="Q1841" t="str">
        <f>VLOOKUP(E1841, Sales_Reps!A$2:C$31, 3, FALSE)</f>
        <v>South</v>
      </c>
      <c r="R1841">
        <f>VLOOKUP(D1841, Products!A$2:D$61, 4, FALSE)</f>
        <v>1728</v>
      </c>
    </row>
    <row r="1842" spans="1:18" x14ac:dyDescent="0.3">
      <c r="A1842" s="13" t="s">
        <v>2339</v>
      </c>
      <c r="B1842" s="14">
        <v>45605</v>
      </c>
      <c r="C1842" s="13" t="s">
        <v>1816</v>
      </c>
      <c r="D1842" s="13" t="s">
        <v>143</v>
      </c>
      <c r="E1842" s="13" t="s">
        <v>111</v>
      </c>
      <c r="F1842" s="15">
        <v>3</v>
      </c>
      <c r="G1842" s="15">
        <v>3250</v>
      </c>
      <c r="H1842" s="15">
        <v>19.600000000000001</v>
      </c>
      <c r="I1842" s="15">
        <v>7839</v>
      </c>
      <c r="J1842" s="13" t="s">
        <v>93</v>
      </c>
      <c r="K1842" s="13" t="s">
        <v>99</v>
      </c>
      <c r="L1842">
        <f>IF(COUNTIF(A$2:A1842, A1842)=1, IF(COUNTIF(A$2:A$2001, A1842)&gt;1, 1, 0), 0)</f>
        <v>0</v>
      </c>
      <c r="M1842" t="b">
        <f>VLOOKUP(D1842, Products!A$2:F$61, 6, FALSE)</f>
        <v>1</v>
      </c>
      <c r="N1842" t="str">
        <f>VLOOKUP(D1842, Products!A$2:C$61, 3, FALSE)</f>
        <v>Home</v>
      </c>
      <c r="O1842" t="str">
        <f>VLOOKUP(C1842, Customers!A$2:E$301, 5, FALSE)</f>
        <v>Retail</v>
      </c>
      <c r="P1842">
        <f>VLOOKUP(C1842, Customers!A$2:C$301, 3, FALSE)</f>
        <v>62</v>
      </c>
      <c r="Q1842" t="str">
        <f>VLOOKUP(E1842, Sales_Reps!A$2:C$31, 3, FALSE)</f>
        <v>West</v>
      </c>
      <c r="R1842">
        <f>VLOOKUP(D1842, Products!A$2:D$61, 4, FALSE)</f>
        <v>1556</v>
      </c>
    </row>
    <row r="1843" spans="1:18" x14ac:dyDescent="0.3">
      <c r="A1843" s="13" t="s">
        <v>2340</v>
      </c>
      <c r="B1843" s="14">
        <v>45344</v>
      </c>
      <c r="C1843" s="13" t="s">
        <v>153</v>
      </c>
      <c r="D1843" s="13" t="s">
        <v>176</v>
      </c>
      <c r="E1843" s="13" t="s">
        <v>343</v>
      </c>
      <c r="F1843" s="15">
        <v>10</v>
      </c>
      <c r="G1843" s="15">
        <v>1650</v>
      </c>
      <c r="H1843" s="15">
        <v>22.5</v>
      </c>
      <c r="I1843" s="15">
        <v>12787.5</v>
      </c>
      <c r="J1843" s="13" t="s">
        <v>140</v>
      </c>
      <c r="K1843" s="13" t="s">
        <v>117</v>
      </c>
      <c r="L1843">
        <f>IF(COUNTIF(A$2:A1843, A1843)=1, IF(COUNTIF(A$2:A$2001, A1843)&gt;1, 1, 0), 0)</f>
        <v>0</v>
      </c>
      <c r="M1843" t="b">
        <f>VLOOKUP(D1843, Products!A$2:F$61, 6, FALSE)</f>
        <v>1</v>
      </c>
      <c r="N1843" t="str">
        <f>VLOOKUP(D1843, Products!A$2:C$61, 3, FALSE)</f>
        <v>Beauty</v>
      </c>
      <c r="O1843" t="str">
        <f>VLOOKUP(C1843, Customers!A$2:E$301, 5, FALSE)</f>
        <v>SMB</v>
      </c>
      <c r="P1843">
        <f>VLOOKUP(C1843, Customers!A$2:C$301, 3, FALSE)</f>
        <v>46</v>
      </c>
      <c r="Q1843" t="str">
        <f>VLOOKUP(E1843, Sales_Reps!A$2:C$31, 3, FALSE)</f>
        <v>West</v>
      </c>
      <c r="R1843">
        <f>VLOOKUP(D1843, Products!A$2:D$61, 4, FALSE)</f>
        <v>1222</v>
      </c>
    </row>
    <row r="1844" spans="1:18" x14ac:dyDescent="0.3">
      <c r="A1844" s="13" t="s">
        <v>2341</v>
      </c>
      <c r="B1844" s="14">
        <v>45506</v>
      </c>
      <c r="C1844" s="13" t="s">
        <v>752</v>
      </c>
      <c r="D1844" s="13" t="s">
        <v>267</v>
      </c>
      <c r="E1844" s="13" t="s">
        <v>201</v>
      </c>
      <c r="F1844" s="15">
        <v>2</v>
      </c>
      <c r="G1844" s="15">
        <v>1220</v>
      </c>
      <c r="H1844" s="15">
        <v>10.5</v>
      </c>
      <c r="I1844" s="15">
        <v>2183.8000000000002</v>
      </c>
      <c r="J1844" s="13" t="s">
        <v>87</v>
      </c>
      <c r="K1844" s="13" t="s">
        <v>117</v>
      </c>
      <c r="L1844">
        <f>IF(COUNTIF(A$2:A1844, A1844)=1, IF(COUNTIF(A$2:A$2001, A1844)&gt;1, 1, 0), 0)</f>
        <v>0</v>
      </c>
      <c r="M1844" t="b">
        <f>VLOOKUP(D1844, Products!A$2:F$61, 6, FALSE)</f>
        <v>1</v>
      </c>
      <c r="N1844" t="str">
        <f>VLOOKUP(D1844, Products!A$2:C$61, 3, FALSE)</f>
        <v>Electronics</v>
      </c>
      <c r="O1844" t="str">
        <f>VLOOKUP(C1844, Customers!A$2:E$301, 5, FALSE)</f>
        <v>Retail</v>
      </c>
      <c r="P1844">
        <f>VLOOKUP(C1844, Customers!A$2:C$301, 3, FALSE)</f>
        <v>32</v>
      </c>
      <c r="Q1844" t="str">
        <f>VLOOKUP(E1844, Sales_Reps!A$2:C$31, 3, FALSE)</f>
        <v>West</v>
      </c>
      <c r="R1844">
        <f>VLOOKUP(D1844, Products!A$2:D$61, 4, FALSE)</f>
        <v>517</v>
      </c>
    </row>
    <row r="1845" spans="1:18" x14ac:dyDescent="0.3">
      <c r="A1845" s="13" t="s">
        <v>2342</v>
      </c>
      <c r="B1845" s="14">
        <v>45521</v>
      </c>
      <c r="C1845" s="13" t="s">
        <v>312</v>
      </c>
      <c r="D1845" s="13" t="s">
        <v>380</v>
      </c>
      <c r="E1845" s="13" t="s">
        <v>201</v>
      </c>
      <c r="F1845" s="15">
        <v>7</v>
      </c>
      <c r="G1845" s="15">
        <v>960</v>
      </c>
      <c r="H1845" s="15">
        <v>5.4</v>
      </c>
      <c r="I1845" s="15">
        <v>6357.12</v>
      </c>
      <c r="J1845" s="13" t="s">
        <v>144</v>
      </c>
      <c r="K1845" s="13" t="s">
        <v>133</v>
      </c>
      <c r="L1845">
        <f>IF(COUNTIF(A$2:A1845, A1845)=1, IF(COUNTIF(A$2:A$2001, A1845)&gt;1, 1, 0), 0)</f>
        <v>0</v>
      </c>
      <c r="M1845" t="b">
        <f>VLOOKUP(D1845, Products!A$2:F$61, 6, FALSE)</f>
        <v>1</v>
      </c>
      <c r="N1845" t="str">
        <f>VLOOKUP(D1845, Products!A$2:C$61, 3, FALSE)</f>
        <v>Beauty</v>
      </c>
      <c r="O1845" t="str">
        <f>VLOOKUP(C1845, Customers!A$2:E$301, 5, FALSE)</f>
        <v>Retail</v>
      </c>
      <c r="P1845">
        <f>VLOOKUP(C1845, Customers!A$2:C$301, 3, FALSE)</f>
        <v>46</v>
      </c>
      <c r="Q1845" t="str">
        <f>VLOOKUP(E1845, Sales_Reps!A$2:C$31, 3, FALSE)</f>
        <v>West</v>
      </c>
      <c r="R1845">
        <f>VLOOKUP(D1845, Products!A$2:D$61, 4, FALSE)</f>
        <v>675</v>
      </c>
    </row>
    <row r="1846" spans="1:18" x14ac:dyDescent="0.3">
      <c r="A1846" s="13" t="s">
        <v>2343</v>
      </c>
      <c r="B1846" s="14">
        <v>45389</v>
      </c>
      <c r="C1846" s="13" t="s">
        <v>905</v>
      </c>
      <c r="D1846" s="13" t="s">
        <v>184</v>
      </c>
      <c r="E1846" s="13" t="s">
        <v>98</v>
      </c>
      <c r="F1846" s="15">
        <v>3</v>
      </c>
      <c r="G1846" s="15">
        <v>4880</v>
      </c>
      <c r="H1846" s="15">
        <v>17.100000000000001</v>
      </c>
      <c r="I1846" s="15">
        <v>12136.56</v>
      </c>
      <c r="J1846" s="13" t="s">
        <v>87</v>
      </c>
      <c r="K1846" s="13" t="s">
        <v>112</v>
      </c>
      <c r="L1846">
        <f>IF(COUNTIF(A$2:A1846, A1846)=1, IF(COUNTIF(A$2:A$2001, A1846)&gt;1, 1, 0), 0)</f>
        <v>0</v>
      </c>
      <c r="M1846" t="b">
        <f>VLOOKUP(D1846, Products!A$2:F$61, 6, FALSE)</f>
        <v>1</v>
      </c>
      <c r="N1846" t="str">
        <f>VLOOKUP(D1846, Products!A$2:C$61, 3, FALSE)</f>
        <v>Beauty</v>
      </c>
      <c r="O1846" t="str">
        <f>VLOOKUP(C1846, Customers!A$2:E$301, 5, FALSE)</f>
        <v>SMB</v>
      </c>
      <c r="P1846">
        <f>VLOOKUP(C1846, Customers!A$2:C$301, 3, FALSE)</f>
        <v>43</v>
      </c>
      <c r="Q1846" t="str">
        <f>VLOOKUP(E1846, Sales_Reps!A$2:C$31, 3, FALSE)</f>
        <v>South</v>
      </c>
      <c r="R1846">
        <f>VLOOKUP(D1846, Products!A$2:D$61, 4, FALSE)</f>
        <v>2768</v>
      </c>
    </row>
    <row r="1847" spans="1:18" x14ac:dyDescent="0.3">
      <c r="A1847" s="13" t="s">
        <v>2344</v>
      </c>
      <c r="B1847" s="14">
        <v>45390</v>
      </c>
      <c r="C1847" s="13" t="s">
        <v>582</v>
      </c>
      <c r="D1847" s="13" t="s">
        <v>131</v>
      </c>
      <c r="E1847" s="13" t="s">
        <v>128</v>
      </c>
      <c r="F1847" s="15">
        <v>5</v>
      </c>
      <c r="G1847" s="15">
        <v>2270</v>
      </c>
      <c r="H1847" s="15">
        <v>12.4</v>
      </c>
      <c r="I1847" s="15">
        <v>9942.6</v>
      </c>
      <c r="J1847" s="13" t="s">
        <v>87</v>
      </c>
      <c r="K1847" s="13" t="s">
        <v>94</v>
      </c>
      <c r="L1847">
        <f>IF(COUNTIF(A$2:A1847, A1847)=1, IF(COUNTIF(A$2:A$2001, A1847)&gt;1, 1, 0), 0)</f>
        <v>0</v>
      </c>
      <c r="M1847" t="b">
        <f>VLOOKUP(D1847, Products!A$2:F$61, 6, FALSE)</f>
        <v>1</v>
      </c>
      <c r="N1847" t="str">
        <f>VLOOKUP(D1847, Products!A$2:C$61, 3, FALSE)</f>
        <v>Grocery</v>
      </c>
      <c r="O1847" t="str">
        <f>VLOOKUP(C1847, Customers!A$2:E$301, 5, FALSE)</f>
        <v>SMB</v>
      </c>
      <c r="P1847">
        <f>VLOOKUP(C1847, Customers!A$2:C$301, 3, FALSE)</f>
        <v>59</v>
      </c>
      <c r="Q1847" t="str">
        <f>VLOOKUP(E1847, Sales_Reps!A$2:C$31, 3, FALSE)</f>
        <v>West</v>
      </c>
      <c r="R1847">
        <f>VLOOKUP(D1847, Products!A$2:D$61, 4, FALSE)</f>
        <v>1203</v>
      </c>
    </row>
    <row r="1848" spans="1:18" x14ac:dyDescent="0.3">
      <c r="A1848" s="13" t="s">
        <v>2345</v>
      </c>
      <c r="B1848" s="14">
        <v>45413</v>
      </c>
      <c r="C1848" s="13" t="s">
        <v>613</v>
      </c>
      <c r="D1848" s="13" t="s">
        <v>502</v>
      </c>
      <c r="E1848" s="13" t="s">
        <v>128</v>
      </c>
      <c r="F1848" s="15">
        <v>1</v>
      </c>
      <c r="G1848" s="15">
        <v>1090</v>
      </c>
      <c r="H1848" s="15">
        <v>17.3</v>
      </c>
      <c r="I1848" s="15">
        <v>901.43</v>
      </c>
      <c r="J1848" s="13" t="s">
        <v>87</v>
      </c>
      <c r="K1848" s="13" t="s">
        <v>112</v>
      </c>
      <c r="L1848">
        <f>IF(COUNTIF(A$2:A1848, A1848)=1, IF(COUNTIF(A$2:A$2001, A1848)&gt;1, 1, 0), 0)</f>
        <v>0</v>
      </c>
      <c r="M1848" t="b">
        <f>VLOOKUP(D1848, Products!A$2:F$61, 6, FALSE)</f>
        <v>1</v>
      </c>
      <c r="N1848" t="str">
        <f>VLOOKUP(D1848, Products!A$2:C$61, 3, FALSE)</f>
        <v>Home</v>
      </c>
      <c r="O1848" t="str">
        <f>VLOOKUP(C1848, Customers!A$2:E$301, 5, FALSE)</f>
        <v>Retail</v>
      </c>
      <c r="P1848">
        <f>VLOOKUP(C1848, Customers!A$2:C$301, 3, FALSE)</f>
        <v>44</v>
      </c>
      <c r="Q1848" t="str">
        <f>VLOOKUP(E1848, Sales_Reps!A$2:C$31, 3, FALSE)</f>
        <v>West</v>
      </c>
      <c r="R1848">
        <f>VLOOKUP(D1848, Products!A$2:D$61, 4, FALSE)</f>
        <v>464</v>
      </c>
    </row>
    <row r="1849" spans="1:18" x14ac:dyDescent="0.3">
      <c r="A1849" s="13" t="s">
        <v>2346</v>
      </c>
      <c r="B1849" s="14">
        <v>45535</v>
      </c>
      <c r="C1849" s="13" t="s">
        <v>324</v>
      </c>
      <c r="D1849" s="13" t="s">
        <v>443</v>
      </c>
      <c r="E1849" s="13" t="s">
        <v>229</v>
      </c>
      <c r="F1849" s="15">
        <v>8</v>
      </c>
      <c r="G1849" s="15">
        <v>5080</v>
      </c>
      <c r="H1849" s="15">
        <v>0.9</v>
      </c>
      <c r="I1849" s="15">
        <v>40274.239999999998</v>
      </c>
      <c r="J1849" s="13" t="s">
        <v>87</v>
      </c>
      <c r="K1849" s="13" t="s">
        <v>133</v>
      </c>
      <c r="L1849">
        <f>IF(COUNTIF(A$2:A1849, A1849)=1, IF(COUNTIF(A$2:A$2001, A1849)&gt;1, 1, 0), 0)</f>
        <v>0</v>
      </c>
      <c r="M1849" t="b">
        <f>VLOOKUP(D1849, Products!A$2:F$61, 6, FALSE)</f>
        <v>1</v>
      </c>
      <c r="N1849" t="str">
        <f>VLOOKUP(D1849, Products!A$2:C$61, 3, FALSE)</f>
        <v>Home</v>
      </c>
      <c r="O1849" t="str">
        <f>VLOOKUP(C1849, Customers!A$2:E$301, 5, FALSE)</f>
        <v>Retail</v>
      </c>
      <c r="P1849">
        <f>VLOOKUP(C1849, Customers!A$2:C$301, 3, FALSE)</f>
        <v>28</v>
      </c>
      <c r="Q1849" t="str">
        <f>VLOOKUP(E1849, Sales_Reps!A$2:C$31, 3, FALSE)</f>
        <v>West</v>
      </c>
      <c r="R1849">
        <f>VLOOKUP(D1849, Products!A$2:D$61, 4, FALSE)</f>
        <v>2459</v>
      </c>
    </row>
    <row r="1850" spans="1:18" x14ac:dyDescent="0.3">
      <c r="A1850" s="13" t="s">
        <v>2347</v>
      </c>
      <c r="B1850" s="14">
        <v>45569</v>
      </c>
      <c r="C1850" s="13" t="s">
        <v>856</v>
      </c>
      <c r="D1850" s="13" t="s">
        <v>270</v>
      </c>
      <c r="E1850" s="13" t="s">
        <v>238</v>
      </c>
      <c r="F1850" s="15">
        <v>7</v>
      </c>
      <c r="G1850" s="15">
        <v>4610</v>
      </c>
      <c r="H1850" s="15">
        <v>0.9</v>
      </c>
      <c r="I1850" s="15">
        <v>31979.57</v>
      </c>
      <c r="J1850" s="13" t="s">
        <v>87</v>
      </c>
      <c r="K1850" s="13" t="s">
        <v>88</v>
      </c>
      <c r="L1850">
        <f>IF(COUNTIF(A$2:A1850, A1850)=1, IF(COUNTIF(A$2:A$2001, A1850)&gt;1, 1, 0), 0)</f>
        <v>0</v>
      </c>
      <c r="M1850" t="b">
        <f>VLOOKUP(D1850, Products!A$2:F$61, 6, FALSE)</f>
        <v>1</v>
      </c>
      <c r="N1850" t="str">
        <f>VLOOKUP(D1850, Products!A$2:C$61, 3, FALSE)</f>
        <v>Home</v>
      </c>
      <c r="O1850" t="str">
        <f>VLOOKUP(C1850, Customers!A$2:E$301, 5, FALSE)</f>
        <v>SMB</v>
      </c>
      <c r="P1850">
        <f>VLOOKUP(C1850, Customers!A$2:C$301, 3, FALSE)</f>
        <v>59</v>
      </c>
      <c r="Q1850" t="str">
        <f>VLOOKUP(E1850, Sales_Reps!A$2:C$31, 3, FALSE)</f>
        <v>East</v>
      </c>
      <c r="R1850">
        <f>VLOOKUP(D1850, Products!A$2:D$61, 4, FALSE)</f>
        <v>1850</v>
      </c>
    </row>
    <row r="1851" spans="1:18" x14ac:dyDescent="0.3">
      <c r="A1851" s="13" t="s">
        <v>2348</v>
      </c>
      <c r="B1851" s="14">
        <v>45527</v>
      </c>
      <c r="C1851" s="13" t="s">
        <v>501</v>
      </c>
      <c r="D1851" s="13" t="s">
        <v>276</v>
      </c>
      <c r="E1851" s="13" t="s">
        <v>128</v>
      </c>
      <c r="F1851" s="15">
        <v>1</v>
      </c>
      <c r="G1851" s="15">
        <v>3020</v>
      </c>
      <c r="H1851" s="15">
        <v>10.3</v>
      </c>
      <c r="I1851" s="15">
        <v>2708.94</v>
      </c>
      <c r="J1851" s="13" t="s">
        <v>87</v>
      </c>
      <c r="K1851" s="13" t="s">
        <v>133</v>
      </c>
      <c r="L1851">
        <f>IF(COUNTIF(A$2:A1851, A1851)=1, IF(COUNTIF(A$2:A$2001, A1851)&gt;1, 1, 0), 0)</f>
        <v>0</v>
      </c>
      <c r="M1851" t="b">
        <f>VLOOKUP(D1851, Products!A$2:F$61, 6, FALSE)</f>
        <v>1</v>
      </c>
      <c r="N1851" t="str">
        <f>VLOOKUP(D1851, Products!A$2:C$61, 3, FALSE)</f>
        <v>Beauty</v>
      </c>
      <c r="O1851" t="str">
        <f>VLOOKUP(C1851, Customers!A$2:E$301, 5, FALSE)</f>
        <v>SMB</v>
      </c>
      <c r="P1851">
        <f>VLOOKUP(C1851, Customers!A$2:C$301, 3, FALSE)</f>
        <v>65</v>
      </c>
      <c r="Q1851" t="str">
        <f>VLOOKUP(E1851, Sales_Reps!A$2:C$31, 3, FALSE)</f>
        <v>West</v>
      </c>
      <c r="R1851">
        <f>VLOOKUP(D1851, Products!A$2:D$61, 4, FALSE)</f>
        <v>1626</v>
      </c>
    </row>
    <row r="1852" spans="1:18" x14ac:dyDescent="0.3">
      <c r="A1852" s="13" t="s">
        <v>2349</v>
      </c>
      <c r="B1852" s="14">
        <v>45453</v>
      </c>
      <c r="C1852" s="13" t="s">
        <v>638</v>
      </c>
      <c r="D1852" s="13" t="s">
        <v>245</v>
      </c>
      <c r="E1852" s="13" t="s">
        <v>128</v>
      </c>
      <c r="F1852" s="15">
        <v>6</v>
      </c>
      <c r="G1852" s="15">
        <v>2270</v>
      </c>
      <c r="H1852" s="15">
        <v>23.1</v>
      </c>
      <c r="I1852" s="15">
        <v>10473.780000000001</v>
      </c>
      <c r="J1852" s="13" t="s">
        <v>87</v>
      </c>
      <c r="K1852" s="13" t="s">
        <v>99</v>
      </c>
      <c r="L1852">
        <f>IF(COUNTIF(A$2:A1852, A1852)=1, IF(COUNTIF(A$2:A$2001, A1852)&gt;1, 1, 0), 0)</f>
        <v>0</v>
      </c>
      <c r="M1852" t="b">
        <f>VLOOKUP(D1852, Products!A$2:F$61, 6, FALSE)</f>
        <v>1</v>
      </c>
      <c r="N1852" t="str">
        <f>VLOOKUP(D1852, Products!A$2:C$61, 3, FALSE)</f>
        <v>Grocery</v>
      </c>
      <c r="O1852" t="str">
        <f>VLOOKUP(C1852, Customers!A$2:E$301, 5, FALSE)</f>
        <v>Retail</v>
      </c>
      <c r="P1852">
        <f>VLOOKUP(C1852, Customers!A$2:C$301, 3, FALSE)</f>
        <v>43</v>
      </c>
      <c r="Q1852" t="str">
        <f>VLOOKUP(E1852, Sales_Reps!A$2:C$31, 3, FALSE)</f>
        <v>West</v>
      </c>
      <c r="R1852">
        <f>VLOOKUP(D1852, Products!A$2:D$61, 4, FALSE)</f>
        <v>1412</v>
      </c>
    </row>
    <row r="1853" spans="1:18" x14ac:dyDescent="0.3">
      <c r="A1853" s="13" t="s">
        <v>2350</v>
      </c>
      <c r="B1853" s="14">
        <v>45605</v>
      </c>
      <c r="C1853" s="13" t="s">
        <v>142</v>
      </c>
      <c r="D1853" s="13" t="s">
        <v>264</v>
      </c>
      <c r="E1853" s="13" t="s">
        <v>132</v>
      </c>
      <c r="F1853" s="15">
        <v>6</v>
      </c>
      <c r="G1853" s="15">
        <v>4070</v>
      </c>
      <c r="H1853" s="15">
        <v>28.9</v>
      </c>
      <c r="I1853" s="15">
        <v>17362.62</v>
      </c>
      <c r="J1853" s="13" t="s">
        <v>87</v>
      </c>
      <c r="K1853" s="13" t="s">
        <v>88</v>
      </c>
      <c r="L1853">
        <f>IF(COUNTIF(A$2:A1853, A1853)=1, IF(COUNTIF(A$2:A$2001, A1853)&gt;1, 1, 0), 0)</f>
        <v>0</v>
      </c>
      <c r="M1853" t="b">
        <f>VLOOKUP(D1853, Products!A$2:F$61, 6, FALSE)</f>
        <v>1</v>
      </c>
      <c r="N1853" t="str">
        <f>VLOOKUP(D1853, Products!A$2:C$61, 3, FALSE)</f>
        <v>Grocery</v>
      </c>
      <c r="O1853" t="str">
        <f>VLOOKUP(C1853, Customers!A$2:E$301, 5, FALSE)</f>
        <v>SMB</v>
      </c>
      <c r="P1853">
        <f>VLOOKUP(C1853, Customers!A$2:C$301, 3, FALSE)</f>
        <v>39</v>
      </c>
      <c r="Q1853" t="str">
        <f>VLOOKUP(E1853, Sales_Reps!A$2:C$31, 3, FALSE)</f>
        <v>South</v>
      </c>
      <c r="R1853">
        <f>VLOOKUP(D1853, Products!A$2:D$61, 4, FALSE)</f>
        <v>2027</v>
      </c>
    </row>
    <row r="1854" spans="1:18" x14ac:dyDescent="0.3">
      <c r="A1854" s="13" t="s">
        <v>2351</v>
      </c>
      <c r="B1854" s="14">
        <v>45650</v>
      </c>
      <c r="C1854" s="13" t="s">
        <v>541</v>
      </c>
      <c r="D1854" s="13" t="s">
        <v>267</v>
      </c>
      <c r="E1854" s="13" t="s">
        <v>238</v>
      </c>
      <c r="F1854" s="15">
        <v>5</v>
      </c>
      <c r="G1854" s="15">
        <v>1220</v>
      </c>
      <c r="H1854" s="15">
        <v>18.7</v>
      </c>
      <c r="I1854" s="15">
        <v>4959.3</v>
      </c>
      <c r="J1854" s="13" t="s">
        <v>87</v>
      </c>
      <c r="K1854" s="13" t="s">
        <v>94</v>
      </c>
      <c r="L1854">
        <f>IF(COUNTIF(A$2:A1854, A1854)=1, IF(COUNTIF(A$2:A$2001, A1854)&gt;1, 1, 0), 0)</f>
        <v>0</v>
      </c>
      <c r="M1854" t="b">
        <f>VLOOKUP(D1854, Products!A$2:F$61, 6, FALSE)</f>
        <v>1</v>
      </c>
      <c r="N1854" t="str">
        <f>VLOOKUP(D1854, Products!A$2:C$61, 3, FALSE)</f>
        <v>Electronics</v>
      </c>
      <c r="O1854" t="str">
        <f>VLOOKUP(C1854, Customers!A$2:E$301, 5, FALSE)</f>
        <v>Corporate</v>
      </c>
      <c r="P1854">
        <f>VLOOKUP(C1854, Customers!A$2:C$301, 3, FALSE)</f>
        <v>34</v>
      </c>
      <c r="Q1854" t="str">
        <f>VLOOKUP(E1854, Sales_Reps!A$2:C$31, 3, FALSE)</f>
        <v>East</v>
      </c>
      <c r="R1854">
        <f>VLOOKUP(D1854, Products!A$2:D$61, 4, FALSE)</f>
        <v>517</v>
      </c>
    </row>
    <row r="1855" spans="1:18" x14ac:dyDescent="0.3">
      <c r="A1855" s="13" t="s">
        <v>2352</v>
      </c>
      <c r="B1855" s="14">
        <v>45412</v>
      </c>
      <c r="C1855" s="13" t="s">
        <v>385</v>
      </c>
      <c r="D1855" s="13" t="s">
        <v>167</v>
      </c>
      <c r="E1855" s="13" t="s">
        <v>116</v>
      </c>
      <c r="F1855" s="15">
        <v>8</v>
      </c>
      <c r="G1855" s="15">
        <v>2480</v>
      </c>
      <c r="H1855" s="15">
        <v>3.2</v>
      </c>
      <c r="I1855" s="15">
        <v>19205.12</v>
      </c>
      <c r="J1855" s="13" t="s">
        <v>140</v>
      </c>
      <c r="K1855" s="13" t="s">
        <v>117</v>
      </c>
      <c r="L1855">
        <f>IF(COUNTIF(A$2:A1855, A1855)=1, IF(COUNTIF(A$2:A$2001, A1855)&gt;1, 1, 0), 0)</f>
        <v>0</v>
      </c>
      <c r="M1855" t="b">
        <f>VLOOKUP(D1855, Products!A$2:F$61, 6, FALSE)</f>
        <v>1</v>
      </c>
      <c r="N1855" t="str">
        <f>VLOOKUP(D1855, Products!A$2:C$61, 3, FALSE)</f>
        <v>Apparel</v>
      </c>
      <c r="O1855" t="str">
        <f>VLOOKUP(C1855, Customers!A$2:E$301, 5, FALSE)</f>
        <v>Retail</v>
      </c>
      <c r="P1855">
        <f>VLOOKUP(C1855, Customers!A$2:C$301, 3, FALSE)</f>
        <v>23</v>
      </c>
      <c r="Q1855" t="str">
        <f>VLOOKUP(E1855, Sales_Reps!A$2:C$31, 3, FALSE)</f>
        <v>West</v>
      </c>
      <c r="R1855">
        <f>VLOOKUP(D1855, Products!A$2:D$61, 4, FALSE)</f>
        <v>1173</v>
      </c>
    </row>
    <row r="1856" spans="1:18" x14ac:dyDescent="0.3">
      <c r="A1856" s="13" t="s">
        <v>2353</v>
      </c>
      <c r="B1856" s="14">
        <v>45554</v>
      </c>
      <c r="C1856" s="13" t="s">
        <v>460</v>
      </c>
      <c r="D1856" s="13" t="s">
        <v>195</v>
      </c>
      <c r="E1856" s="13" t="s">
        <v>86</v>
      </c>
      <c r="F1856" s="15">
        <v>7</v>
      </c>
      <c r="G1856" s="15">
        <v>2860</v>
      </c>
      <c r="H1856" s="15">
        <v>8.4</v>
      </c>
      <c r="I1856" s="15">
        <v>18338.32</v>
      </c>
      <c r="J1856" s="13" t="s">
        <v>87</v>
      </c>
      <c r="K1856" s="13" t="s">
        <v>88</v>
      </c>
      <c r="L1856">
        <f>IF(COUNTIF(A$2:A1856, A1856)=1, IF(COUNTIF(A$2:A$2001, A1856)&gt;1, 1, 0), 0)</f>
        <v>0</v>
      </c>
      <c r="M1856" t="b">
        <f>VLOOKUP(D1856, Products!A$2:F$61, 6, FALSE)</f>
        <v>1</v>
      </c>
      <c r="N1856" t="str">
        <f>VLOOKUP(D1856, Products!A$2:C$61, 3, FALSE)</f>
        <v>Sports</v>
      </c>
      <c r="O1856" t="str">
        <f>VLOOKUP(C1856, Customers!A$2:E$301, 5, FALSE)</f>
        <v>Corporate</v>
      </c>
      <c r="P1856">
        <f>VLOOKUP(C1856, Customers!A$2:C$301, 3, FALSE)</f>
        <v>37</v>
      </c>
      <c r="Q1856" t="str">
        <f>VLOOKUP(E1856, Sales_Reps!A$2:C$31, 3, FALSE)</f>
        <v>North</v>
      </c>
      <c r="R1856">
        <f>VLOOKUP(D1856, Products!A$2:D$61, 4, FALSE)</f>
        <v>2028</v>
      </c>
    </row>
    <row r="1857" spans="1:18" x14ac:dyDescent="0.3">
      <c r="A1857" s="13" t="s">
        <v>2354</v>
      </c>
      <c r="B1857" s="14">
        <v>45365</v>
      </c>
      <c r="C1857" s="13" t="s">
        <v>322</v>
      </c>
      <c r="D1857" s="13" t="s">
        <v>234</v>
      </c>
      <c r="E1857" s="13" t="s">
        <v>116</v>
      </c>
      <c r="F1857" s="15">
        <v>1</v>
      </c>
      <c r="G1857" s="15">
        <v>3780</v>
      </c>
      <c r="H1857" s="15">
        <v>16.3</v>
      </c>
      <c r="I1857" s="15">
        <v>3163.86</v>
      </c>
      <c r="J1857" s="13" t="s">
        <v>140</v>
      </c>
      <c r="K1857" s="13" t="s">
        <v>99</v>
      </c>
      <c r="L1857">
        <f>IF(COUNTIF(A$2:A1857, A1857)=1, IF(COUNTIF(A$2:A$2001, A1857)&gt;1, 1, 0), 0)</f>
        <v>0</v>
      </c>
      <c r="M1857" t="b">
        <f>VLOOKUP(D1857, Products!A$2:F$61, 6, FALSE)</f>
        <v>1</v>
      </c>
      <c r="N1857" t="str">
        <f>VLOOKUP(D1857, Products!A$2:C$61, 3, FALSE)</f>
        <v>Grocery</v>
      </c>
      <c r="O1857" t="str">
        <f>VLOOKUP(C1857, Customers!A$2:E$301, 5, FALSE)</f>
        <v>Retail</v>
      </c>
      <c r="P1857">
        <f>VLOOKUP(C1857, Customers!A$2:C$301, 3, FALSE)</f>
        <v>31</v>
      </c>
      <c r="Q1857" t="str">
        <f>VLOOKUP(E1857, Sales_Reps!A$2:C$31, 3, FALSE)</f>
        <v>West</v>
      </c>
      <c r="R1857">
        <f>VLOOKUP(D1857, Products!A$2:D$61, 4, FALSE)</f>
        <v>2436</v>
      </c>
    </row>
    <row r="1858" spans="1:18" x14ac:dyDescent="0.3">
      <c r="A1858" s="13" t="s">
        <v>2355</v>
      </c>
      <c r="B1858" s="14">
        <v>45504</v>
      </c>
      <c r="C1858" s="13" t="s">
        <v>977</v>
      </c>
      <c r="D1858" s="13" t="s">
        <v>195</v>
      </c>
      <c r="E1858" s="13" t="s">
        <v>111</v>
      </c>
      <c r="F1858" s="15">
        <v>6</v>
      </c>
      <c r="G1858" s="15">
        <v>2860</v>
      </c>
      <c r="H1858" s="15">
        <v>10.7</v>
      </c>
      <c r="I1858" s="15">
        <v>15323.88</v>
      </c>
      <c r="J1858" s="13" t="s">
        <v>87</v>
      </c>
      <c r="K1858" s="13" t="s">
        <v>88</v>
      </c>
      <c r="L1858">
        <f>IF(COUNTIF(A$2:A1858, A1858)=1, IF(COUNTIF(A$2:A$2001, A1858)&gt;1, 1, 0), 0)</f>
        <v>0</v>
      </c>
      <c r="M1858" t="b">
        <f>VLOOKUP(D1858, Products!A$2:F$61, 6, FALSE)</f>
        <v>1</v>
      </c>
      <c r="N1858" t="str">
        <f>VLOOKUP(D1858, Products!A$2:C$61, 3, FALSE)</f>
        <v>Sports</v>
      </c>
      <c r="O1858" t="str">
        <f>VLOOKUP(C1858, Customers!A$2:E$301, 5, FALSE)</f>
        <v>Corporate</v>
      </c>
      <c r="P1858">
        <f>VLOOKUP(C1858, Customers!A$2:C$301, 3, FALSE)</f>
        <v>29</v>
      </c>
      <c r="Q1858" t="str">
        <f>VLOOKUP(E1858, Sales_Reps!A$2:C$31, 3, FALSE)</f>
        <v>West</v>
      </c>
      <c r="R1858">
        <f>VLOOKUP(D1858, Products!A$2:D$61, 4, FALSE)</f>
        <v>2028</v>
      </c>
    </row>
    <row r="1859" spans="1:18" x14ac:dyDescent="0.3">
      <c r="A1859" s="13" t="s">
        <v>2356</v>
      </c>
      <c r="B1859" s="14">
        <v>45652</v>
      </c>
      <c r="C1859" s="13" t="s">
        <v>741</v>
      </c>
      <c r="D1859" s="13" t="s">
        <v>151</v>
      </c>
      <c r="E1859" s="13" t="s">
        <v>343</v>
      </c>
      <c r="F1859" s="15">
        <v>3</v>
      </c>
      <c r="G1859" s="15">
        <v>2400</v>
      </c>
      <c r="H1859" s="15">
        <v>20.7</v>
      </c>
      <c r="I1859" s="15">
        <v>5709.6</v>
      </c>
      <c r="J1859" s="13" t="s">
        <v>87</v>
      </c>
      <c r="K1859" s="13" t="s">
        <v>133</v>
      </c>
      <c r="L1859">
        <f>IF(COUNTIF(A$2:A1859, A1859)=1, IF(COUNTIF(A$2:A$2001, A1859)&gt;1, 1, 0), 0)</f>
        <v>0</v>
      </c>
      <c r="M1859" t="b">
        <f>VLOOKUP(D1859, Products!A$2:F$61, 6, FALSE)</f>
        <v>1</v>
      </c>
      <c r="N1859" t="str">
        <f>VLOOKUP(D1859, Products!A$2:C$61, 3, FALSE)</f>
        <v>Sports</v>
      </c>
      <c r="O1859" t="str">
        <f>VLOOKUP(C1859, Customers!A$2:E$301, 5, FALSE)</f>
        <v>SMB</v>
      </c>
      <c r="P1859">
        <f>VLOOKUP(C1859, Customers!A$2:C$301, 3, FALSE)</f>
        <v>29</v>
      </c>
      <c r="Q1859" t="str">
        <f>VLOOKUP(E1859, Sales_Reps!A$2:C$31, 3, FALSE)</f>
        <v>West</v>
      </c>
      <c r="R1859">
        <f>VLOOKUP(D1859, Products!A$2:D$61, 4, FALSE)</f>
        <v>974</v>
      </c>
    </row>
    <row r="1860" spans="1:18" x14ac:dyDescent="0.3">
      <c r="A1860" s="13" t="s">
        <v>2357</v>
      </c>
      <c r="B1860" s="14">
        <v>45330</v>
      </c>
      <c r="C1860" s="13" t="s">
        <v>1261</v>
      </c>
      <c r="D1860" s="13" t="s">
        <v>367</v>
      </c>
      <c r="E1860" s="13" t="s">
        <v>111</v>
      </c>
      <c r="F1860" s="15">
        <v>8</v>
      </c>
      <c r="G1860" s="15">
        <v>2380</v>
      </c>
      <c r="H1860" s="15">
        <v>22.3</v>
      </c>
      <c r="I1860" s="15">
        <v>14794.08</v>
      </c>
      <c r="J1860" s="13" t="s">
        <v>144</v>
      </c>
      <c r="K1860" s="13" t="s">
        <v>117</v>
      </c>
      <c r="L1860">
        <f>IF(COUNTIF(A$2:A1860, A1860)=1, IF(COUNTIF(A$2:A$2001, A1860)&gt;1, 1, 0), 0)</f>
        <v>0</v>
      </c>
      <c r="M1860" t="b">
        <f>VLOOKUP(D1860, Products!A$2:F$61, 6, FALSE)</f>
        <v>1</v>
      </c>
      <c r="N1860" t="str">
        <f>VLOOKUP(D1860, Products!A$2:C$61, 3, FALSE)</f>
        <v>Grocery</v>
      </c>
      <c r="O1860" t="str">
        <f>VLOOKUP(C1860, Customers!A$2:E$301, 5, FALSE)</f>
        <v>Retail</v>
      </c>
      <c r="P1860">
        <f>VLOOKUP(C1860, Customers!A$2:C$301, 3, FALSE)</f>
        <v>54</v>
      </c>
      <c r="Q1860" t="str">
        <f>VLOOKUP(E1860, Sales_Reps!A$2:C$31, 3, FALSE)</f>
        <v>West</v>
      </c>
      <c r="R1860">
        <f>VLOOKUP(D1860, Products!A$2:D$61, 4, FALSE)</f>
        <v>1182</v>
      </c>
    </row>
    <row r="1861" spans="1:18" x14ac:dyDescent="0.3">
      <c r="A1861" s="13" t="s">
        <v>2358</v>
      </c>
      <c r="B1861" s="14">
        <v>45533</v>
      </c>
      <c r="C1861" s="13" t="s">
        <v>457</v>
      </c>
      <c r="D1861" s="13" t="s">
        <v>191</v>
      </c>
      <c r="E1861" s="13" t="s">
        <v>103</v>
      </c>
      <c r="F1861" s="15">
        <v>7</v>
      </c>
      <c r="G1861" s="15">
        <v>5100</v>
      </c>
      <c r="H1861" s="15">
        <v>22.9</v>
      </c>
      <c r="I1861" s="15">
        <v>27524.7</v>
      </c>
      <c r="J1861" s="13" t="s">
        <v>140</v>
      </c>
      <c r="K1861" s="13" t="s">
        <v>88</v>
      </c>
      <c r="L1861">
        <f>IF(COUNTIF(A$2:A1861, A1861)=1, IF(COUNTIF(A$2:A$2001, A1861)&gt;1, 1, 0), 0)</f>
        <v>0</v>
      </c>
      <c r="M1861" t="b">
        <f>VLOOKUP(D1861, Products!A$2:F$61, 6, FALSE)</f>
        <v>1</v>
      </c>
      <c r="N1861" t="str">
        <f>VLOOKUP(D1861, Products!A$2:C$61, 3, FALSE)</f>
        <v>Beauty</v>
      </c>
      <c r="O1861" t="str">
        <f>VLOOKUP(C1861, Customers!A$2:E$301, 5, FALSE)</f>
        <v>Retail</v>
      </c>
      <c r="P1861">
        <f>VLOOKUP(C1861, Customers!A$2:C$301, 3, FALSE)</f>
        <v>29</v>
      </c>
      <c r="Q1861" t="str">
        <f>VLOOKUP(E1861, Sales_Reps!A$2:C$31, 3, FALSE)</f>
        <v>North</v>
      </c>
      <c r="R1861">
        <f>VLOOKUP(D1861, Products!A$2:D$61, 4, FALSE)</f>
        <v>2237</v>
      </c>
    </row>
    <row r="1862" spans="1:18" x14ac:dyDescent="0.3">
      <c r="A1862" s="13" t="s">
        <v>2359</v>
      </c>
      <c r="B1862" s="14">
        <v>45463</v>
      </c>
      <c r="C1862" s="13" t="s">
        <v>487</v>
      </c>
      <c r="D1862" s="13" t="s">
        <v>282</v>
      </c>
      <c r="E1862" s="13" t="s">
        <v>188</v>
      </c>
      <c r="F1862" s="15">
        <v>7</v>
      </c>
      <c r="G1862" s="15">
        <v>300</v>
      </c>
      <c r="H1862" s="15">
        <v>15.3</v>
      </c>
      <c r="I1862" s="15">
        <v>1778.7</v>
      </c>
      <c r="J1862" s="13" t="s">
        <v>87</v>
      </c>
      <c r="K1862" s="13" t="s">
        <v>88</v>
      </c>
      <c r="L1862">
        <f>IF(COUNTIF(A$2:A1862, A1862)=1, IF(COUNTIF(A$2:A$2001, A1862)&gt;1, 1, 0), 0)</f>
        <v>0</v>
      </c>
      <c r="M1862" t="b">
        <f>VLOOKUP(D1862, Products!A$2:F$61, 6, FALSE)</f>
        <v>1</v>
      </c>
      <c r="N1862" t="str">
        <f>VLOOKUP(D1862, Products!A$2:C$61, 3, FALSE)</f>
        <v>Electronics</v>
      </c>
      <c r="O1862" t="str">
        <f>VLOOKUP(C1862, Customers!A$2:E$301, 5, FALSE)</f>
        <v>Corporate</v>
      </c>
      <c r="P1862">
        <f>VLOOKUP(C1862, Customers!A$2:C$301, 3, FALSE)</f>
        <v>29</v>
      </c>
      <c r="Q1862" t="str">
        <f>VLOOKUP(E1862, Sales_Reps!A$2:C$31, 3, FALSE)</f>
        <v>South</v>
      </c>
      <c r="R1862">
        <f>VLOOKUP(D1862, Products!A$2:D$61, 4, FALSE)</f>
        <v>128</v>
      </c>
    </row>
    <row r="1863" spans="1:18" x14ac:dyDescent="0.3">
      <c r="A1863" s="13" t="s">
        <v>2360</v>
      </c>
      <c r="B1863" s="14">
        <v>45428</v>
      </c>
      <c r="C1863" s="13" t="s">
        <v>137</v>
      </c>
      <c r="D1863" s="13" t="s">
        <v>161</v>
      </c>
      <c r="E1863" s="13" t="s">
        <v>132</v>
      </c>
      <c r="F1863" s="15">
        <v>5</v>
      </c>
      <c r="G1863" s="15">
        <v>3450</v>
      </c>
      <c r="H1863" s="15">
        <v>16.8</v>
      </c>
      <c r="I1863" s="15">
        <v>14352</v>
      </c>
      <c r="J1863" s="13" t="s">
        <v>87</v>
      </c>
      <c r="K1863" s="13" t="s">
        <v>99</v>
      </c>
      <c r="L1863">
        <f>IF(COUNTIF(A$2:A1863, A1863)=1, IF(COUNTIF(A$2:A$2001, A1863)&gt;1, 1, 0), 0)</f>
        <v>0</v>
      </c>
      <c r="M1863" t="b">
        <f>VLOOKUP(D1863, Products!A$2:F$61, 6, FALSE)</f>
        <v>1</v>
      </c>
      <c r="N1863" t="str">
        <f>VLOOKUP(D1863, Products!A$2:C$61, 3, FALSE)</f>
        <v>Sports</v>
      </c>
      <c r="O1863" t="str">
        <f>VLOOKUP(C1863, Customers!A$2:E$301, 5, FALSE)</f>
        <v>SMB</v>
      </c>
      <c r="P1863">
        <f>VLOOKUP(C1863, Customers!A$2:C$301, 3, FALSE)</f>
        <v>27</v>
      </c>
      <c r="Q1863" t="str">
        <f>VLOOKUP(E1863, Sales_Reps!A$2:C$31, 3, FALSE)</f>
        <v>South</v>
      </c>
      <c r="R1863">
        <f>VLOOKUP(D1863, Products!A$2:D$61, 4, FALSE)</f>
        <v>2467</v>
      </c>
    </row>
    <row r="1864" spans="1:18" x14ac:dyDescent="0.3">
      <c r="A1864" s="13" t="s">
        <v>2361</v>
      </c>
      <c r="B1864" s="14">
        <v>45634</v>
      </c>
      <c r="C1864" s="13" t="s">
        <v>686</v>
      </c>
      <c r="D1864" s="13" t="s">
        <v>195</v>
      </c>
      <c r="E1864" s="13" t="s">
        <v>98</v>
      </c>
      <c r="F1864" s="15">
        <v>4</v>
      </c>
      <c r="G1864" s="15">
        <v>2860</v>
      </c>
      <c r="H1864" s="15">
        <v>14.3</v>
      </c>
      <c r="I1864" s="15">
        <v>9804.08</v>
      </c>
      <c r="J1864" s="13" t="s">
        <v>87</v>
      </c>
      <c r="K1864" s="13" t="s">
        <v>112</v>
      </c>
      <c r="L1864">
        <f>IF(COUNTIF(A$2:A1864, A1864)=1, IF(COUNTIF(A$2:A$2001, A1864)&gt;1, 1, 0), 0)</f>
        <v>0</v>
      </c>
      <c r="M1864" t="b">
        <f>VLOOKUP(D1864, Products!A$2:F$61, 6, FALSE)</f>
        <v>1</v>
      </c>
      <c r="N1864" t="str">
        <f>VLOOKUP(D1864, Products!A$2:C$61, 3, FALSE)</f>
        <v>Sports</v>
      </c>
      <c r="O1864" t="str">
        <f>VLOOKUP(C1864, Customers!A$2:E$301, 5, FALSE)</f>
        <v>Retail</v>
      </c>
      <c r="P1864">
        <f>VLOOKUP(C1864, Customers!A$2:C$301, 3, FALSE)</f>
        <v>35</v>
      </c>
      <c r="Q1864" t="str">
        <f>VLOOKUP(E1864, Sales_Reps!A$2:C$31, 3, FALSE)</f>
        <v>South</v>
      </c>
      <c r="R1864">
        <f>VLOOKUP(D1864, Products!A$2:D$61, 4, FALSE)</f>
        <v>2028</v>
      </c>
    </row>
    <row r="1865" spans="1:18" x14ac:dyDescent="0.3">
      <c r="A1865" s="13" t="s">
        <v>2362</v>
      </c>
      <c r="B1865" s="14">
        <v>45627</v>
      </c>
      <c r="C1865" s="13" t="s">
        <v>528</v>
      </c>
      <c r="D1865" s="13" t="s">
        <v>173</v>
      </c>
      <c r="E1865" s="13" t="s">
        <v>215</v>
      </c>
      <c r="F1865" s="15">
        <v>6</v>
      </c>
      <c r="G1865" s="15">
        <v>2720</v>
      </c>
      <c r="H1865" s="15">
        <v>25.1</v>
      </c>
      <c r="I1865" s="15">
        <v>12223.68</v>
      </c>
      <c r="J1865" s="13" t="s">
        <v>140</v>
      </c>
      <c r="K1865" s="13" t="s">
        <v>112</v>
      </c>
      <c r="L1865">
        <f>IF(COUNTIF(A$2:A1865, A1865)=1, IF(COUNTIF(A$2:A$2001, A1865)&gt;1, 1, 0), 0)</f>
        <v>0</v>
      </c>
      <c r="M1865" t="b">
        <f>VLOOKUP(D1865, Products!A$2:F$61, 6, FALSE)</f>
        <v>1</v>
      </c>
      <c r="N1865" t="str">
        <f>VLOOKUP(D1865, Products!A$2:C$61, 3, FALSE)</f>
        <v>Apparel</v>
      </c>
      <c r="O1865" t="str">
        <f>VLOOKUP(C1865, Customers!A$2:E$301, 5, FALSE)</f>
        <v>Retail</v>
      </c>
      <c r="P1865">
        <f>VLOOKUP(C1865, Customers!A$2:C$301, 3, FALSE)</f>
        <v>44</v>
      </c>
      <c r="Q1865" t="str">
        <f>VLOOKUP(E1865, Sales_Reps!A$2:C$31, 3, FALSE)</f>
        <v>North</v>
      </c>
      <c r="R1865">
        <f>VLOOKUP(D1865, Products!A$2:D$61, 4, FALSE)</f>
        <v>1962</v>
      </c>
    </row>
    <row r="1866" spans="1:18" x14ac:dyDescent="0.3">
      <c r="A1866" s="13" t="s">
        <v>2363</v>
      </c>
      <c r="B1866" s="14">
        <v>45429</v>
      </c>
      <c r="C1866" s="13" t="s">
        <v>362</v>
      </c>
      <c r="D1866" s="13" t="s">
        <v>226</v>
      </c>
      <c r="E1866" s="13" t="s">
        <v>128</v>
      </c>
      <c r="F1866" s="15">
        <v>3</v>
      </c>
      <c r="G1866" s="15">
        <v>3730</v>
      </c>
      <c r="H1866" s="15">
        <v>24.8</v>
      </c>
      <c r="I1866" s="15">
        <v>8414.8799999999992</v>
      </c>
      <c r="J1866" s="13" t="s">
        <v>87</v>
      </c>
      <c r="K1866" s="13" t="s">
        <v>94</v>
      </c>
      <c r="L1866">
        <f>IF(COUNTIF(A$2:A1866, A1866)=1, IF(COUNTIF(A$2:A$2001, A1866)&gt;1, 1, 0), 0)</f>
        <v>0</v>
      </c>
      <c r="M1866" t="b">
        <f>VLOOKUP(D1866, Products!A$2:F$61, 6, FALSE)</f>
        <v>1</v>
      </c>
      <c r="N1866" t="str">
        <f>VLOOKUP(D1866, Products!A$2:C$61, 3, FALSE)</f>
        <v>Home</v>
      </c>
      <c r="O1866" t="str">
        <f>VLOOKUP(C1866, Customers!A$2:E$301, 5, FALSE)</f>
        <v>Corporate</v>
      </c>
      <c r="P1866">
        <f>VLOOKUP(C1866, Customers!A$2:C$301, 3, FALSE)</f>
        <v>51</v>
      </c>
      <c r="Q1866" t="str">
        <f>VLOOKUP(E1866, Sales_Reps!A$2:C$31, 3, FALSE)</f>
        <v>West</v>
      </c>
      <c r="R1866">
        <f>VLOOKUP(D1866, Products!A$2:D$61, 4, FALSE)</f>
        <v>2135</v>
      </c>
    </row>
    <row r="1867" spans="1:18" x14ac:dyDescent="0.3">
      <c r="A1867" s="13" t="s">
        <v>2364</v>
      </c>
      <c r="B1867" s="14">
        <v>45648</v>
      </c>
      <c r="C1867" s="13" t="s">
        <v>1350</v>
      </c>
      <c r="D1867" s="13" t="s">
        <v>351</v>
      </c>
      <c r="E1867" s="13" t="s">
        <v>297</v>
      </c>
      <c r="F1867" s="15">
        <v>2</v>
      </c>
      <c r="G1867" s="15">
        <v>4060</v>
      </c>
      <c r="H1867" s="15">
        <v>11.3</v>
      </c>
      <c r="I1867" s="15">
        <v>7202.44</v>
      </c>
      <c r="J1867" s="13" t="s">
        <v>87</v>
      </c>
      <c r="K1867" s="13" t="s">
        <v>112</v>
      </c>
      <c r="L1867">
        <f>IF(COUNTIF(A$2:A1867, A1867)=1, IF(COUNTIF(A$2:A$2001, A1867)&gt;1, 1, 0), 0)</f>
        <v>0</v>
      </c>
      <c r="M1867" t="b">
        <f>VLOOKUP(D1867, Products!A$2:F$61, 6, FALSE)</f>
        <v>1</v>
      </c>
      <c r="N1867" t="str">
        <f>VLOOKUP(D1867, Products!A$2:C$61, 3, FALSE)</f>
        <v>Grocery</v>
      </c>
      <c r="O1867" t="str">
        <f>VLOOKUP(C1867, Customers!A$2:E$301, 5, FALSE)</f>
        <v>Retail</v>
      </c>
      <c r="P1867">
        <f>VLOOKUP(C1867, Customers!A$2:C$301, 3, FALSE)</f>
        <v>38</v>
      </c>
      <c r="Q1867" t="str">
        <f>VLOOKUP(E1867, Sales_Reps!A$2:C$31, 3, FALSE)</f>
        <v>North</v>
      </c>
      <c r="R1867">
        <f>VLOOKUP(D1867, Products!A$2:D$61, 4, FALSE)</f>
        <v>2911</v>
      </c>
    </row>
    <row r="1868" spans="1:18" x14ac:dyDescent="0.3">
      <c r="A1868" s="13" t="s">
        <v>2365</v>
      </c>
      <c r="B1868" s="14">
        <v>45295</v>
      </c>
      <c r="C1868" s="13" t="s">
        <v>921</v>
      </c>
      <c r="D1868" s="13" t="s">
        <v>386</v>
      </c>
      <c r="E1868" s="13" t="s">
        <v>303</v>
      </c>
      <c r="F1868" s="15">
        <v>6</v>
      </c>
      <c r="G1868" s="15">
        <v>2290</v>
      </c>
      <c r="H1868" s="15">
        <v>26.8</v>
      </c>
      <c r="I1868" s="15">
        <v>10057.68</v>
      </c>
      <c r="J1868" s="13" t="s">
        <v>144</v>
      </c>
      <c r="K1868" s="13" t="s">
        <v>117</v>
      </c>
      <c r="L1868">
        <f>IF(COUNTIF(A$2:A1868, A1868)=1, IF(COUNTIF(A$2:A$2001, A1868)&gt;1, 1, 0), 0)</f>
        <v>0</v>
      </c>
      <c r="M1868" t="b">
        <f>VLOOKUP(D1868, Products!A$2:F$61, 6, FALSE)</f>
        <v>1</v>
      </c>
      <c r="N1868" t="str">
        <f>VLOOKUP(D1868, Products!A$2:C$61, 3, FALSE)</f>
        <v>Beauty</v>
      </c>
      <c r="O1868" t="str">
        <f>VLOOKUP(C1868, Customers!A$2:E$301, 5, FALSE)</f>
        <v>Retail</v>
      </c>
      <c r="P1868">
        <f>VLOOKUP(C1868, Customers!A$2:C$301, 3, FALSE)</f>
        <v>28</v>
      </c>
      <c r="Q1868" t="str">
        <f>VLOOKUP(E1868, Sales_Reps!A$2:C$31, 3, FALSE)</f>
        <v>East</v>
      </c>
      <c r="R1868">
        <f>VLOOKUP(D1868, Products!A$2:D$61, 4, FALSE)</f>
        <v>1219</v>
      </c>
    </row>
    <row r="1869" spans="1:18" x14ac:dyDescent="0.3">
      <c r="A1869" s="13" t="s">
        <v>2366</v>
      </c>
      <c r="B1869" s="14">
        <v>45418</v>
      </c>
      <c r="C1869" s="13" t="s">
        <v>353</v>
      </c>
      <c r="D1869" s="13" t="s">
        <v>515</v>
      </c>
      <c r="E1869" s="13" t="s">
        <v>252</v>
      </c>
      <c r="F1869" s="15">
        <v>1</v>
      </c>
      <c r="G1869" s="15">
        <v>6940</v>
      </c>
      <c r="H1869" s="15">
        <v>15.7</v>
      </c>
      <c r="I1869" s="15">
        <v>5850.42</v>
      </c>
      <c r="J1869" s="13" t="s">
        <v>87</v>
      </c>
      <c r="K1869" s="13" t="s">
        <v>94</v>
      </c>
      <c r="L1869">
        <f>IF(COUNTIF(A$2:A1869, A1869)=1, IF(COUNTIF(A$2:A$2001, A1869)&gt;1, 1, 0), 0)</f>
        <v>0</v>
      </c>
      <c r="M1869" t="b">
        <f>VLOOKUP(D1869, Products!A$2:F$61, 6, FALSE)</f>
        <v>1</v>
      </c>
      <c r="N1869" t="str">
        <f>VLOOKUP(D1869, Products!A$2:C$61, 3, FALSE)</f>
        <v>Sports</v>
      </c>
      <c r="O1869" t="str">
        <f>VLOOKUP(C1869, Customers!A$2:E$301, 5, FALSE)</f>
        <v>Retail</v>
      </c>
      <c r="P1869">
        <f>VLOOKUP(C1869, Customers!A$2:C$301, 3, FALSE)</f>
        <v>60</v>
      </c>
      <c r="Q1869" t="str">
        <f>VLOOKUP(E1869, Sales_Reps!A$2:C$31, 3, FALSE)</f>
        <v>South</v>
      </c>
      <c r="R1869">
        <f>VLOOKUP(D1869, Products!A$2:D$61, 4, FALSE)</f>
        <v>2827</v>
      </c>
    </row>
    <row r="1870" spans="1:18" x14ac:dyDescent="0.3">
      <c r="A1870" s="13" t="s">
        <v>2367</v>
      </c>
      <c r="B1870" s="14">
        <v>45623</v>
      </c>
      <c r="C1870" s="13" t="s">
        <v>411</v>
      </c>
      <c r="D1870" s="13" t="s">
        <v>226</v>
      </c>
      <c r="E1870" s="13" t="s">
        <v>204</v>
      </c>
      <c r="F1870" s="15">
        <v>3</v>
      </c>
      <c r="G1870" s="15">
        <v>3730</v>
      </c>
      <c r="H1870" s="15">
        <v>18.100000000000001</v>
      </c>
      <c r="I1870" s="15">
        <v>9164.61</v>
      </c>
      <c r="J1870" s="13" t="s">
        <v>87</v>
      </c>
      <c r="K1870" s="13" t="s">
        <v>112</v>
      </c>
      <c r="L1870">
        <f>IF(COUNTIF(A$2:A1870, A1870)=1, IF(COUNTIF(A$2:A$2001, A1870)&gt;1, 1, 0), 0)</f>
        <v>0</v>
      </c>
      <c r="M1870" t="b">
        <f>VLOOKUP(D1870, Products!A$2:F$61, 6, FALSE)</f>
        <v>1</v>
      </c>
      <c r="N1870" t="str">
        <f>VLOOKUP(D1870, Products!A$2:C$61, 3, FALSE)</f>
        <v>Home</v>
      </c>
      <c r="O1870" t="str">
        <f>VLOOKUP(C1870, Customers!A$2:E$301, 5, FALSE)</f>
        <v>Retail</v>
      </c>
      <c r="P1870">
        <f>VLOOKUP(C1870, Customers!A$2:C$301, 3, FALSE)</f>
        <v>61</v>
      </c>
      <c r="Q1870" t="str">
        <f>VLOOKUP(E1870, Sales_Reps!A$2:C$31, 3, FALSE)</f>
        <v>South</v>
      </c>
      <c r="R1870">
        <f>VLOOKUP(D1870, Products!A$2:D$61, 4, FALSE)</f>
        <v>2135</v>
      </c>
    </row>
    <row r="1871" spans="1:18" x14ac:dyDescent="0.3">
      <c r="A1871" s="13" t="s">
        <v>2368</v>
      </c>
      <c r="B1871" s="14">
        <v>45528</v>
      </c>
      <c r="C1871" s="13" t="s">
        <v>342</v>
      </c>
      <c r="D1871" s="13" t="s">
        <v>226</v>
      </c>
      <c r="E1871" s="13" t="s">
        <v>297</v>
      </c>
      <c r="F1871" s="15">
        <v>8</v>
      </c>
      <c r="G1871" s="15">
        <v>3730</v>
      </c>
      <c r="H1871" s="15">
        <v>12.5</v>
      </c>
      <c r="I1871" s="15">
        <v>26110</v>
      </c>
      <c r="J1871" s="13" t="s">
        <v>87</v>
      </c>
      <c r="K1871" s="13" t="s">
        <v>94</v>
      </c>
      <c r="L1871">
        <f>IF(COUNTIF(A$2:A1871, A1871)=1, IF(COUNTIF(A$2:A$2001, A1871)&gt;1, 1, 0), 0)</f>
        <v>0</v>
      </c>
      <c r="M1871" t="b">
        <f>VLOOKUP(D1871, Products!A$2:F$61, 6, FALSE)</f>
        <v>1</v>
      </c>
      <c r="N1871" t="str">
        <f>VLOOKUP(D1871, Products!A$2:C$61, 3, FALSE)</f>
        <v>Home</v>
      </c>
      <c r="O1871" t="str">
        <f>VLOOKUP(C1871, Customers!A$2:E$301, 5, FALSE)</f>
        <v>Retail</v>
      </c>
      <c r="P1871">
        <f>VLOOKUP(C1871, Customers!A$2:C$301, 3, FALSE)</f>
        <v>26</v>
      </c>
      <c r="Q1871" t="str">
        <f>VLOOKUP(E1871, Sales_Reps!A$2:C$31, 3, FALSE)</f>
        <v>North</v>
      </c>
      <c r="R1871">
        <f>VLOOKUP(D1871, Products!A$2:D$61, 4, FALSE)</f>
        <v>2135</v>
      </c>
    </row>
    <row r="1872" spans="1:18" x14ac:dyDescent="0.3">
      <c r="A1872" s="13" t="s">
        <v>2369</v>
      </c>
      <c r="B1872" s="14">
        <v>45644</v>
      </c>
      <c r="C1872" s="13" t="s">
        <v>1816</v>
      </c>
      <c r="D1872" s="13" t="s">
        <v>367</v>
      </c>
      <c r="E1872" s="13" t="s">
        <v>188</v>
      </c>
      <c r="F1872" s="15">
        <v>9</v>
      </c>
      <c r="G1872" s="15">
        <v>2380</v>
      </c>
      <c r="H1872" s="15">
        <v>8.1</v>
      </c>
      <c r="I1872" s="15">
        <v>19684.98</v>
      </c>
      <c r="J1872" s="13" t="s">
        <v>140</v>
      </c>
      <c r="K1872" s="13" t="s">
        <v>99</v>
      </c>
      <c r="L1872">
        <f>IF(COUNTIF(A$2:A1872, A1872)=1, IF(COUNTIF(A$2:A$2001, A1872)&gt;1, 1, 0), 0)</f>
        <v>0</v>
      </c>
      <c r="M1872" t="b">
        <f>VLOOKUP(D1872, Products!A$2:F$61, 6, FALSE)</f>
        <v>1</v>
      </c>
      <c r="N1872" t="str">
        <f>VLOOKUP(D1872, Products!A$2:C$61, 3, FALSE)</f>
        <v>Grocery</v>
      </c>
      <c r="O1872" t="str">
        <f>VLOOKUP(C1872, Customers!A$2:E$301, 5, FALSE)</f>
        <v>Retail</v>
      </c>
      <c r="P1872">
        <f>VLOOKUP(C1872, Customers!A$2:C$301, 3, FALSE)</f>
        <v>62</v>
      </c>
      <c r="Q1872" t="str">
        <f>VLOOKUP(E1872, Sales_Reps!A$2:C$31, 3, FALSE)</f>
        <v>South</v>
      </c>
      <c r="R1872">
        <f>VLOOKUP(D1872, Products!A$2:D$61, 4, FALSE)</f>
        <v>1182</v>
      </c>
    </row>
    <row r="1873" spans="1:18" x14ac:dyDescent="0.3">
      <c r="A1873" s="13" t="s">
        <v>2370</v>
      </c>
      <c r="B1873" s="14">
        <v>45475</v>
      </c>
      <c r="C1873" s="13" t="s">
        <v>1217</v>
      </c>
      <c r="D1873" s="13" t="s">
        <v>164</v>
      </c>
      <c r="E1873" s="13" t="s">
        <v>297</v>
      </c>
      <c r="F1873" s="15">
        <v>6</v>
      </c>
      <c r="G1873" s="15">
        <v>1080</v>
      </c>
      <c r="H1873" s="15">
        <v>8.8000000000000007</v>
      </c>
      <c r="I1873" s="15">
        <v>5909.76</v>
      </c>
      <c r="J1873" s="13" t="s">
        <v>87</v>
      </c>
      <c r="K1873" s="13" t="s">
        <v>112</v>
      </c>
      <c r="L1873">
        <f>IF(COUNTIF(A$2:A1873, A1873)=1, IF(COUNTIF(A$2:A$2001, A1873)&gt;1, 1, 0), 0)</f>
        <v>0</v>
      </c>
      <c r="M1873" t="b">
        <f>VLOOKUP(D1873, Products!A$2:F$61, 6, FALSE)</f>
        <v>1</v>
      </c>
      <c r="N1873" t="str">
        <f>VLOOKUP(D1873, Products!A$2:C$61, 3, FALSE)</f>
        <v>Home</v>
      </c>
      <c r="O1873" t="str">
        <f>VLOOKUP(C1873, Customers!A$2:E$301, 5, FALSE)</f>
        <v>Retail</v>
      </c>
      <c r="P1873">
        <f>VLOOKUP(C1873, Customers!A$2:C$301, 3, FALSE)</f>
        <v>44</v>
      </c>
      <c r="Q1873" t="str">
        <f>VLOOKUP(E1873, Sales_Reps!A$2:C$31, 3, FALSE)</f>
        <v>North</v>
      </c>
      <c r="R1873">
        <f>VLOOKUP(D1873, Products!A$2:D$61, 4, FALSE)</f>
        <v>519</v>
      </c>
    </row>
    <row r="1874" spans="1:18" x14ac:dyDescent="0.3">
      <c r="A1874" s="13" t="s">
        <v>2211</v>
      </c>
      <c r="B1874" s="14">
        <v>45401</v>
      </c>
      <c r="C1874" s="13" t="s">
        <v>592</v>
      </c>
      <c r="D1874" s="13" t="s">
        <v>97</v>
      </c>
      <c r="E1874" s="13" t="s">
        <v>252</v>
      </c>
      <c r="F1874" s="15">
        <v>5</v>
      </c>
      <c r="G1874" s="15">
        <v>470</v>
      </c>
      <c r="H1874" s="15">
        <v>1.3</v>
      </c>
      <c r="I1874" s="15">
        <v>2319.4499999999998</v>
      </c>
      <c r="J1874" s="13" t="s">
        <v>87</v>
      </c>
      <c r="K1874" s="13" t="s">
        <v>133</v>
      </c>
      <c r="L1874">
        <f>IF(COUNTIF(A$2:A1874, A1874)=1, IF(COUNTIF(A$2:A$2001, A1874)&gt;1, 1, 0), 0)</f>
        <v>0</v>
      </c>
      <c r="M1874" t="b">
        <f>VLOOKUP(D1874, Products!A$2:F$61, 6, FALSE)</f>
        <v>0</v>
      </c>
      <c r="N1874" t="str">
        <f>VLOOKUP(D1874, Products!A$2:C$61, 3, FALSE)</f>
        <v>Sports</v>
      </c>
      <c r="O1874" t="str">
        <f>VLOOKUP(C1874, Customers!A$2:E$301, 5, FALSE)</f>
        <v>Retail</v>
      </c>
      <c r="P1874">
        <f>VLOOKUP(C1874, Customers!A$2:C$301, 3, FALSE)</f>
        <v>22</v>
      </c>
      <c r="Q1874" t="str">
        <f>VLOOKUP(E1874, Sales_Reps!A$2:C$31, 3, FALSE)</f>
        <v>South</v>
      </c>
      <c r="R1874">
        <f>VLOOKUP(D1874, Products!A$2:D$61, 4, FALSE)</f>
        <v>302</v>
      </c>
    </row>
    <row r="1875" spans="1:18" x14ac:dyDescent="0.3">
      <c r="A1875" s="13" t="s">
        <v>2371</v>
      </c>
      <c r="B1875" s="14">
        <v>45516</v>
      </c>
      <c r="C1875" s="13" t="s">
        <v>945</v>
      </c>
      <c r="D1875" s="13" t="s">
        <v>110</v>
      </c>
      <c r="E1875" s="13" t="s">
        <v>201</v>
      </c>
      <c r="F1875" s="15">
        <v>4</v>
      </c>
      <c r="G1875" s="15">
        <v>370</v>
      </c>
      <c r="H1875" s="15">
        <v>13.1</v>
      </c>
      <c r="I1875" s="15">
        <v>1286.1199999999999</v>
      </c>
      <c r="J1875" s="13" t="s">
        <v>87</v>
      </c>
      <c r="K1875" s="13" t="s">
        <v>88</v>
      </c>
      <c r="L1875">
        <f>IF(COUNTIF(A$2:A1875, A1875)=1, IF(COUNTIF(A$2:A$2001, A1875)&gt;1, 1, 0), 0)</f>
        <v>0</v>
      </c>
      <c r="M1875" t="b">
        <f>VLOOKUP(D1875, Products!A$2:F$61, 6, FALSE)</f>
        <v>1</v>
      </c>
      <c r="N1875" t="str">
        <f>VLOOKUP(D1875, Products!A$2:C$61, 3, FALSE)</f>
        <v>Home</v>
      </c>
      <c r="O1875" t="str">
        <f>VLOOKUP(C1875, Customers!A$2:E$301, 5, FALSE)</f>
        <v>Retail</v>
      </c>
      <c r="P1875">
        <f>VLOOKUP(C1875, Customers!A$2:C$301, 3, FALSE)</f>
        <v>54</v>
      </c>
      <c r="Q1875" t="str">
        <f>VLOOKUP(E1875, Sales_Reps!A$2:C$31, 3, FALSE)</f>
        <v>West</v>
      </c>
      <c r="R1875">
        <f>VLOOKUP(D1875, Products!A$2:D$61, 4, FALSE)</f>
        <v>288</v>
      </c>
    </row>
    <row r="1876" spans="1:18" x14ac:dyDescent="0.3">
      <c r="A1876" s="13" t="s">
        <v>2372</v>
      </c>
      <c r="B1876" s="14">
        <v>45517</v>
      </c>
      <c r="C1876" s="13" t="s">
        <v>617</v>
      </c>
      <c r="D1876" s="13" t="s">
        <v>106</v>
      </c>
      <c r="E1876" s="13" t="s">
        <v>86</v>
      </c>
      <c r="F1876" s="15">
        <v>7</v>
      </c>
      <c r="G1876" s="15">
        <v>3160</v>
      </c>
      <c r="H1876" s="15">
        <v>12.3</v>
      </c>
      <c r="I1876" s="15">
        <v>19399.240000000002</v>
      </c>
      <c r="J1876" s="13" t="s">
        <v>87</v>
      </c>
      <c r="K1876" s="13" t="s">
        <v>112</v>
      </c>
      <c r="L1876">
        <f>IF(COUNTIF(A$2:A1876, A1876)=1, IF(COUNTIF(A$2:A$2001, A1876)&gt;1, 1, 0), 0)</f>
        <v>0</v>
      </c>
      <c r="M1876" t="b">
        <f>VLOOKUP(D1876, Products!A$2:F$61, 6, FALSE)</f>
        <v>1</v>
      </c>
      <c r="N1876" t="str">
        <f>VLOOKUP(D1876, Products!A$2:C$61, 3, FALSE)</f>
        <v>Apparel</v>
      </c>
      <c r="O1876" t="str">
        <f>VLOOKUP(C1876, Customers!A$2:E$301, 5, FALSE)</f>
        <v>SMB</v>
      </c>
      <c r="P1876">
        <f>VLOOKUP(C1876, Customers!A$2:C$301, 3, FALSE)</f>
        <v>65</v>
      </c>
      <c r="Q1876" t="str">
        <f>VLOOKUP(E1876, Sales_Reps!A$2:C$31, 3, FALSE)</f>
        <v>North</v>
      </c>
      <c r="R1876">
        <f>VLOOKUP(D1876, Products!A$2:D$61, 4, FALSE)</f>
        <v>1886</v>
      </c>
    </row>
    <row r="1877" spans="1:18" x14ac:dyDescent="0.3">
      <c r="A1877" s="13" t="s">
        <v>2373</v>
      </c>
      <c r="B1877" s="14">
        <v>45645</v>
      </c>
      <c r="C1877" s="13" t="s">
        <v>403</v>
      </c>
      <c r="D1877" s="13" t="s">
        <v>659</v>
      </c>
      <c r="E1877" s="13" t="s">
        <v>116</v>
      </c>
      <c r="F1877" s="15">
        <v>5</v>
      </c>
      <c r="G1877" s="15">
        <v>3560</v>
      </c>
      <c r="H1877" s="15">
        <v>24</v>
      </c>
      <c r="I1877" s="15">
        <v>13528</v>
      </c>
      <c r="J1877" s="13" t="s">
        <v>87</v>
      </c>
      <c r="K1877" s="13" t="s">
        <v>117</v>
      </c>
      <c r="L1877">
        <f>IF(COUNTIF(A$2:A1877, A1877)=1, IF(COUNTIF(A$2:A$2001, A1877)&gt;1, 1, 0), 0)</f>
        <v>0</v>
      </c>
      <c r="M1877" t="b">
        <f>VLOOKUP(D1877, Products!A$2:F$61, 6, FALSE)</f>
        <v>1</v>
      </c>
      <c r="N1877" t="str">
        <f>VLOOKUP(D1877, Products!A$2:C$61, 3, FALSE)</f>
        <v>Apparel</v>
      </c>
      <c r="O1877" t="str">
        <f>VLOOKUP(C1877, Customers!A$2:E$301, 5, FALSE)</f>
        <v>Retail</v>
      </c>
      <c r="P1877">
        <f>VLOOKUP(C1877, Customers!A$2:C$301, 3, FALSE)</f>
        <v>59</v>
      </c>
      <c r="Q1877" t="str">
        <f>VLOOKUP(E1877, Sales_Reps!A$2:C$31, 3, FALSE)</f>
        <v>West</v>
      </c>
      <c r="R1877">
        <f>VLOOKUP(D1877, Products!A$2:D$61, 4, FALSE)</f>
        <v>2629</v>
      </c>
    </row>
    <row r="1878" spans="1:18" x14ac:dyDescent="0.3">
      <c r="A1878" s="13" t="s">
        <v>2374</v>
      </c>
      <c r="B1878" s="14">
        <v>45417</v>
      </c>
      <c r="C1878" s="13" t="s">
        <v>422</v>
      </c>
      <c r="D1878" s="13" t="s">
        <v>295</v>
      </c>
      <c r="E1878" s="13" t="s">
        <v>158</v>
      </c>
      <c r="F1878" s="15">
        <v>6</v>
      </c>
      <c r="G1878" s="15">
        <v>2030</v>
      </c>
      <c r="H1878" s="15">
        <v>20.5</v>
      </c>
      <c r="I1878" s="15">
        <v>9683.1</v>
      </c>
      <c r="J1878" s="13" t="s">
        <v>87</v>
      </c>
      <c r="K1878" s="13" t="s">
        <v>94</v>
      </c>
      <c r="L1878">
        <f>IF(COUNTIF(A$2:A1878, A1878)=1, IF(COUNTIF(A$2:A$2001, A1878)&gt;1, 1, 0), 0)</f>
        <v>0</v>
      </c>
      <c r="M1878" t="b">
        <f>VLOOKUP(D1878, Products!A$2:F$61, 6, FALSE)</f>
        <v>1</v>
      </c>
      <c r="N1878" t="str">
        <f>VLOOKUP(D1878, Products!A$2:C$61, 3, FALSE)</f>
        <v>Home</v>
      </c>
      <c r="O1878" t="str">
        <f>VLOOKUP(C1878, Customers!A$2:E$301, 5, FALSE)</f>
        <v>SMB</v>
      </c>
      <c r="P1878">
        <f>VLOOKUP(C1878, Customers!A$2:C$301, 3, FALSE)</f>
        <v>64</v>
      </c>
      <c r="Q1878" t="str">
        <f>VLOOKUP(E1878, Sales_Reps!A$2:C$31, 3, FALSE)</f>
        <v>East</v>
      </c>
      <c r="R1878">
        <f>VLOOKUP(D1878, Products!A$2:D$61, 4, FALSE)</f>
        <v>1143</v>
      </c>
    </row>
    <row r="1879" spans="1:18" x14ac:dyDescent="0.3">
      <c r="A1879" s="13" t="s">
        <v>2375</v>
      </c>
      <c r="B1879" s="14">
        <v>45351</v>
      </c>
      <c r="C1879" s="13" t="s">
        <v>472</v>
      </c>
      <c r="D1879" s="13" t="s">
        <v>135</v>
      </c>
      <c r="E1879" s="13" t="s">
        <v>303</v>
      </c>
      <c r="F1879" s="15">
        <v>5</v>
      </c>
      <c r="G1879" s="15">
        <v>2640</v>
      </c>
      <c r="H1879" s="15">
        <v>21.3</v>
      </c>
      <c r="I1879" s="15">
        <v>10388.4</v>
      </c>
      <c r="J1879" s="13" t="s">
        <v>93</v>
      </c>
      <c r="K1879" s="13" t="s">
        <v>94</v>
      </c>
      <c r="L1879">
        <f>IF(COUNTIF(A$2:A1879, A1879)=1, IF(COUNTIF(A$2:A$2001, A1879)&gt;1, 1, 0), 0)</f>
        <v>0</v>
      </c>
      <c r="M1879" t="b">
        <f>VLOOKUP(D1879, Products!A$2:F$61, 6, FALSE)</f>
        <v>1</v>
      </c>
      <c r="N1879" t="str">
        <f>VLOOKUP(D1879, Products!A$2:C$61, 3, FALSE)</f>
        <v>Electronics</v>
      </c>
      <c r="O1879" t="str">
        <f>VLOOKUP(C1879, Customers!A$2:E$301, 5, FALSE)</f>
        <v>Corporate</v>
      </c>
      <c r="P1879">
        <f>VLOOKUP(C1879, Customers!A$2:C$301, 3, FALSE)</f>
        <v>35</v>
      </c>
      <c r="Q1879" t="str">
        <f>VLOOKUP(E1879, Sales_Reps!A$2:C$31, 3, FALSE)</f>
        <v>East</v>
      </c>
      <c r="R1879">
        <f>VLOOKUP(D1879, Products!A$2:D$61, 4, FALSE)</f>
        <v>1149</v>
      </c>
    </row>
    <row r="1880" spans="1:18" x14ac:dyDescent="0.3">
      <c r="A1880" s="13" t="s">
        <v>2376</v>
      </c>
      <c r="B1880" s="14">
        <v>45629</v>
      </c>
      <c r="C1880" s="13" t="s">
        <v>225</v>
      </c>
      <c r="D1880" s="13" t="s">
        <v>245</v>
      </c>
      <c r="E1880" s="13" t="s">
        <v>297</v>
      </c>
      <c r="F1880" s="15">
        <v>4</v>
      </c>
      <c r="G1880" s="15">
        <v>2270</v>
      </c>
      <c r="H1880" s="15">
        <v>15.8</v>
      </c>
      <c r="I1880" s="15">
        <v>7645.36</v>
      </c>
      <c r="J1880" s="13" t="s">
        <v>87</v>
      </c>
      <c r="K1880" s="13" t="s">
        <v>94</v>
      </c>
      <c r="L1880">
        <f>IF(COUNTIF(A$2:A1880, A1880)=1, IF(COUNTIF(A$2:A$2001, A1880)&gt;1, 1, 0), 0)</f>
        <v>0</v>
      </c>
      <c r="M1880" t="b">
        <f>VLOOKUP(D1880, Products!A$2:F$61, 6, FALSE)</f>
        <v>1</v>
      </c>
      <c r="N1880" t="str">
        <f>VLOOKUP(D1880, Products!A$2:C$61, 3, FALSE)</f>
        <v>Grocery</v>
      </c>
      <c r="O1880" t="str">
        <f>VLOOKUP(C1880, Customers!A$2:E$301, 5, FALSE)</f>
        <v>Retail</v>
      </c>
      <c r="P1880">
        <f>VLOOKUP(C1880, Customers!A$2:C$301, 3, FALSE)</f>
        <v>37</v>
      </c>
      <c r="Q1880" t="str">
        <f>VLOOKUP(E1880, Sales_Reps!A$2:C$31, 3, FALSE)</f>
        <v>North</v>
      </c>
      <c r="R1880">
        <f>VLOOKUP(D1880, Products!A$2:D$61, 4, FALSE)</f>
        <v>1412</v>
      </c>
    </row>
    <row r="1881" spans="1:18" x14ac:dyDescent="0.3">
      <c r="A1881" s="13" t="s">
        <v>2377</v>
      </c>
      <c r="B1881" s="14">
        <v>45588</v>
      </c>
      <c r="C1881" s="13" t="s">
        <v>528</v>
      </c>
      <c r="D1881" s="13" t="s">
        <v>110</v>
      </c>
      <c r="E1881" s="13" t="s">
        <v>297</v>
      </c>
      <c r="F1881" s="15">
        <v>1</v>
      </c>
      <c r="G1881" s="15">
        <v>370</v>
      </c>
      <c r="H1881" s="15">
        <v>27</v>
      </c>
      <c r="I1881" s="15">
        <v>270.10000000000002</v>
      </c>
      <c r="J1881" s="13" t="s">
        <v>93</v>
      </c>
      <c r="K1881" s="13" t="s">
        <v>112</v>
      </c>
      <c r="L1881">
        <f>IF(COUNTIF(A$2:A1881, A1881)=1, IF(COUNTIF(A$2:A$2001, A1881)&gt;1, 1, 0), 0)</f>
        <v>0</v>
      </c>
      <c r="M1881" t="b">
        <f>VLOOKUP(D1881, Products!A$2:F$61, 6, FALSE)</f>
        <v>1</v>
      </c>
      <c r="N1881" t="str">
        <f>VLOOKUP(D1881, Products!A$2:C$61, 3, FALSE)</f>
        <v>Home</v>
      </c>
      <c r="O1881" t="str">
        <f>VLOOKUP(C1881, Customers!A$2:E$301, 5, FALSE)</f>
        <v>Retail</v>
      </c>
      <c r="P1881">
        <f>VLOOKUP(C1881, Customers!A$2:C$301, 3, FALSE)</f>
        <v>44</v>
      </c>
      <c r="Q1881" t="str">
        <f>VLOOKUP(E1881, Sales_Reps!A$2:C$31, 3, FALSE)</f>
        <v>North</v>
      </c>
      <c r="R1881">
        <f>VLOOKUP(D1881, Products!A$2:D$61, 4, FALSE)</f>
        <v>288</v>
      </c>
    </row>
    <row r="1882" spans="1:18" x14ac:dyDescent="0.3">
      <c r="A1882" s="13" t="s">
        <v>2378</v>
      </c>
      <c r="B1882" s="14">
        <v>45366</v>
      </c>
      <c r="C1882" s="13" t="s">
        <v>272</v>
      </c>
      <c r="D1882" s="13" t="s">
        <v>191</v>
      </c>
      <c r="E1882" s="13" t="s">
        <v>238</v>
      </c>
      <c r="F1882" s="15">
        <v>9</v>
      </c>
      <c r="G1882" s="15">
        <v>5100</v>
      </c>
      <c r="H1882" s="15">
        <v>2.4</v>
      </c>
      <c r="I1882" s="15">
        <v>44798.400000000001</v>
      </c>
      <c r="J1882" s="13" t="s">
        <v>87</v>
      </c>
      <c r="K1882" s="13" t="s">
        <v>94</v>
      </c>
      <c r="L1882">
        <f>IF(COUNTIF(A$2:A1882, A1882)=1, IF(COUNTIF(A$2:A$2001, A1882)&gt;1, 1, 0), 0)</f>
        <v>0</v>
      </c>
      <c r="M1882" t="b">
        <f>VLOOKUP(D1882, Products!A$2:F$61, 6, FALSE)</f>
        <v>1</v>
      </c>
      <c r="N1882" t="str">
        <f>VLOOKUP(D1882, Products!A$2:C$61, 3, FALSE)</f>
        <v>Beauty</v>
      </c>
      <c r="O1882" t="str">
        <f>VLOOKUP(C1882, Customers!A$2:E$301, 5, FALSE)</f>
        <v>SMB</v>
      </c>
      <c r="P1882">
        <f>VLOOKUP(C1882, Customers!A$2:C$301, 3, FALSE)</f>
        <v>55</v>
      </c>
      <c r="Q1882" t="str">
        <f>VLOOKUP(E1882, Sales_Reps!A$2:C$31, 3, FALSE)</f>
        <v>East</v>
      </c>
      <c r="R1882">
        <f>VLOOKUP(D1882, Products!A$2:D$61, 4, FALSE)</f>
        <v>2237</v>
      </c>
    </row>
    <row r="1883" spans="1:18" x14ac:dyDescent="0.3">
      <c r="A1883" s="13" t="s">
        <v>2379</v>
      </c>
      <c r="B1883" s="14">
        <v>45322</v>
      </c>
      <c r="C1883" s="13" t="s">
        <v>592</v>
      </c>
      <c r="D1883" s="13" t="s">
        <v>110</v>
      </c>
      <c r="E1883" s="13" t="s">
        <v>154</v>
      </c>
      <c r="F1883" s="15">
        <v>6</v>
      </c>
      <c r="G1883" s="15">
        <v>370</v>
      </c>
      <c r="H1883" s="15">
        <v>18.7</v>
      </c>
      <c r="I1883" s="15">
        <v>1804.86</v>
      </c>
      <c r="J1883" s="13" t="s">
        <v>140</v>
      </c>
      <c r="K1883" s="13" t="s">
        <v>133</v>
      </c>
      <c r="L1883">
        <f>IF(COUNTIF(A$2:A1883, A1883)=1, IF(COUNTIF(A$2:A$2001, A1883)&gt;1, 1, 0), 0)</f>
        <v>0</v>
      </c>
      <c r="M1883" t="b">
        <f>VLOOKUP(D1883, Products!A$2:F$61, 6, FALSE)</f>
        <v>1</v>
      </c>
      <c r="N1883" t="str">
        <f>VLOOKUP(D1883, Products!A$2:C$61, 3, FALSE)</f>
        <v>Home</v>
      </c>
      <c r="O1883" t="str">
        <f>VLOOKUP(C1883, Customers!A$2:E$301, 5, FALSE)</f>
        <v>Retail</v>
      </c>
      <c r="P1883">
        <f>VLOOKUP(C1883, Customers!A$2:C$301, 3, FALSE)</f>
        <v>22</v>
      </c>
      <c r="Q1883" t="str">
        <f>VLOOKUP(E1883, Sales_Reps!A$2:C$31, 3, FALSE)</f>
        <v>East</v>
      </c>
      <c r="R1883">
        <f>VLOOKUP(D1883, Products!A$2:D$61, 4, FALSE)</f>
        <v>288</v>
      </c>
    </row>
    <row r="1884" spans="1:18" x14ac:dyDescent="0.3">
      <c r="A1884" s="13" t="s">
        <v>2380</v>
      </c>
      <c r="B1884" s="14">
        <v>45465</v>
      </c>
      <c r="C1884" s="13" t="s">
        <v>563</v>
      </c>
      <c r="D1884" s="13" t="s">
        <v>127</v>
      </c>
      <c r="E1884" s="13" t="s">
        <v>139</v>
      </c>
      <c r="F1884" s="15">
        <v>6</v>
      </c>
      <c r="G1884" s="15">
        <v>970</v>
      </c>
      <c r="H1884" s="15">
        <v>21.6</v>
      </c>
      <c r="I1884" s="15">
        <v>4562.88</v>
      </c>
      <c r="J1884" s="13" t="s">
        <v>87</v>
      </c>
      <c r="K1884" s="13" t="s">
        <v>88</v>
      </c>
      <c r="L1884">
        <f>IF(COUNTIF(A$2:A1884, A1884)=1, IF(COUNTIF(A$2:A$2001, A1884)&gt;1, 1, 0), 0)</f>
        <v>0</v>
      </c>
      <c r="M1884" t="b">
        <f>VLOOKUP(D1884, Products!A$2:F$61, 6, FALSE)</f>
        <v>1</v>
      </c>
      <c r="N1884" t="str">
        <f>VLOOKUP(D1884, Products!A$2:C$61, 3, FALSE)</f>
        <v>Grocery</v>
      </c>
      <c r="O1884" t="str">
        <f>VLOOKUP(C1884, Customers!A$2:E$301, 5, FALSE)</f>
        <v>SMB</v>
      </c>
      <c r="P1884">
        <f>VLOOKUP(C1884, Customers!A$2:C$301, 3, FALSE)</f>
        <v>24</v>
      </c>
      <c r="Q1884" t="str">
        <f>VLOOKUP(E1884, Sales_Reps!A$2:C$31, 3, FALSE)</f>
        <v>North</v>
      </c>
      <c r="R1884">
        <f>VLOOKUP(D1884, Products!A$2:D$61, 4, FALSE)</f>
        <v>434</v>
      </c>
    </row>
    <row r="1885" spans="1:18" x14ac:dyDescent="0.3">
      <c r="A1885" s="13" t="s">
        <v>2381</v>
      </c>
      <c r="B1885" s="14">
        <v>45622</v>
      </c>
      <c r="C1885" s="13" t="s">
        <v>2382</v>
      </c>
      <c r="D1885" s="13" t="s">
        <v>338</v>
      </c>
      <c r="E1885" s="13" t="s">
        <v>229</v>
      </c>
      <c r="F1885" s="15">
        <v>3</v>
      </c>
      <c r="G1885" s="15">
        <v>2210</v>
      </c>
      <c r="H1885" s="15">
        <v>8.5</v>
      </c>
      <c r="I1885" s="15">
        <v>6066.45</v>
      </c>
      <c r="J1885" s="13" t="s">
        <v>87</v>
      </c>
      <c r="K1885" s="13" t="s">
        <v>99</v>
      </c>
      <c r="L1885">
        <f>IF(COUNTIF(A$2:A1885, A1885)=1, IF(COUNTIF(A$2:A$2001, A1885)&gt;1, 1, 0), 0)</f>
        <v>0</v>
      </c>
      <c r="M1885" t="b">
        <f>VLOOKUP(D1885, Products!A$2:F$61, 6, FALSE)</f>
        <v>1</v>
      </c>
      <c r="N1885" t="str">
        <f>VLOOKUP(D1885, Products!A$2:C$61, 3, FALSE)</f>
        <v>Grocery</v>
      </c>
      <c r="O1885" t="e">
        <f>VLOOKUP(C1885, Customers!A$2:E$301, 5, FALSE)</f>
        <v>#N/A</v>
      </c>
      <c r="P1885" t="e">
        <f>VLOOKUP(C1885, Customers!A$2:C$301, 3, FALSE)</f>
        <v>#N/A</v>
      </c>
      <c r="Q1885" t="str">
        <f>VLOOKUP(E1885, Sales_Reps!A$2:C$31, 3, FALSE)</f>
        <v>West</v>
      </c>
      <c r="R1885">
        <f>VLOOKUP(D1885, Products!A$2:D$61, 4, FALSE)</f>
        <v>1010</v>
      </c>
    </row>
    <row r="1886" spans="1:18" x14ac:dyDescent="0.3">
      <c r="A1886" s="13" t="s">
        <v>2383</v>
      </c>
      <c r="B1886" s="14">
        <v>45457</v>
      </c>
      <c r="C1886" s="13" t="s">
        <v>382</v>
      </c>
      <c r="D1886" s="13" t="s">
        <v>176</v>
      </c>
      <c r="E1886" s="13" t="s">
        <v>297</v>
      </c>
      <c r="F1886" s="15">
        <v>1</v>
      </c>
      <c r="G1886" s="15">
        <v>1650</v>
      </c>
      <c r="H1886" s="15">
        <v>19.7</v>
      </c>
      <c r="I1886" s="15">
        <v>1324.95</v>
      </c>
      <c r="J1886" s="13" t="s">
        <v>87</v>
      </c>
      <c r="K1886" s="13" t="s">
        <v>99</v>
      </c>
      <c r="L1886">
        <f>IF(COUNTIF(A$2:A1886, A1886)=1, IF(COUNTIF(A$2:A$2001, A1886)&gt;1, 1, 0), 0)</f>
        <v>0</v>
      </c>
      <c r="M1886" t="b">
        <f>VLOOKUP(D1886, Products!A$2:F$61, 6, FALSE)</f>
        <v>1</v>
      </c>
      <c r="N1886" t="str">
        <f>VLOOKUP(D1886, Products!A$2:C$61, 3, FALSE)</f>
        <v>Beauty</v>
      </c>
      <c r="O1886" t="str">
        <f>VLOOKUP(C1886, Customers!A$2:E$301, 5, FALSE)</f>
        <v>Corporate</v>
      </c>
      <c r="P1886">
        <f>VLOOKUP(C1886, Customers!A$2:C$301, 3, FALSE)</f>
        <v>27</v>
      </c>
      <c r="Q1886" t="str">
        <f>VLOOKUP(E1886, Sales_Reps!A$2:C$31, 3, FALSE)</f>
        <v>North</v>
      </c>
      <c r="R1886">
        <f>VLOOKUP(D1886, Products!A$2:D$61, 4, FALSE)</f>
        <v>1222</v>
      </c>
    </row>
    <row r="1887" spans="1:18" x14ac:dyDescent="0.3">
      <c r="A1887" s="13" t="s">
        <v>2384</v>
      </c>
      <c r="B1887" s="14">
        <v>45480</v>
      </c>
      <c r="C1887" s="13" t="s">
        <v>948</v>
      </c>
      <c r="D1887" s="13" t="s">
        <v>515</v>
      </c>
      <c r="E1887" s="13" t="s">
        <v>148</v>
      </c>
      <c r="F1887" s="15">
        <v>5</v>
      </c>
      <c r="G1887" s="15">
        <v>6940</v>
      </c>
      <c r="H1887" s="15">
        <v>7.7</v>
      </c>
      <c r="I1887" s="15">
        <v>32028.1</v>
      </c>
      <c r="J1887" s="13" t="s">
        <v>87</v>
      </c>
      <c r="K1887" s="13" t="s">
        <v>88</v>
      </c>
      <c r="L1887">
        <f>IF(COUNTIF(A$2:A1887, A1887)=1, IF(COUNTIF(A$2:A$2001, A1887)&gt;1, 1, 0), 0)</f>
        <v>0</v>
      </c>
      <c r="M1887" t="b">
        <f>VLOOKUP(D1887, Products!A$2:F$61, 6, FALSE)</f>
        <v>1</v>
      </c>
      <c r="N1887" t="str">
        <f>VLOOKUP(D1887, Products!A$2:C$61, 3, FALSE)</f>
        <v>Sports</v>
      </c>
      <c r="O1887" t="str">
        <f>VLOOKUP(C1887, Customers!A$2:E$301, 5, FALSE)</f>
        <v>Retail</v>
      </c>
      <c r="P1887">
        <f>VLOOKUP(C1887, Customers!A$2:C$301, 3, FALSE)</f>
        <v>65</v>
      </c>
      <c r="Q1887" t="str">
        <f>VLOOKUP(E1887, Sales_Reps!A$2:C$31, 3, FALSE)</f>
        <v>North</v>
      </c>
      <c r="R1887">
        <f>VLOOKUP(D1887, Products!A$2:D$61, 4, FALSE)</f>
        <v>2827</v>
      </c>
    </row>
    <row r="1888" spans="1:18" x14ac:dyDescent="0.3">
      <c r="A1888" s="13" t="s">
        <v>2385</v>
      </c>
      <c r="B1888" s="14">
        <v>45392</v>
      </c>
      <c r="C1888" s="13" t="s">
        <v>487</v>
      </c>
      <c r="D1888" s="13" t="s">
        <v>338</v>
      </c>
      <c r="E1888" s="13" t="s">
        <v>285</v>
      </c>
      <c r="F1888" s="15">
        <v>2</v>
      </c>
      <c r="G1888" s="15">
        <v>2210</v>
      </c>
      <c r="H1888" s="15">
        <v>5.6</v>
      </c>
      <c r="I1888" s="15">
        <v>4172.4799999999996</v>
      </c>
      <c r="J1888" s="13" t="s">
        <v>140</v>
      </c>
      <c r="K1888" s="13" t="s">
        <v>88</v>
      </c>
      <c r="L1888">
        <f>IF(COUNTIF(A$2:A1888, A1888)=1, IF(COUNTIF(A$2:A$2001, A1888)&gt;1, 1, 0), 0)</f>
        <v>0</v>
      </c>
      <c r="M1888" t="b">
        <f>VLOOKUP(D1888, Products!A$2:F$61, 6, FALSE)</f>
        <v>1</v>
      </c>
      <c r="N1888" t="str">
        <f>VLOOKUP(D1888, Products!A$2:C$61, 3, FALSE)</f>
        <v>Grocery</v>
      </c>
      <c r="O1888" t="str">
        <f>VLOOKUP(C1888, Customers!A$2:E$301, 5, FALSE)</f>
        <v>Corporate</v>
      </c>
      <c r="P1888">
        <f>VLOOKUP(C1888, Customers!A$2:C$301, 3, FALSE)</f>
        <v>29</v>
      </c>
      <c r="Q1888" t="str">
        <f>VLOOKUP(E1888, Sales_Reps!A$2:C$31, 3, FALSE)</f>
        <v>East</v>
      </c>
      <c r="R1888">
        <f>VLOOKUP(D1888, Products!A$2:D$61, 4, FALSE)</f>
        <v>1010</v>
      </c>
    </row>
    <row r="1889" spans="1:18" x14ac:dyDescent="0.3">
      <c r="A1889" s="13" t="s">
        <v>2386</v>
      </c>
      <c r="B1889" s="14">
        <v>45380</v>
      </c>
      <c r="C1889" s="13" t="s">
        <v>316</v>
      </c>
      <c r="D1889" s="13" t="s">
        <v>138</v>
      </c>
      <c r="E1889" s="13" t="s">
        <v>98</v>
      </c>
      <c r="F1889" s="15">
        <v>9</v>
      </c>
      <c r="G1889" s="15">
        <v>2600</v>
      </c>
      <c r="H1889" s="15">
        <v>3.1</v>
      </c>
      <c r="I1889" s="15">
        <v>22674.6</v>
      </c>
      <c r="J1889" s="13" t="s">
        <v>87</v>
      </c>
      <c r="K1889" s="13" t="s">
        <v>88</v>
      </c>
      <c r="L1889">
        <f>IF(COUNTIF(A$2:A1889, A1889)=1, IF(COUNTIF(A$2:A$2001, A1889)&gt;1, 1, 0), 0)</f>
        <v>0</v>
      </c>
      <c r="M1889" t="b">
        <f>VLOOKUP(D1889, Products!A$2:F$61, 6, FALSE)</f>
        <v>1</v>
      </c>
      <c r="N1889" t="str">
        <f>VLOOKUP(D1889, Products!A$2:C$61, 3, FALSE)</f>
        <v>Electronics</v>
      </c>
      <c r="O1889" t="str">
        <f>VLOOKUP(C1889, Customers!A$2:E$301, 5, FALSE)</f>
        <v>SMB</v>
      </c>
      <c r="P1889">
        <f>VLOOKUP(C1889, Customers!A$2:C$301, 3, FALSE)</f>
        <v>60</v>
      </c>
      <c r="Q1889" t="str">
        <f>VLOOKUP(E1889, Sales_Reps!A$2:C$31, 3, FALSE)</f>
        <v>South</v>
      </c>
      <c r="R1889">
        <f>VLOOKUP(D1889, Products!A$2:D$61, 4, FALSE)</f>
        <v>1052</v>
      </c>
    </row>
    <row r="1890" spans="1:18" x14ac:dyDescent="0.3">
      <c r="A1890" s="13" t="s">
        <v>2387</v>
      </c>
      <c r="B1890" s="14">
        <v>45494</v>
      </c>
      <c r="C1890" s="13" t="s">
        <v>900</v>
      </c>
      <c r="D1890" s="13" t="s">
        <v>461</v>
      </c>
      <c r="E1890" s="13" t="s">
        <v>148</v>
      </c>
      <c r="F1890" s="15">
        <v>7</v>
      </c>
      <c r="G1890" s="15">
        <v>3780</v>
      </c>
      <c r="H1890" s="15">
        <v>13.3</v>
      </c>
      <c r="I1890" s="15">
        <v>22940.82</v>
      </c>
      <c r="J1890" s="13" t="s">
        <v>87</v>
      </c>
      <c r="K1890" s="13" t="s">
        <v>117</v>
      </c>
      <c r="L1890">
        <f>IF(COUNTIF(A$2:A1890, A1890)=1, IF(COUNTIF(A$2:A$2001, A1890)&gt;1, 1, 0), 0)</f>
        <v>0</v>
      </c>
      <c r="M1890" t="b">
        <f>VLOOKUP(D1890, Products!A$2:F$61, 6, FALSE)</f>
        <v>1</v>
      </c>
      <c r="N1890" t="str">
        <f>VLOOKUP(D1890, Products!A$2:C$61, 3, FALSE)</f>
        <v>Sports</v>
      </c>
      <c r="O1890" t="str">
        <f>VLOOKUP(C1890, Customers!A$2:E$301, 5, FALSE)</f>
        <v>Retail</v>
      </c>
      <c r="P1890">
        <f>VLOOKUP(C1890, Customers!A$2:C$301, 3, FALSE)</f>
        <v>35</v>
      </c>
      <c r="Q1890" t="str">
        <f>VLOOKUP(E1890, Sales_Reps!A$2:C$31, 3, FALSE)</f>
        <v>North</v>
      </c>
      <c r="R1890">
        <f>VLOOKUP(D1890, Products!A$2:D$61, 4, FALSE)</f>
        <v>1860</v>
      </c>
    </row>
    <row r="1891" spans="1:18" x14ac:dyDescent="0.3">
      <c r="A1891" s="13" t="s">
        <v>2388</v>
      </c>
      <c r="B1891" s="14">
        <v>45621</v>
      </c>
      <c r="C1891" s="13" t="s">
        <v>1038</v>
      </c>
      <c r="D1891" s="13" t="s">
        <v>151</v>
      </c>
      <c r="E1891" s="13" t="s">
        <v>252</v>
      </c>
      <c r="F1891" s="15">
        <v>4</v>
      </c>
      <c r="G1891" s="15">
        <v>2400</v>
      </c>
      <c r="H1891" s="15">
        <v>16.600000000000001</v>
      </c>
      <c r="I1891" s="15">
        <v>8006.4</v>
      </c>
      <c r="J1891" s="13" t="s">
        <v>93</v>
      </c>
      <c r="K1891" s="13" t="s">
        <v>117</v>
      </c>
      <c r="L1891">
        <f>IF(COUNTIF(A$2:A1891, A1891)=1, IF(COUNTIF(A$2:A$2001, A1891)&gt;1, 1, 0), 0)</f>
        <v>0</v>
      </c>
      <c r="M1891" t="b">
        <f>VLOOKUP(D1891, Products!A$2:F$61, 6, FALSE)</f>
        <v>1</v>
      </c>
      <c r="N1891" t="str">
        <f>VLOOKUP(D1891, Products!A$2:C$61, 3, FALSE)</f>
        <v>Sports</v>
      </c>
      <c r="O1891" t="str">
        <f>VLOOKUP(C1891, Customers!A$2:E$301, 5, FALSE)</f>
        <v>Corporate</v>
      </c>
      <c r="P1891">
        <f>VLOOKUP(C1891, Customers!A$2:C$301, 3, FALSE)</f>
        <v>55</v>
      </c>
      <c r="Q1891" t="str">
        <f>VLOOKUP(E1891, Sales_Reps!A$2:C$31, 3, FALSE)</f>
        <v>South</v>
      </c>
      <c r="R1891">
        <f>VLOOKUP(D1891, Products!A$2:D$61, 4, FALSE)</f>
        <v>974</v>
      </c>
    </row>
    <row r="1892" spans="1:18" x14ac:dyDescent="0.3">
      <c r="A1892" s="13" t="s">
        <v>2389</v>
      </c>
      <c r="B1892" s="14">
        <v>45603</v>
      </c>
      <c r="C1892" s="13" t="s">
        <v>281</v>
      </c>
      <c r="D1892" s="13" t="s">
        <v>282</v>
      </c>
      <c r="E1892" s="13" t="s">
        <v>92</v>
      </c>
      <c r="F1892" s="15">
        <v>10</v>
      </c>
      <c r="G1892" s="15">
        <v>300</v>
      </c>
      <c r="H1892" s="15">
        <v>23.9</v>
      </c>
      <c r="I1892" s="15">
        <v>2283</v>
      </c>
      <c r="J1892" s="13" t="s">
        <v>87</v>
      </c>
      <c r="K1892" s="13" t="s">
        <v>88</v>
      </c>
      <c r="L1892">
        <f>IF(COUNTIF(A$2:A1892, A1892)=1, IF(COUNTIF(A$2:A$2001, A1892)&gt;1, 1, 0), 0)</f>
        <v>0</v>
      </c>
      <c r="M1892" t="b">
        <f>VLOOKUP(D1892, Products!A$2:F$61, 6, FALSE)</f>
        <v>1</v>
      </c>
      <c r="N1892" t="str">
        <f>VLOOKUP(D1892, Products!A$2:C$61, 3, FALSE)</f>
        <v>Electronics</v>
      </c>
      <c r="O1892" t="str">
        <f>VLOOKUP(C1892, Customers!A$2:E$301, 5, FALSE)</f>
        <v>Retail</v>
      </c>
      <c r="P1892">
        <f>VLOOKUP(C1892, Customers!A$2:C$301, 3, FALSE)</f>
        <v>25</v>
      </c>
      <c r="Q1892" t="str">
        <f>VLOOKUP(E1892, Sales_Reps!A$2:C$31, 3, FALSE)</f>
        <v>North</v>
      </c>
      <c r="R1892">
        <f>VLOOKUP(D1892, Products!A$2:D$61, 4, FALSE)</f>
        <v>128</v>
      </c>
    </row>
    <row r="1893" spans="1:18" x14ac:dyDescent="0.3">
      <c r="A1893" s="13" t="s">
        <v>2390</v>
      </c>
      <c r="B1893" s="14">
        <v>45640</v>
      </c>
      <c r="C1893" s="13" t="s">
        <v>266</v>
      </c>
      <c r="D1893" s="13" t="s">
        <v>102</v>
      </c>
      <c r="E1893" s="13" t="s">
        <v>132</v>
      </c>
      <c r="F1893" s="15">
        <v>1</v>
      </c>
      <c r="G1893" s="15">
        <v>3660</v>
      </c>
      <c r="H1893" s="15">
        <v>1.5</v>
      </c>
      <c r="I1893" s="15">
        <v>3605.1</v>
      </c>
      <c r="J1893" s="13" t="s">
        <v>93</v>
      </c>
      <c r="K1893" s="13" t="s">
        <v>99</v>
      </c>
      <c r="L1893">
        <f>IF(COUNTIF(A$2:A1893, A1893)=1, IF(COUNTIF(A$2:A$2001, A1893)&gt;1, 1, 0), 0)</f>
        <v>0</v>
      </c>
      <c r="M1893" t="b">
        <f>VLOOKUP(D1893, Products!A$2:F$61, 6, FALSE)</f>
        <v>0</v>
      </c>
      <c r="N1893" t="str">
        <f>VLOOKUP(D1893, Products!A$2:C$61, 3, FALSE)</f>
        <v>Grocery</v>
      </c>
      <c r="O1893" t="str">
        <f>VLOOKUP(C1893, Customers!A$2:E$301, 5, FALSE)</f>
        <v>Corporate</v>
      </c>
      <c r="P1893">
        <f>VLOOKUP(C1893, Customers!A$2:C$301, 3, FALSE)</f>
        <v>55</v>
      </c>
      <c r="Q1893" t="str">
        <f>VLOOKUP(E1893, Sales_Reps!A$2:C$31, 3, FALSE)</f>
        <v>South</v>
      </c>
      <c r="R1893">
        <f>VLOOKUP(D1893, Products!A$2:D$61, 4, FALSE)</f>
        <v>2214</v>
      </c>
    </row>
    <row r="1894" spans="1:18" x14ac:dyDescent="0.3">
      <c r="A1894" s="13" t="s">
        <v>2391</v>
      </c>
      <c r="B1894" s="14">
        <v>45534</v>
      </c>
      <c r="C1894" s="13" t="s">
        <v>310</v>
      </c>
      <c r="D1894" s="13" t="s">
        <v>161</v>
      </c>
      <c r="E1894" s="13" t="s">
        <v>273</v>
      </c>
      <c r="F1894" s="15">
        <v>9</v>
      </c>
      <c r="G1894" s="15">
        <v>3450</v>
      </c>
      <c r="H1894" s="15">
        <v>21.8</v>
      </c>
      <c r="I1894" s="15">
        <v>24281.1</v>
      </c>
      <c r="J1894" s="13" t="s">
        <v>87</v>
      </c>
      <c r="K1894" s="13" t="s">
        <v>117</v>
      </c>
      <c r="L1894">
        <f>IF(COUNTIF(A$2:A1894, A1894)=1, IF(COUNTIF(A$2:A$2001, A1894)&gt;1, 1, 0), 0)</f>
        <v>0</v>
      </c>
      <c r="M1894" t="b">
        <f>VLOOKUP(D1894, Products!A$2:F$61, 6, FALSE)</f>
        <v>1</v>
      </c>
      <c r="N1894" t="str">
        <f>VLOOKUP(D1894, Products!A$2:C$61, 3, FALSE)</f>
        <v>Sports</v>
      </c>
      <c r="O1894" t="str">
        <f>VLOOKUP(C1894, Customers!A$2:E$301, 5, FALSE)</f>
        <v>Retail</v>
      </c>
      <c r="P1894">
        <f>VLOOKUP(C1894, Customers!A$2:C$301, 3, FALSE)</f>
        <v>42</v>
      </c>
      <c r="Q1894" t="str">
        <f>VLOOKUP(E1894, Sales_Reps!A$2:C$31, 3, FALSE)</f>
        <v>South</v>
      </c>
      <c r="R1894">
        <f>VLOOKUP(D1894, Products!A$2:D$61, 4, FALSE)</f>
        <v>2467</v>
      </c>
    </row>
    <row r="1895" spans="1:18" x14ac:dyDescent="0.3">
      <c r="A1895" s="13" t="s">
        <v>2392</v>
      </c>
      <c r="B1895" s="14">
        <v>45410</v>
      </c>
      <c r="C1895" s="13" t="s">
        <v>501</v>
      </c>
      <c r="D1895" s="13" t="s">
        <v>452</v>
      </c>
      <c r="E1895" s="13" t="s">
        <v>86</v>
      </c>
      <c r="F1895" s="15">
        <v>10</v>
      </c>
      <c r="G1895" s="15">
        <v>3450</v>
      </c>
      <c r="H1895" s="15">
        <v>15.7</v>
      </c>
      <c r="I1895" s="15">
        <v>29083.5</v>
      </c>
      <c r="J1895" s="13" t="s">
        <v>140</v>
      </c>
      <c r="K1895" s="13" t="s">
        <v>133</v>
      </c>
      <c r="L1895">
        <f>IF(COUNTIF(A$2:A1895, A1895)=1, IF(COUNTIF(A$2:A$2001, A1895)&gt;1, 1, 0), 0)</f>
        <v>0</v>
      </c>
      <c r="M1895" t="b">
        <f>VLOOKUP(D1895, Products!A$2:F$61, 6, FALSE)</f>
        <v>1</v>
      </c>
      <c r="N1895" t="str">
        <f>VLOOKUP(D1895, Products!A$2:C$61, 3, FALSE)</f>
        <v>Apparel</v>
      </c>
      <c r="O1895" t="str">
        <f>VLOOKUP(C1895, Customers!A$2:E$301, 5, FALSE)</f>
        <v>SMB</v>
      </c>
      <c r="P1895">
        <f>VLOOKUP(C1895, Customers!A$2:C$301, 3, FALSE)</f>
        <v>65</v>
      </c>
      <c r="Q1895" t="str">
        <f>VLOOKUP(E1895, Sales_Reps!A$2:C$31, 3, FALSE)</f>
        <v>North</v>
      </c>
      <c r="R1895">
        <f>VLOOKUP(D1895, Products!A$2:D$61, 4, FALSE)</f>
        <v>1748</v>
      </c>
    </row>
    <row r="1896" spans="1:18" x14ac:dyDescent="0.3">
      <c r="A1896" s="13" t="s">
        <v>2393</v>
      </c>
      <c r="B1896" s="14">
        <v>45412</v>
      </c>
      <c r="C1896" s="13" t="s">
        <v>101</v>
      </c>
      <c r="D1896" s="13" t="s">
        <v>264</v>
      </c>
      <c r="E1896" s="13" t="s">
        <v>107</v>
      </c>
      <c r="F1896" s="15">
        <v>2</v>
      </c>
      <c r="G1896" s="15">
        <v>4070</v>
      </c>
      <c r="H1896" s="15">
        <v>10.8</v>
      </c>
      <c r="I1896" s="15">
        <v>7260.88</v>
      </c>
      <c r="J1896" s="13" t="s">
        <v>87</v>
      </c>
      <c r="K1896" s="13" t="s">
        <v>99</v>
      </c>
      <c r="L1896">
        <f>IF(COUNTIF(A$2:A1896, A1896)=1, IF(COUNTIF(A$2:A$2001, A1896)&gt;1, 1, 0), 0)</f>
        <v>0</v>
      </c>
      <c r="M1896" t="b">
        <f>VLOOKUP(D1896, Products!A$2:F$61, 6, FALSE)</f>
        <v>1</v>
      </c>
      <c r="N1896" t="str">
        <f>VLOOKUP(D1896, Products!A$2:C$61, 3, FALSE)</f>
        <v>Grocery</v>
      </c>
      <c r="O1896" t="str">
        <f>VLOOKUP(C1896, Customers!A$2:E$301, 5, FALSE)</f>
        <v>Corporate</v>
      </c>
      <c r="P1896">
        <f>VLOOKUP(C1896, Customers!A$2:C$301, 3, FALSE)</f>
        <v>46</v>
      </c>
      <c r="Q1896" t="str">
        <f>VLOOKUP(E1896, Sales_Reps!A$2:C$31, 3, FALSE)</f>
        <v>North</v>
      </c>
      <c r="R1896">
        <f>VLOOKUP(D1896, Products!A$2:D$61, 4, FALSE)</f>
        <v>2027</v>
      </c>
    </row>
    <row r="1897" spans="1:18" x14ac:dyDescent="0.3">
      <c r="A1897" s="13" t="s">
        <v>2394</v>
      </c>
      <c r="B1897" s="14">
        <v>45372</v>
      </c>
      <c r="C1897" s="13" t="s">
        <v>369</v>
      </c>
      <c r="D1897" s="13" t="s">
        <v>461</v>
      </c>
      <c r="E1897" s="13" t="s">
        <v>154</v>
      </c>
      <c r="F1897" s="15">
        <v>4</v>
      </c>
      <c r="G1897" s="15">
        <v>3780</v>
      </c>
      <c r="H1897" s="15">
        <v>17.100000000000001</v>
      </c>
      <c r="I1897" s="15">
        <v>12534.48</v>
      </c>
      <c r="J1897" s="13" t="s">
        <v>87</v>
      </c>
      <c r="K1897" s="13" t="s">
        <v>94</v>
      </c>
      <c r="L1897">
        <f>IF(COUNTIF(A$2:A1897, A1897)=1, IF(COUNTIF(A$2:A$2001, A1897)&gt;1, 1, 0), 0)</f>
        <v>0</v>
      </c>
      <c r="M1897" t="b">
        <f>VLOOKUP(D1897, Products!A$2:F$61, 6, FALSE)</f>
        <v>1</v>
      </c>
      <c r="N1897" t="str">
        <f>VLOOKUP(D1897, Products!A$2:C$61, 3, FALSE)</f>
        <v>Sports</v>
      </c>
      <c r="O1897" t="str">
        <f>VLOOKUP(C1897, Customers!A$2:E$301, 5, FALSE)</f>
        <v>SMB</v>
      </c>
      <c r="P1897">
        <f>VLOOKUP(C1897, Customers!A$2:C$301, 3, FALSE)</f>
        <v>62</v>
      </c>
      <c r="Q1897" t="str">
        <f>VLOOKUP(E1897, Sales_Reps!A$2:C$31, 3, FALSE)</f>
        <v>East</v>
      </c>
      <c r="R1897">
        <f>VLOOKUP(D1897, Products!A$2:D$61, 4, FALSE)</f>
        <v>1860</v>
      </c>
    </row>
    <row r="1898" spans="1:18" x14ac:dyDescent="0.3">
      <c r="A1898" s="13" t="s">
        <v>2395</v>
      </c>
      <c r="B1898" s="14">
        <v>45622</v>
      </c>
      <c r="C1898" s="13" t="s">
        <v>673</v>
      </c>
      <c r="D1898" s="13" t="s">
        <v>200</v>
      </c>
      <c r="E1898" s="13" t="s">
        <v>139</v>
      </c>
      <c r="F1898" s="15">
        <v>1</v>
      </c>
      <c r="G1898" s="15">
        <v>2760</v>
      </c>
      <c r="H1898" s="15">
        <v>2.5</v>
      </c>
      <c r="I1898" s="15">
        <v>2691</v>
      </c>
      <c r="J1898" s="13" t="s">
        <v>140</v>
      </c>
      <c r="K1898" s="13" t="s">
        <v>112</v>
      </c>
      <c r="L1898">
        <f>IF(COUNTIF(A$2:A1898, A1898)=1, IF(COUNTIF(A$2:A$2001, A1898)&gt;1, 1, 0), 0)</f>
        <v>0</v>
      </c>
      <c r="M1898" t="b">
        <f>VLOOKUP(D1898, Products!A$2:F$61, 6, FALSE)</f>
        <v>1</v>
      </c>
      <c r="N1898" t="str">
        <f>VLOOKUP(D1898, Products!A$2:C$61, 3, FALSE)</f>
        <v>Grocery</v>
      </c>
      <c r="O1898" t="str">
        <f>VLOOKUP(C1898, Customers!A$2:E$301, 5, FALSE)</f>
        <v>Retail</v>
      </c>
      <c r="P1898">
        <f>VLOOKUP(C1898, Customers!A$2:C$301, 3, FALSE)</f>
        <v>35</v>
      </c>
      <c r="Q1898" t="str">
        <f>VLOOKUP(E1898, Sales_Reps!A$2:C$31, 3, FALSE)</f>
        <v>North</v>
      </c>
      <c r="R1898">
        <f>VLOOKUP(D1898, Products!A$2:D$61, 4, FALSE)</f>
        <v>1435</v>
      </c>
    </row>
    <row r="1899" spans="1:18" x14ac:dyDescent="0.3">
      <c r="A1899" s="13" t="s">
        <v>2396</v>
      </c>
      <c r="B1899" s="14">
        <v>45493</v>
      </c>
      <c r="C1899" s="13" t="s">
        <v>156</v>
      </c>
      <c r="D1899" s="13" t="s">
        <v>184</v>
      </c>
      <c r="E1899" s="13" t="s">
        <v>170</v>
      </c>
      <c r="F1899" s="15">
        <v>2</v>
      </c>
      <c r="G1899" s="15">
        <v>4880</v>
      </c>
      <c r="H1899" s="15">
        <v>11</v>
      </c>
      <c r="I1899" s="15">
        <v>8686.4</v>
      </c>
      <c r="J1899" s="13" t="s">
        <v>87</v>
      </c>
      <c r="K1899" s="13" t="s">
        <v>133</v>
      </c>
      <c r="L1899">
        <f>IF(COUNTIF(A$2:A1899, A1899)=1, IF(COUNTIF(A$2:A$2001, A1899)&gt;1, 1, 0), 0)</f>
        <v>0</v>
      </c>
      <c r="M1899" t="b">
        <f>VLOOKUP(D1899, Products!A$2:F$61, 6, FALSE)</f>
        <v>1</v>
      </c>
      <c r="N1899" t="str">
        <f>VLOOKUP(D1899, Products!A$2:C$61, 3, FALSE)</f>
        <v>Beauty</v>
      </c>
      <c r="O1899" t="str">
        <f>VLOOKUP(C1899, Customers!A$2:E$301, 5, FALSE)</f>
        <v>Corporate</v>
      </c>
      <c r="P1899">
        <f>VLOOKUP(C1899, Customers!A$2:C$301, 3, FALSE)</f>
        <v>32</v>
      </c>
      <c r="Q1899" t="str">
        <f>VLOOKUP(E1899, Sales_Reps!A$2:C$31, 3, FALSE)</f>
        <v>West</v>
      </c>
      <c r="R1899">
        <f>VLOOKUP(D1899, Products!A$2:D$61, 4, FALSE)</f>
        <v>2768</v>
      </c>
    </row>
    <row r="1900" spans="1:18" x14ac:dyDescent="0.3">
      <c r="A1900" s="13" t="s">
        <v>2397</v>
      </c>
      <c r="B1900" s="14">
        <v>45580</v>
      </c>
      <c r="C1900" s="13" t="s">
        <v>606</v>
      </c>
      <c r="D1900" s="13" t="s">
        <v>367</v>
      </c>
      <c r="E1900" s="13" t="s">
        <v>285</v>
      </c>
      <c r="F1900" s="15">
        <v>10</v>
      </c>
      <c r="G1900" s="15">
        <v>2380</v>
      </c>
      <c r="H1900" s="15">
        <v>28.3</v>
      </c>
      <c r="I1900" s="15">
        <v>17064.599999999999</v>
      </c>
      <c r="J1900" s="13" t="s">
        <v>87</v>
      </c>
      <c r="K1900" s="13" t="s">
        <v>112</v>
      </c>
      <c r="L1900">
        <f>IF(COUNTIF(A$2:A1900, A1900)=1, IF(COUNTIF(A$2:A$2001, A1900)&gt;1, 1, 0), 0)</f>
        <v>0</v>
      </c>
      <c r="M1900" t="b">
        <f>VLOOKUP(D1900, Products!A$2:F$61, 6, FALSE)</f>
        <v>1</v>
      </c>
      <c r="N1900" t="str">
        <f>VLOOKUP(D1900, Products!A$2:C$61, 3, FALSE)</f>
        <v>Grocery</v>
      </c>
      <c r="O1900" t="str">
        <f>VLOOKUP(C1900, Customers!A$2:E$301, 5, FALSE)</f>
        <v>Retail</v>
      </c>
      <c r="P1900">
        <f>VLOOKUP(C1900, Customers!A$2:C$301, 3, FALSE)</f>
        <v>52</v>
      </c>
      <c r="Q1900" t="str">
        <f>VLOOKUP(E1900, Sales_Reps!A$2:C$31, 3, FALSE)</f>
        <v>East</v>
      </c>
      <c r="R1900">
        <f>VLOOKUP(D1900, Products!A$2:D$61, 4, FALSE)</f>
        <v>1182</v>
      </c>
    </row>
    <row r="1901" spans="1:18" x14ac:dyDescent="0.3">
      <c r="A1901" s="13" t="s">
        <v>2398</v>
      </c>
      <c r="B1901" s="14">
        <v>45449</v>
      </c>
      <c r="C1901" s="13" t="s">
        <v>1104</v>
      </c>
      <c r="D1901" s="13" t="s">
        <v>386</v>
      </c>
      <c r="E1901" s="13" t="s">
        <v>148</v>
      </c>
      <c r="F1901" s="15">
        <v>3</v>
      </c>
      <c r="G1901" s="15">
        <v>2290</v>
      </c>
      <c r="H1901" s="15">
        <v>11.1</v>
      </c>
      <c r="I1901" s="15">
        <v>6107.43</v>
      </c>
      <c r="J1901" s="13" t="s">
        <v>140</v>
      </c>
      <c r="K1901" s="13" t="s">
        <v>117</v>
      </c>
      <c r="L1901">
        <f>IF(COUNTIF(A$2:A1901, A1901)=1, IF(COUNTIF(A$2:A$2001, A1901)&gt;1, 1, 0), 0)</f>
        <v>0</v>
      </c>
      <c r="M1901" t="b">
        <f>VLOOKUP(D1901, Products!A$2:F$61, 6, FALSE)</f>
        <v>1</v>
      </c>
      <c r="N1901" t="str">
        <f>VLOOKUP(D1901, Products!A$2:C$61, 3, FALSE)</f>
        <v>Beauty</v>
      </c>
      <c r="O1901" t="str">
        <f>VLOOKUP(C1901, Customers!A$2:E$301, 5, FALSE)</f>
        <v>Corporate</v>
      </c>
      <c r="P1901">
        <f>VLOOKUP(C1901, Customers!A$2:C$301, 3, FALSE)</f>
        <v>31</v>
      </c>
      <c r="Q1901" t="str">
        <f>VLOOKUP(E1901, Sales_Reps!A$2:C$31, 3, FALSE)</f>
        <v>North</v>
      </c>
      <c r="R1901">
        <f>VLOOKUP(D1901, Products!A$2:D$61, 4, FALSE)</f>
        <v>1219</v>
      </c>
    </row>
    <row r="1902" spans="1:18" x14ac:dyDescent="0.3">
      <c r="A1902" s="13" t="s">
        <v>2399</v>
      </c>
      <c r="B1902" s="14">
        <v>45417</v>
      </c>
      <c r="C1902" s="13" t="s">
        <v>156</v>
      </c>
      <c r="D1902" s="13" t="s">
        <v>200</v>
      </c>
      <c r="E1902" s="13" t="s">
        <v>139</v>
      </c>
      <c r="F1902" s="15">
        <v>6</v>
      </c>
      <c r="G1902" s="15">
        <v>2760</v>
      </c>
      <c r="H1902" s="15">
        <v>16.5</v>
      </c>
      <c r="I1902" s="15">
        <v>13827.6</v>
      </c>
      <c r="J1902" s="13" t="s">
        <v>87</v>
      </c>
      <c r="K1902" s="13" t="s">
        <v>133</v>
      </c>
      <c r="L1902">
        <f>IF(COUNTIF(A$2:A1902, A1902)=1, IF(COUNTIF(A$2:A$2001, A1902)&gt;1, 1, 0), 0)</f>
        <v>0</v>
      </c>
      <c r="M1902" t="b">
        <f>VLOOKUP(D1902, Products!A$2:F$61, 6, FALSE)</f>
        <v>1</v>
      </c>
      <c r="N1902" t="str">
        <f>VLOOKUP(D1902, Products!A$2:C$61, 3, FALSE)</f>
        <v>Grocery</v>
      </c>
      <c r="O1902" t="str">
        <f>VLOOKUP(C1902, Customers!A$2:E$301, 5, FALSE)</f>
        <v>Corporate</v>
      </c>
      <c r="P1902">
        <f>VLOOKUP(C1902, Customers!A$2:C$301, 3, FALSE)</f>
        <v>32</v>
      </c>
      <c r="Q1902" t="str">
        <f>VLOOKUP(E1902, Sales_Reps!A$2:C$31, 3, FALSE)</f>
        <v>North</v>
      </c>
      <c r="R1902">
        <f>VLOOKUP(D1902, Products!A$2:D$61, 4, FALSE)</f>
        <v>1435</v>
      </c>
    </row>
    <row r="1903" spans="1:18" x14ac:dyDescent="0.3">
      <c r="A1903" s="13" t="s">
        <v>2400</v>
      </c>
      <c r="B1903" s="14">
        <v>45523</v>
      </c>
      <c r="C1903" s="13" t="s">
        <v>518</v>
      </c>
      <c r="D1903" s="13" t="s">
        <v>351</v>
      </c>
      <c r="E1903" s="13" t="s">
        <v>343</v>
      </c>
      <c r="F1903" s="15">
        <v>5</v>
      </c>
      <c r="G1903" s="15">
        <v>4060</v>
      </c>
      <c r="H1903" s="15">
        <v>22.5</v>
      </c>
      <c r="I1903" s="15">
        <v>15732.5</v>
      </c>
      <c r="J1903" s="13" t="s">
        <v>87</v>
      </c>
      <c r="K1903" s="13" t="s">
        <v>88</v>
      </c>
      <c r="L1903">
        <f>IF(COUNTIF(A$2:A1903, A1903)=1, IF(COUNTIF(A$2:A$2001, A1903)&gt;1, 1, 0), 0)</f>
        <v>0</v>
      </c>
      <c r="M1903" t="b">
        <f>VLOOKUP(D1903, Products!A$2:F$61, 6, FALSE)</f>
        <v>1</v>
      </c>
      <c r="N1903" t="str">
        <f>VLOOKUP(D1903, Products!A$2:C$61, 3, FALSE)</f>
        <v>Grocery</v>
      </c>
      <c r="O1903" t="str">
        <f>VLOOKUP(C1903, Customers!A$2:E$301, 5, FALSE)</f>
        <v>Retail</v>
      </c>
      <c r="P1903">
        <f>VLOOKUP(C1903, Customers!A$2:C$301, 3, FALSE)</f>
        <v>49</v>
      </c>
      <c r="Q1903" t="str">
        <f>VLOOKUP(E1903, Sales_Reps!A$2:C$31, 3, FALSE)</f>
        <v>West</v>
      </c>
      <c r="R1903">
        <f>VLOOKUP(D1903, Products!A$2:D$61, 4, FALSE)</f>
        <v>2911</v>
      </c>
    </row>
    <row r="1904" spans="1:18" x14ac:dyDescent="0.3">
      <c r="A1904" s="13" t="s">
        <v>2401</v>
      </c>
      <c r="B1904" s="14">
        <v>45367</v>
      </c>
      <c r="C1904" s="13" t="s">
        <v>328</v>
      </c>
      <c r="D1904" s="13" t="s">
        <v>135</v>
      </c>
      <c r="E1904" s="13" t="s">
        <v>103</v>
      </c>
      <c r="F1904" s="15">
        <v>8</v>
      </c>
      <c r="G1904" s="15">
        <v>2640</v>
      </c>
      <c r="H1904" s="15">
        <v>11.8</v>
      </c>
      <c r="I1904" s="15">
        <v>18627.84</v>
      </c>
      <c r="J1904" s="13" t="s">
        <v>87</v>
      </c>
      <c r="K1904" s="13" t="s">
        <v>94</v>
      </c>
      <c r="L1904">
        <f>IF(COUNTIF(A$2:A1904, A1904)=1, IF(COUNTIF(A$2:A$2001, A1904)&gt;1, 1, 0), 0)</f>
        <v>0</v>
      </c>
      <c r="M1904" t="b">
        <f>VLOOKUP(D1904, Products!A$2:F$61, 6, FALSE)</f>
        <v>1</v>
      </c>
      <c r="N1904" t="str">
        <f>VLOOKUP(D1904, Products!A$2:C$61, 3, FALSE)</f>
        <v>Electronics</v>
      </c>
      <c r="O1904" t="str">
        <f>VLOOKUP(C1904, Customers!A$2:E$301, 5, FALSE)</f>
        <v>Retail</v>
      </c>
      <c r="P1904">
        <f>VLOOKUP(C1904, Customers!A$2:C$301, 3, FALSE)</f>
        <v>28</v>
      </c>
      <c r="Q1904" t="str">
        <f>VLOOKUP(E1904, Sales_Reps!A$2:C$31, 3, FALSE)</f>
        <v>North</v>
      </c>
      <c r="R1904">
        <f>VLOOKUP(D1904, Products!A$2:D$61, 4, FALSE)</f>
        <v>1149</v>
      </c>
    </row>
    <row r="1905" spans="1:18" x14ac:dyDescent="0.3">
      <c r="A1905" s="13" t="s">
        <v>2402</v>
      </c>
      <c r="B1905" s="14">
        <v>45309</v>
      </c>
      <c r="C1905" s="13" t="s">
        <v>816</v>
      </c>
      <c r="D1905" s="13" t="s">
        <v>270</v>
      </c>
      <c r="E1905" s="13" t="s">
        <v>92</v>
      </c>
      <c r="F1905" s="15">
        <v>2</v>
      </c>
      <c r="G1905" s="15">
        <v>4610</v>
      </c>
      <c r="H1905" s="15">
        <v>10.4</v>
      </c>
      <c r="I1905" s="15">
        <v>8261.1200000000008</v>
      </c>
      <c r="J1905" s="13" t="s">
        <v>93</v>
      </c>
      <c r="K1905" s="13" t="s">
        <v>88</v>
      </c>
      <c r="L1905">
        <f>IF(COUNTIF(A$2:A1905, A1905)=1, IF(COUNTIF(A$2:A$2001, A1905)&gt;1, 1, 0), 0)</f>
        <v>0</v>
      </c>
      <c r="M1905" t="b">
        <f>VLOOKUP(D1905, Products!A$2:F$61, 6, FALSE)</f>
        <v>1</v>
      </c>
      <c r="N1905" t="str">
        <f>VLOOKUP(D1905, Products!A$2:C$61, 3, FALSE)</f>
        <v>Home</v>
      </c>
      <c r="O1905" t="str">
        <f>VLOOKUP(C1905, Customers!A$2:E$301, 5, FALSE)</f>
        <v>Retail</v>
      </c>
      <c r="P1905">
        <f>VLOOKUP(C1905, Customers!A$2:C$301, 3, FALSE)</f>
        <v>36</v>
      </c>
      <c r="Q1905" t="str">
        <f>VLOOKUP(E1905, Sales_Reps!A$2:C$31, 3, FALSE)</f>
        <v>North</v>
      </c>
      <c r="R1905">
        <f>VLOOKUP(D1905, Products!A$2:D$61, 4, FALSE)</f>
        <v>1850</v>
      </c>
    </row>
    <row r="1906" spans="1:18" x14ac:dyDescent="0.3">
      <c r="A1906" s="13" t="s">
        <v>2403</v>
      </c>
      <c r="B1906" s="14">
        <v>45383</v>
      </c>
      <c r="C1906" s="13" t="s">
        <v>278</v>
      </c>
      <c r="D1906" s="13" t="s">
        <v>338</v>
      </c>
      <c r="E1906" s="13" t="s">
        <v>128</v>
      </c>
      <c r="F1906" s="15">
        <v>6</v>
      </c>
      <c r="G1906" s="15">
        <v>2210</v>
      </c>
      <c r="H1906" s="15">
        <v>22.5</v>
      </c>
      <c r="I1906" s="15">
        <v>10276.5</v>
      </c>
      <c r="J1906" s="13" t="s">
        <v>140</v>
      </c>
      <c r="K1906" s="13" t="s">
        <v>133</v>
      </c>
      <c r="L1906">
        <f>IF(COUNTIF(A$2:A1906, A1906)=1, IF(COUNTIF(A$2:A$2001, A1906)&gt;1, 1, 0), 0)</f>
        <v>0</v>
      </c>
      <c r="M1906" t="b">
        <f>VLOOKUP(D1906, Products!A$2:F$61, 6, FALSE)</f>
        <v>1</v>
      </c>
      <c r="N1906" t="str">
        <f>VLOOKUP(D1906, Products!A$2:C$61, 3, FALSE)</f>
        <v>Grocery</v>
      </c>
      <c r="O1906" t="str">
        <f>VLOOKUP(C1906, Customers!A$2:E$301, 5, FALSE)</f>
        <v>Corporate</v>
      </c>
      <c r="P1906">
        <f>VLOOKUP(C1906, Customers!A$2:C$301, 3, FALSE)</f>
        <v>29</v>
      </c>
      <c r="Q1906" t="str">
        <f>VLOOKUP(E1906, Sales_Reps!A$2:C$31, 3, FALSE)</f>
        <v>West</v>
      </c>
      <c r="R1906">
        <f>VLOOKUP(D1906, Products!A$2:D$61, 4, FALSE)</f>
        <v>1010</v>
      </c>
    </row>
    <row r="1907" spans="1:18" x14ac:dyDescent="0.3">
      <c r="A1907" s="13" t="s">
        <v>2404</v>
      </c>
      <c r="B1907" s="14">
        <v>45420</v>
      </c>
      <c r="C1907" s="13" t="s">
        <v>546</v>
      </c>
      <c r="D1907" s="13" t="s">
        <v>338</v>
      </c>
      <c r="E1907" s="13" t="s">
        <v>273</v>
      </c>
      <c r="F1907" s="15">
        <v>4</v>
      </c>
      <c r="G1907" s="15">
        <v>2210</v>
      </c>
      <c r="H1907" s="15">
        <v>21.5</v>
      </c>
      <c r="I1907" s="15">
        <v>6939.4</v>
      </c>
      <c r="J1907" s="13" t="s">
        <v>93</v>
      </c>
      <c r="K1907" s="13" t="s">
        <v>99</v>
      </c>
      <c r="L1907">
        <f>IF(COUNTIF(A$2:A1907, A1907)=1, IF(COUNTIF(A$2:A$2001, A1907)&gt;1, 1, 0), 0)</f>
        <v>0</v>
      </c>
      <c r="M1907" t="b">
        <f>VLOOKUP(D1907, Products!A$2:F$61, 6, FALSE)</f>
        <v>1</v>
      </c>
      <c r="N1907" t="str">
        <f>VLOOKUP(D1907, Products!A$2:C$61, 3, FALSE)</f>
        <v>Grocery</v>
      </c>
      <c r="O1907" t="str">
        <f>VLOOKUP(C1907, Customers!A$2:E$301, 5, FALSE)</f>
        <v>SMB</v>
      </c>
      <c r="P1907">
        <f>VLOOKUP(C1907, Customers!A$2:C$301, 3, FALSE)</f>
        <v>29</v>
      </c>
      <c r="Q1907" t="str">
        <f>VLOOKUP(E1907, Sales_Reps!A$2:C$31, 3, FALSE)</f>
        <v>South</v>
      </c>
      <c r="R1907">
        <f>VLOOKUP(D1907, Products!A$2:D$61, 4, FALSE)</f>
        <v>1010</v>
      </c>
    </row>
    <row r="1908" spans="1:18" x14ac:dyDescent="0.3">
      <c r="A1908" s="13" t="s">
        <v>2405</v>
      </c>
      <c r="B1908" s="14">
        <v>45400</v>
      </c>
      <c r="C1908" s="13" t="s">
        <v>84</v>
      </c>
      <c r="D1908" s="13" t="s">
        <v>502</v>
      </c>
      <c r="E1908" s="13" t="s">
        <v>252</v>
      </c>
      <c r="F1908" s="15">
        <v>6</v>
      </c>
      <c r="G1908" s="15">
        <v>1090</v>
      </c>
      <c r="H1908" s="15">
        <v>28.3</v>
      </c>
      <c r="I1908" s="15">
        <v>4689.18</v>
      </c>
      <c r="J1908" s="13" t="s">
        <v>87</v>
      </c>
      <c r="K1908" s="13" t="s">
        <v>88</v>
      </c>
      <c r="L1908">
        <f>IF(COUNTIF(A$2:A1908, A1908)=1, IF(COUNTIF(A$2:A$2001, A1908)&gt;1, 1, 0), 0)</f>
        <v>0</v>
      </c>
      <c r="M1908" t="b">
        <f>VLOOKUP(D1908, Products!A$2:F$61, 6, FALSE)</f>
        <v>1</v>
      </c>
      <c r="N1908" t="str">
        <f>VLOOKUP(D1908, Products!A$2:C$61, 3, FALSE)</f>
        <v>Home</v>
      </c>
      <c r="O1908" t="str">
        <f>VLOOKUP(C1908, Customers!A$2:E$301, 5, FALSE)</f>
        <v>SMB</v>
      </c>
      <c r="P1908">
        <f>VLOOKUP(C1908, Customers!A$2:C$301, 3, FALSE)</f>
        <v>44</v>
      </c>
      <c r="Q1908" t="str">
        <f>VLOOKUP(E1908, Sales_Reps!A$2:C$31, 3, FALSE)</f>
        <v>South</v>
      </c>
      <c r="R1908">
        <f>VLOOKUP(D1908, Products!A$2:D$61, 4, FALSE)</f>
        <v>464</v>
      </c>
    </row>
    <row r="1909" spans="1:18" x14ac:dyDescent="0.3">
      <c r="A1909" s="13" t="s">
        <v>2406</v>
      </c>
      <c r="B1909" s="14">
        <v>45625</v>
      </c>
      <c r="C1909" s="13" t="s">
        <v>420</v>
      </c>
      <c r="D1909" s="13" t="s">
        <v>110</v>
      </c>
      <c r="E1909" s="13" t="s">
        <v>148</v>
      </c>
      <c r="F1909" s="15">
        <v>9</v>
      </c>
      <c r="G1909" s="15">
        <v>370</v>
      </c>
      <c r="H1909" s="15">
        <v>13.8</v>
      </c>
      <c r="I1909" s="15">
        <v>2870.46</v>
      </c>
      <c r="J1909" s="13" t="s">
        <v>87</v>
      </c>
      <c r="K1909" s="13" t="s">
        <v>99</v>
      </c>
      <c r="L1909">
        <f>IF(COUNTIF(A$2:A1909, A1909)=1, IF(COUNTIF(A$2:A$2001, A1909)&gt;1, 1, 0), 0)</f>
        <v>0</v>
      </c>
      <c r="M1909" t="b">
        <f>VLOOKUP(D1909, Products!A$2:F$61, 6, FALSE)</f>
        <v>1</v>
      </c>
      <c r="N1909" t="str">
        <f>VLOOKUP(D1909, Products!A$2:C$61, 3, FALSE)</f>
        <v>Home</v>
      </c>
      <c r="O1909" t="str">
        <f>VLOOKUP(C1909, Customers!A$2:E$301, 5, FALSE)</f>
        <v>Retail</v>
      </c>
      <c r="P1909">
        <f>VLOOKUP(C1909, Customers!A$2:C$301, 3, FALSE)</f>
        <v>44</v>
      </c>
      <c r="Q1909" t="str">
        <f>VLOOKUP(E1909, Sales_Reps!A$2:C$31, 3, FALSE)</f>
        <v>North</v>
      </c>
      <c r="R1909">
        <f>VLOOKUP(D1909, Products!A$2:D$61, 4, FALSE)</f>
        <v>288</v>
      </c>
    </row>
    <row r="1910" spans="1:18" x14ac:dyDescent="0.3">
      <c r="A1910" s="13" t="s">
        <v>2407</v>
      </c>
      <c r="B1910" s="14">
        <v>45555</v>
      </c>
      <c r="C1910" s="13" t="s">
        <v>493</v>
      </c>
      <c r="D1910" s="13" t="s">
        <v>187</v>
      </c>
      <c r="E1910" s="13" t="s">
        <v>111</v>
      </c>
      <c r="F1910" s="15">
        <v>10</v>
      </c>
      <c r="G1910" s="15">
        <v>3570</v>
      </c>
      <c r="H1910" s="15">
        <v>3</v>
      </c>
      <c r="I1910" s="15">
        <v>34629</v>
      </c>
      <c r="J1910" s="13" t="s">
        <v>140</v>
      </c>
      <c r="K1910" s="13" t="s">
        <v>88</v>
      </c>
      <c r="L1910">
        <f>IF(COUNTIF(A$2:A1910, A1910)=1, IF(COUNTIF(A$2:A$2001, A1910)&gt;1, 1, 0), 0)</f>
        <v>0</v>
      </c>
      <c r="M1910" t="b">
        <f>VLOOKUP(D1910, Products!A$2:F$61, 6, FALSE)</f>
        <v>1</v>
      </c>
      <c r="N1910" t="str">
        <f>VLOOKUP(D1910, Products!A$2:C$61, 3, FALSE)</f>
        <v>Electronics</v>
      </c>
      <c r="O1910" t="str">
        <f>VLOOKUP(C1910, Customers!A$2:E$301, 5, FALSE)</f>
        <v>Retail</v>
      </c>
      <c r="P1910">
        <f>VLOOKUP(C1910, Customers!A$2:C$301, 3, FALSE)</f>
        <v>57</v>
      </c>
      <c r="Q1910" t="str">
        <f>VLOOKUP(E1910, Sales_Reps!A$2:C$31, 3, FALSE)</f>
        <v>West</v>
      </c>
      <c r="R1910">
        <f>VLOOKUP(D1910, Products!A$2:D$61, 4, FALSE)</f>
        <v>1665</v>
      </c>
    </row>
    <row r="1911" spans="1:18" x14ac:dyDescent="0.3">
      <c r="A1911" s="13" t="s">
        <v>2408</v>
      </c>
      <c r="B1911" s="14">
        <v>45509</v>
      </c>
      <c r="C1911" s="13" t="s">
        <v>371</v>
      </c>
      <c r="D1911" s="13" t="s">
        <v>143</v>
      </c>
      <c r="E1911" s="13" t="s">
        <v>346</v>
      </c>
      <c r="F1911" s="15">
        <v>10</v>
      </c>
      <c r="G1911" s="15">
        <v>3250</v>
      </c>
      <c r="H1911" s="15">
        <v>20.3</v>
      </c>
      <c r="I1911" s="15">
        <v>25902.5</v>
      </c>
      <c r="J1911" s="13" t="s">
        <v>87</v>
      </c>
      <c r="K1911" s="13" t="s">
        <v>112</v>
      </c>
      <c r="L1911">
        <f>IF(COUNTIF(A$2:A1911, A1911)=1, IF(COUNTIF(A$2:A$2001, A1911)&gt;1, 1, 0), 0)</f>
        <v>0</v>
      </c>
      <c r="M1911" t="b">
        <f>VLOOKUP(D1911, Products!A$2:F$61, 6, FALSE)</f>
        <v>1</v>
      </c>
      <c r="N1911" t="str">
        <f>VLOOKUP(D1911, Products!A$2:C$61, 3, FALSE)</f>
        <v>Home</v>
      </c>
      <c r="O1911" t="str">
        <f>VLOOKUP(C1911, Customers!A$2:E$301, 5, FALSE)</f>
        <v>Retail</v>
      </c>
      <c r="P1911">
        <f>VLOOKUP(C1911, Customers!A$2:C$301, 3, FALSE)</f>
        <v>42</v>
      </c>
      <c r="Q1911" t="str">
        <f>VLOOKUP(E1911, Sales_Reps!A$2:C$31, 3, FALSE)</f>
        <v>South</v>
      </c>
      <c r="R1911">
        <f>VLOOKUP(D1911, Products!A$2:D$61, 4, FALSE)</f>
        <v>1556</v>
      </c>
    </row>
    <row r="1912" spans="1:18" x14ac:dyDescent="0.3">
      <c r="A1912" s="13" t="s">
        <v>2409</v>
      </c>
      <c r="B1912" s="14">
        <v>45436</v>
      </c>
      <c r="C1912" s="13" t="s">
        <v>872</v>
      </c>
      <c r="D1912" s="13" t="s">
        <v>143</v>
      </c>
      <c r="E1912" s="13" t="s">
        <v>128</v>
      </c>
      <c r="F1912" s="15">
        <v>6</v>
      </c>
      <c r="G1912" s="15">
        <v>3250</v>
      </c>
      <c r="H1912" s="15">
        <v>25.8</v>
      </c>
      <c r="I1912" s="15">
        <v>14469</v>
      </c>
      <c r="J1912" s="13" t="s">
        <v>93</v>
      </c>
      <c r="K1912" s="13" t="s">
        <v>112</v>
      </c>
      <c r="L1912">
        <f>IF(COUNTIF(A$2:A1912, A1912)=1, IF(COUNTIF(A$2:A$2001, A1912)&gt;1, 1, 0), 0)</f>
        <v>0</v>
      </c>
      <c r="M1912" t="b">
        <f>VLOOKUP(D1912, Products!A$2:F$61, 6, FALSE)</f>
        <v>1</v>
      </c>
      <c r="N1912" t="str">
        <f>VLOOKUP(D1912, Products!A$2:C$61, 3, FALSE)</f>
        <v>Home</v>
      </c>
      <c r="O1912" t="str">
        <f>VLOOKUP(C1912, Customers!A$2:E$301, 5, FALSE)</f>
        <v>Corporate</v>
      </c>
      <c r="P1912">
        <f>VLOOKUP(C1912, Customers!A$2:C$301, 3, FALSE)</f>
        <v>62</v>
      </c>
      <c r="Q1912" t="str">
        <f>VLOOKUP(E1912, Sales_Reps!A$2:C$31, 3, FALSE)</f>
        <v>West</v>
      </c>
      <c r="R1912">
        <f>VLOOKUP(D1912, Products!A$2:D$61, 4, FALSE)</f>
        <v>1556</v>
      </c>
    </row>
    <row r="1913" spans="1:18" x14ac:dyDescent="0.3">
      <c r="A1913" s="13" t="s">
        <v>2410</v>
      </c>
      <c r="B1913" s="14">
        <v>45610</v>
      </c>
      <c r="C1913" s="13" t="s">
        <v>336</v>
      </c>
      <c r="D1913" s="13" t="s">
        <v>115</v>
      </c>
      <c r="E1913" s="13" t="s">
        <v>116</v>
      </c>
      <c r="F1913" s="15">
        <v>9</v>
      </c>
      <c r="G1913" s="15">
        <v>960</v>
      </c>
      <c r="H1913" s="15">
        <v>29</v>
      </c>
      <c r="I1913" s="15">
        <v>6134.4</v>
      </c>
      <c r="J1913" s="13" t="s">
        <v>87</v>
      </c>
      <c r="K1913" s="13" t="s">
        <v>112</v>
      </c>
      <c r="L1913">
        <f>IF(COUNTIF(A$2:A1913, A1913)=1, IF(COUNTIF(A$2:A$2001, A1913)&gt;1, 1, 0), 0)</f>
        <v>0</v>
      </c>
      <c r="M1913" t="b">
        <f>VLOOKUP(D1913, Products!A$2:F$61, 6, FALSE)</f>
        <v>1</v>
      </c>
      <c r="N1913" t="str">
        <f>VLOOKUP(D1913, Products!A$2:C$61, 3, FALSE)</f>
        <v>Sports</v>
      </c>
      <c r="O1913" t="str">
        <f>VLOOKUP(C1913, Customers!A$2:E$301, 5, FALSE)</f>
        <v>Retail</v>
      </c>
      <c r="P1913">
        <f>VLOOKUP(C1913, Customers!A$2:C$301, 3, FALSE)</f>
        <v>49</v>
      </c>
      <c r="Q1913" t="str">
        <f>VLOOKUP(E1913, Sales_Reps!A$2:C$31, 3, FALSE)</f>
        <v>West</v>
      </c>
      <c r="R1913">
        <f>VLOOKUP(D1913, Products!A$2:D$61, 4, FALSE)</f>
        <v>705</v>
      </c>
    </row>
    <row r="1914" spans="1:18" x14ac:dyDescent="0.3">
      <c r="A1914" s="13" t="s">
        <v>2411</v>
      </c>
      <c r="B1914" s="14">
        <v>45535</v>
      </c>
      <c r="C1914" s="13" t="s">
        <v>357</v>
      </c>
      <c r="D1914" s="13" t="s">
        <v>241</v>
      </c>
      <c r="E1914" s="13" t="s">
        <v>188</v>
      </c>
      <c r="F1914" s="15">
        <v>9</v>
      </c>
      <c r="G1914" s="15">
        <v>6080</v>
      </c>
      <c r="H1914" s="15">
        <v>21</v>
      </c>
      <c r="I1914" s="15">
        <v>43228.800000000003</v>
      </c>
      <c r="J1914" s="13" t="s">
        <v>87</v>
      </c>
      <c r="K1914" s="13" t="s">
        <v>99</v>
      </c>
      <c r="L1914">
        <f>IF(COUNTIF(A$2:A1914, A1914)=1, IF(COUNTIF(A$2:A$2001, A1914)&gt;1, 1, 0), 0)</f>
        <v>0</v>
      </c>
      <c r="M1914" t="b">
        <f>VLOOKUP(D1914, Products!A$2:F$61, 6, FALSE)</f>
        <v>1</v>
      </c>
      <c r="N1914" t="str">
        <f>VLOOKUP(D1914, Products!A$2:C$61, 3, FALSE)</f>
        <v>Beauty</v>
      </c>
      <c r="O1914" t="str">
        <f>VLOOKUP(C1914, Customers!A$2:E$301, 5, FALSE)</f>
        <v>SMB</v>
      </c>
      <c r="P1914">
        <f>VLOOKUP(C1914, Customers!A$2:C$301, 3, FALSE)</f>
        <v>38</v>
      </c>
      <c r="Q1914" t="str">
        <f>VLOOKUP(E1914, Sales_Reps!A$2:C$31, 3, FALSE)</f>
        <v>South</v>
      </c>
      <c r="R1914">
        <f>VLOOKUP(D1914, Products!A$2:D$61, 4, FALSE)</f>
        <v>2617</v>
      </c>
    </row>
    <row r="1915" spans="1:18" x14ac:dyDescent="0.3">
      <c r="A1915" s="13" t="s">
        <v>2412</v>
      </c>
      <c r="B1915" s="14">
        <v>45366</v>
      </c>
      <c r="C1915" s="13" t="s">
        <v>169</v>
      </c>
      <c r="D1915" s="13" t="s">
        <v>270</v>
      </c>
      <c r="E1915" s="13" t="s">
        <v>192</v>
      </c>
      <c r="F1915" s="15">
        <v>6</v>
      </c>
      <c r="G1915" s="15">
        <v>4610</v>
      </c>
      <c r="H1915" s="15">
        <v>13.5</v>
      </c>
      <c r="I1915" s="15">
        <v>23925.9</v>
      </c>
      <c r="J1915" s="13" t="s">
        <v>87</v>
      </c>
      <c r="K1915" s="13" t="s">
        <v>112</v>
      </c>
      <c r="L1915">
        <f>IF(COUNTIF(A$2:A1915, A1915)=1, IF(COUNTIF(A$2:A$2001, A1915)&gt;1, 1, 0), 0)</f>
        <v>0</v>
      </c>
      <c r="M1915" t="b">
        <f>VLOOKUP(D1915, Products!A$2:F$61, 6, FALSE)</f>
        <v>1</v>
      </c>
      <c r="N1915" t="str">
        <f>VLOOKUP(D1915, Products!A$2:C$61, 3, FALSE)</f>
        <v>Home</v>
      </c>
      <c r="O1915" t="str">
        <f>VLOOKUP(C1915, Customers!A$2:E$301, 5, FALSE)</f>
        <v>Retail</v>
      </c>
      <c r="P1915">
        <f>VLOOKUP(C1915, Customers!A$2:C$301, 3, FALSE)</f>
        <v>34</v>
      </c>
      <c r="Q1915" t="str">
        <f>VLOOKUP(E1915, Sales_Reps!A$2:C$31, 3, FALSE)</f>
        <v>East</v>
      </c>
      <c r="R1915">
        <f>VLOOKUP(D1915, Products!A$2:D$61, 4, FALSE)</f>
        <v>1850</v>
      </c>
    </row>
    <row r="1916" spans="1:18" x14ac:dyDescent="0.3">
      <c r="A1916" s="13" t="s">
        <v>2413</v>
      </c>
      <c r="B1916" s="14">
        <v>45446</v>
      </c>
      <c r="C1916" s="13" t="s">
        <v>541</v>
      </c>
      <c r="D1916" s="13" t="s">
        <v>443</v>
      </c>
      <c r="E1916" s="13" t="s">
        <v>158</v>
      </c>
      <c r="F1916" s="15">
        <v>7</v>
      </c>
      <c r="G1916" s="15">
        <v>5080</v>
      </c>
      <c r="H1916" s="15">
        <v>25.4</v>
      </c>
      <c r="I1916" s="15">
        <v>26527.759999999998</v>
      </c>
      <c r="J1916" s="13" t="s">
        <v>87</v>
      </c>
      <c r="K1916" s="13" t="s">
        <v>94</v>
      </c>
      <c r="L1916">
        <f>IF(COUNTIF(A$2:A1916, A1916)=1, IF(COUNTIF(A$2:A$2001, A1916)&gt;1, 1, 0), 0)</f>
        <v>0</v>
      </c>
      <c r="M1916" t="b">
        <f>VLOOKUP(D1916, Products!A$2:F$61, 6, FALSE)</f>
        <v>1</v>
      </c>
      <c r="N1916" t="str">
        <f>VLOOKUP(D1916, Products!A$2:C$61, 3, FALSE)</f>
        <v>Home</v>
      </c>
      <c r="O1916" t="str">
        <f>VLOOKUP(C1916, Customers!A$2:E$301, 5, FALSE)</f>
        <v>Corporate</v>
      </c>
      <c r="P1916">
        <f>VLOOKUP(C1916, Customers!A$2:C$301, 3, FALSE)</f>
        <v>34</v>
      </c>
      <c r="Q1916" t="str">
        <f>VLOOKUP(E1916, Sales_Reps!A$2:C$31, 3, FALSE)</f>
        <v>East</v>
      </c>
      <c r="R1916">
        <f>VLOOKUP(D1916, Products!A$2:D$61, 4, FALSE)</f>
        <v>2459</v>
      </c>
    </row>
    <row r="1917" spans="1:18" x14ac:dyDescent="0.3">
      <c r="A1917" s="13" t="s">
        <v>2414</v>
      </c>
      <c r="B1917" s="14">
        <v>45550</v>
      </c>
      <c r="C1917" s="13" t="s">
        <v>553</v>
      </c>
      <c r="D1917" s="13" t="s">
        <v>179</v>
      </c>
      <c r="E1917" s="13" t="s">
        <v>238</v>
      </c>
      <c r="F1917" s="15">
        <v>5</v>
      </c>
      <c r="G1917" s="15">
        <v>3350</v>
      </c>
      <c r="H1917" s="15">
        <v>2.2000000000000002</v>
      </c>
      <c r="I1917" s="15">
        <v>16381.5</v>
      </c>
      <c r="J1917" s="13" t="s">
        <v>87</v>
      </c>
      <c r="K1917" s="13" t="s">
        <v>112</v>
      </c>
      <c r="L1917">
        <f>IF(COUNTIF(A$2:A1917, A1917)=1, IF(COUNTIF(A$2:A$2001, A1917)&gt;1, 1, 0), 0)</f>
        <v>0</v>
      </c>
      <c r="M1917" t="b">
        <f>VLOOKUP(D1917, Products!A$2:F$61, 6, FALSE)</f>
        <v>1</v>
      </c>
      <c r="N1917" t="str">
        <f>VLOOKUP(D1917, Products!A$2:C$61, 3, FALSE)</f>
        <v>Beauty</v>
      </c>
      <c r="O1917" t="str">
        <f>VLOOKUP(C1917, Customers!A$2:E$301, 5, FALSE)</f>
        <v>Retail</v>
      </c>
      <c r="P1917">
        <f>VLOOKUP(C1917, Customers!A$2:C$301, 3, FALSE)</f>
        <v>65</v>
      </c>
      <c r="Q1917" t="str">
        <f>VLOOKUP(E1917, Sales_Reps!A$2:C$31, 3, FALSE)</f>
        <v>East</v>
      </c>
      <c r="R1917">
        <f>VLOOKUP(D1917, Products!A$2:D$61, 4, FALSE)</f>
        <v>1728</v>
      </c>
    </row>
    <row r="1918" spans="1:18" x14ac:dyDescent="0.3">
      <c r="A1918" s="13" t="s">
        <v>2415</v>
      </c>
      <c r="B1918" s="14">
        <v>45600</v>
      </c>
      <c r="C1918" s="13" t="s">
        <v>910</v>
      </c>
      <c r="D1918" s="13" t="s">
        <v>234</v>
      </c>
      <c r="E1918" s="13" t="s">
        <v>98</v>
      </c>
      <c r="F1918" s="15">
        <v>1</v>
      </c>
      <c r="G1918" s="15">
        <v>3780</v>
      </c>
      <c r="H1918" s="15">
        <v>13.7</v>
      </c>
      <c r="I1918" s="15">
        <v>3262.14</v>
      </c>
      <c r="J1918" s="13" t="s">
        <v>87</v>
      </c>
      <c r="K1918" s="13" t="s">
        <v>99</v>
      </c>
      <c r="L1918">
        <f>IF(COUNTIF(A$2:A1918, A1918)=1, IF(COUNTIF(A$2:A$2001, A1918)&gt;1, 1, 0), 0)</f>
        <v>0</v>
      </c>
      <c r="M1918" t="b">
        <f>VLOOKUP(D1918, Products!A$2:F$61, 6, FALSE)</f>
        <v>1</v>
      </c>
      <c r="N1918" t="str">
        <f>VLOOKUP(D1918, Products!A$2:C$61, 3, FALSE)</f>
        <v>Grocery</v>
      </c>
      <c r="O1918" t="str">
        <f>VLOOKUP(C1918, Customers!A$2:E$301, 5, FALSE)</f>
        <v>Retail</v>
      </c>
      <c r="P1918">
        <f>VLOOKUP(C1918, Customers!A$2:C$301, 3, FALSE)</f>
        <v>55</v>
      </c>
      <c r="Q1918" t="str">
        <f>VLOOKUP(E1918, Sales_Reps!A$2:C$31, 3, FALSE)</f>
        <v>South</v>
      </c>
      <c r="R1918">
        <f>VLOOKUP(D1918, Products!A$2:D$61, 4, FALSE)</f>
        <v>2436</v>
      </c>
    </row>
    <row r="1919" spans="1:18" x14ac:dyDescent="0.3">
      <c r="A1919" s="13" t="s">
        <v>2416</v>
      </c>
      <c r="B1919" s="14">
        <v>45352</v>
      </c>
      <c r="C1919" s="13" t="s">
        <v>178</v>
      </c>
      <c r="D1919" s="13" t="s">
        <v>184</v>
      </c>
      <c r="E1919" s="13" t="s">
        <v>192</v>
      </c>
      <c r="F1919" s="15">
        <v>4</v>
      </c>
      <c r="G1919" s="15">
        <v>4880</v>
      </c>
      <c r="H1919" s="15">
        <v>11.6</v>
      </c>
      <c r="I1919" s="15">
        <v>17255.68</v>
      </c>
      <c r="J1919" s="13" t="s">
        <v>87</v>
      </c>
      <c r="K1919" s="13" t="s">
        <v>94</v>
      </c>
      <c r="L1919">
        <f>IF(COUNTIF(A$2:A1919, A1919)=1, IF(COUNTIF(A$2:A$2001, A1919)&gt;1, 1, 0), 0)</f>
        <v>0</v>
      </c>
      <c r="M1919" t="b">
        <f>VLOOKUP(D1919, Products!A$2:F$61, 6, FALSE)</f>
        <v>1</v>
      </c>
      <c r="N1919" t="str">
        <f>VLOOKUP(D1919, Products!A$2:C$61, 3, FALSE)</f>
        <v>Beauty</v>
      </c>
      <c r="O1919" t="str">
        <f>VLOOKUP(C1919, Customers!A$2:E$301, 5, FALSE)</f>
        <v>Corporate</v>
      </c>
      <c r="P1919">
        <f>VLOOKUP(C1919, Customers!A$2:C$301, 3, FALSE)</f>
        <v>55</v>
      </c>
      <c r="Q1919" t="str">
        <f>VLOOKUP(E1919, Sales_Reps!A$2:C$31, 3, FALSE)</f>
        <v>East</v>
      </c>
      <c r="R1919">
        <f>VLOOKUP(D1919, Products!A$2:D$61, 4, FALSE)</f>
        <v>2768</v>
      </c>
    </row>
    <row r="1920" spans="1:18" x14ac:dyDescent="0.3">
      <c r="A1920" s="13" t="s">
        <v>2417</v>
      </c>
      <c r="B1920" s="14">
        <v>45385</v>
      </c>
      <c r="C1920" s="13" t="s">
        <v>662</v>
      </c>
      <c r="D1920" s="13" t="s">
        <v>191</v>
      </c>
      <c r="E1920" s="13" t="s">
        <v>229</v>
      </c>
      <c r="F1920" s="15">
        <v>3</v>
      </c>
      <c r="G1920" s="15">
        <v>5100</v>
      </c>
      <c r="H1920" s="15">
        <v>24.2</v>
      </c>
      <c r="I1920" s="15">
        <v>11597.4</v>
      </c>
      <c r="J1920" s="13" t="s">
        <v>87</v>
      </c>
      <c r="K1920" s="13" t="s">
        <v>2418</v>
      </c>
      <c r="L1920">
        <f>IF(COUNTIF(A$2:A1920, A1920)=1, IF(COUNTIF(A$2:A$2001, A1920)&gt;1, 1, 0), 0)</f>
        <v>0</v>
      </c>
      <c r="M1920" t="b">
        <f>VLOOKUP(D1920, Products!A$2:F$61, 6, FALSE)</f>
        <v>1</v>
      </c>
      <c r="N1920" t="str">
        <f>VLOOKUP(D1920, Products!A$2:C$61, 3, FALSE)</f>
        <v>Beauty</v>
      </c>
      <c r="O1920" t="str">
        <f>VLOOKUP(C1920, Customers!A$2:E$301, 5, FALSE)</f>
        <v>Corporate</v>
      </c>
      <c r="P1920">
        <f>VLOOKUP(C1920, Customers!A$2:C$301, 3, FALSE)</f>
        <v>41</v>
      </c>
      <c r="Q1920" t="str">
        <f>VLOOKUP(E1920, Sales_Reps!A$2:C$31, 3, FALSE)</f>
        <v>West</v>
      </c>
      <c r="R1920">
        <f>VLOOKUP(D1920, Products!A$2:D$61, 4, FALSE)</f>
        <v>2237</v>
      </c>
    </row>
    <row r="1921" spans="1:18" x14ac:dyDescent="0.3">
      <c r="A1921" s="13" t="s">
        <v>2419</v>
      </c>
      <c r="B1921" s="14">
        <v>45634</v>
      </c>
      <c r="C1921" s="13" t="s">
        <v>779</v>
      </c>
      <c r="D1921" s="13" t="s">
        <v>279</v>
      </c>
      <c r="E1921" s="13" t="s">
        <v>154</v>
      </c>
      <c r="F1921" s="15">
        <v>5</v>
      </c>
      <c r="G1921" s="15">
        <v>2660</v>
      </c>
      <c r="H1921" s="15">
        <v>4.7</v>
      </c>
      <c r="I1921" s="15">
        <v>12674.9</v>
      </c>
      <c r="J1921" s="13" t="s">
        <v>87</v>
      </c>
      <c r="K1921" s="13" t="s">
        <v>117</v>
      </c>
      <c r="L1921">
        <f>IF(COUNTIF(A$2:A1921, A1921)=1, IF(COUNTIF(A$2:A$2001, A1921)&gt;1, 1, 0), 0)</f>
        <v>0</v>
      </c>
      <c r="M1921" t="b">
        <f>VLOOKUP(D1921, Products!A$2:F$61, 6, FALSE)</f>
        <v>0</v>
      </c>
      <c r="N1921" t="str">
        <f>VLOOKUP(D1921, Products!A$2:C$61, 3, FALSE)</f>
        <v>Electronics</v>
      </c>
      <c r="O1921" t="str">
        <f>VLOOKUP(C1921, Customers!A$2:E$301, 5, FALSE)</f>
        <v>Retail</v>
      </c>
      <c r="P1921">
        <f>VLOOKUP(C1921, Customers!A$2:C$301, 3, FALSE)</f>
        <v>27</v>
      </c>
      <c r="Q1921" t="str">
        <f>VLOOKUP(E1921, Sales_Reps!A$2:C$31, 3, FALSE)</f>
        <v>East</v>
      </c>
      <c r="R1921">
        <f>VLOOKUP(D1921, Products!A$2:D$61, 4, FALSE)</f>
        <v>1259</v>
      </c>
    </row>
    <row r="1922" spans="1:18" x14ac:dyDescent="0.3">
      <c r="A1922" s="13" t="s">
        <v>2420</v>
      </c>
      <c r="B1922" s="14">
        <v>45444</v>
      </c>
      <c r="C1922" s="13" t="s">
        <v>359</v>
      </c>
      <c r="D1922" s="13" t="s">
        <v>367</v>
      </c>
      <c r="E1922" s="13" t="s">
        <v>238</v>
      </c>
      <c r="F1922" s="15">
        <v>10</v>
      </c>
      <c r="G1922" s="15">
        <v>2380</v>
      </c>
      <c r="H1922" s="15">
        <v>1</v>
      </c>
      <c r="I1922" s="15">
        <v>23562</v>
      </c>
      <c r="J1922" s="13" t="s">
        <v>87</v>
      </c>
      <c r="K1922" s="13" t="s">
        <v>99</v>
      </c>
      <c r="L1922">
        <f>IF(COUNTIF(A$2:A1922, A1922)=1, IF(COUNTIF(A$2:A$2001, A1922)&gt;1, 1, 0), 0)</f>
        <v>0</v>
      </c>
      <c r="M1922" t="b">
        <f>VLOOKUP(D1922, Products!A$2:F$61, 6, FALSE)</f>
        <v>1</v>
      </c>
      <c r="N1922" t="str">
        <f>VLOOKUP(D1922, Products!A$2:C$61, 3, FALSE)</f>
        <v>Grocery</v>
      </c>
      <c r="O1922" t="str">
        <f>VLOOKUP(C1922, Customers!A$2:E$301, 5, FALSE)</f>
        <v>SMB</v>
      </c>
      <c r="P1922">
        <f>VLOOKUP(C1922, Customers!A$2:C$301, 3, FALSE)</f>
        <v>28</v>
      </c>
      <c r="Q1922" t="str">
        <f>VLOOKUP(E1922, Sales_Reps!A$2:C$31, 3, FALSE)</f>
        <v>East</v>
      </c>
      <c r="R1922">
        <f>VLOOKUP(D1922, Products!A$2:D$61, 4, FALSE)</f>
        <v>1182</v>
      </c>
    </row>
    <row r="1923" spans="1:18" x14ac:dyDescent="0.3">
      <c r="A1923" s="13" t="s">
        <v>2421</v>
      </c>
      <c r="B1923" s="14">
        <v>45553</v>
      </c>
      <c r="C1923" s="13" t="s">
        <v>816</v>
      </c>
      <c r="D1923" s="13" t="s">
        <v>184</v>
      </c>
      <c r="E1923" s="13" t="s">
        <v>297</v>
      </c>
      <c r="F1923" s="15">
        <v>9</v>
      </c>
      <c r="G1923" s="15">
        <v>4880</v>
      </c>
      <c r="H1923" s="15">
        <v>7.2</v>
      </c>
      <c r="I1923" s="15">
        <v>40757.760000000002</v>
      </c>
      <c r="J1923" s="13" t="s">
        <v>87</v>
      </c>
      <c r="K1923" s="13" t="s">
        <v>88</v>
      </c>
      <c r="L1923">
        <f>IF(COUNTIF(A$2:A1923, A1923)=1, IF(COUNTIF(A$2:A$2001, A1923)&gt;1, 1, 0), 0)</f>
        <v>0</v>
      </c>
      <c r="M1923" t="b">
        <f>VLOOKUP(D1923, Products!A$2:F$61, 6, FALSE)</f>
        <v>1</v>
      </c>
      <c r="N1923" t="str">
        <f>VLOOKUP(D1923, Products!A$2:C$61, 3, FALSE)</f>
        <v>Beauty</v>
      </c>
      <c r="O1923" t="str">
        <f>VLOOKUP(C1923, Customers!A$2:E$301, 5, FALSE)</f>
        <v>Retail</v>
      </c>
      <c r="P1923">
        <f>VLOOKUP(C1923, Customers!A$2:C$301, 3, FALSE)</f>
        <v>36</v>
      </c>
      <c r="Q1923" t="str">
        <f>VLOOKUP(E1923, Sales_Reps!A$2:C$31, 3, FALSE)</f>
        <v>North</v>
      </c>
      <c r="R1923">
        <f>VLOOKUP(D1923, Products!A$2:D$61, 4, FALSE)</f>
        <v>2768</v>
      </c>
    </row>
    <row r="1924" spans="1:18" x14ac:dyDescent="0.3">
      <c r="A1924" s="13" t="s">
        <v>2422</v>
      </c>
      <c r="B1924" s="14">
        <v>45411</v>
      </c>
      <c r="C1924" s="13" t="s">
        <v>1193</v>
      </c>
      <c r="D1924" s="13" t="s">
        <v>226</v>
      </c>
      <c r="E1924" s="13" t="s">
        <v>98</v>
      </c>
      <c r="F1924" s="15">
        <v>1</v>
      </c>
      <c r="G1924" s="15">
        <v>3730</v>
      </c>
      <c r="H1924" s="15">
        <v>15.3</v>
      </c>
      <c r="I1924" s="15">
        <v>3159.31</v>
      </c>
      <c r="J1924" s="13" t="s">
        <v>87</v>
      </c>
      <c r="K1924" s="13" t="s">
        <v>133</v>
      </c>
      <c r="L1924">
        <f>IF(COUNTIF(A$2:A1924, A1924)=1, IF(COUNTIF(A$2:A$2001, A1924)&gt;1, 1, 0), 0)</f>
        <v>0</v>
      </c>
      <c r="M1924" t="b">
        <f>VLOOKUP(D1924, Products!A$2:F$61, 6, FALSE)</f>
        <v>1</v>
      </c>
      <c r="N1924" t="str">
        <f>VLOOKUP(D1924, Products!A$2:C$61, 3, FALSE)</f>
        <v>Home</v>
      </c>
      <c r="O1924" t="str">
        <f>VLOOKUP(C1924, Customers!A$2:E$301, 5, FALSE)</f>
        <v>SMB</v>
      </c>
      <c r="P1924">
        <f>VLOOKUP(C1924, Customers!A$2:C$301, 3, FALSE)</f>
        <v>25</v>
      </c>
      <c r="Q1924" t="str">
        <f>VLOOKUP(E1924, Sales_Reps!A$2:C$31, 3, FALSE)</f>
        <v>South</v>
      </c>
      <c r="R1924">
        <f>VLOOKUP(D1924, Products!A$2:D$61, 4, FALSE)</f>
        <v>2135</v>
      </c>
    </row>
    <row r="1925" spans="1:18" x14ac:dyDescent="0.3">
      <c r="A1925" s="13" t="s">
        <v>2423</v>
      </c>
      <c r="B1925" s="14">
        <v>45442</v>
      </c>
      <c r="C1925" s="13" t="s">
        <v>114</v>
      </c>
      <c r="D1925" s="13" t="s">
        <v>461</v>
      </c>
      <c r="E1925" s="13" t="s">
        <v>148</v>
      </c>
      <c r="F1925" s="15">
        <v>10</v>
      </c>
      <c r="G1925" s="15">
        <v>3780</v>
      </c>
      <c r="H1925" s="15">
        <v>2.7</v>
      </c>
      <c r="I1925" s="15">
        <v>36779.4</v>
      </c>
      <c r="J1925" s="13" t="s">
        <v>87</v>
      </c>
      <c r="K1925" s="13" t="s">
        <v>117</v>
      </c>
      <c r="L1925">
        <f>IF(COUNTIF(A$2:A1925, A1925)=1, IF(COUNTIF(A$2:A$2001, A1925)&gt;1, 1, 0), 0)</f>
        <v>0</v>
      </c>
      <c r="M1925" t="b">
        <f>VLOOKUP(D1925, Products!A$2:F$61, 6, FALSE)</f>
        <v>1</v>
      </c>
      <c r="N1925" t="str">
        <f>VLOOKUP(D1925, Products!A$2:C$61, 3, FALSE)</f>
        <v>Sports</v>
      </c>
      <c r="O1925" t="str">
        <f>VLOOKUP(C1925, Customers!A$2:E$301, 5, FALSE)</f>
        <v>Retail</v>
      </c>
      <c r="P1925">
        <f>VLOOKUP(C1925, Customers!A$2:C$301, 3, FALSE)</f>
        <v>27</v>
      </c>
      <c r="Q1925" t="str">
        <f>VLOOKUP(E1925, Sales_Reps!A$2:C$31, 3, FALSE)</f>
        <v>North</v>
      </c>
      <c r="R1925">
        <f>VLOOKUP(D1925, Products!A$2:D$61, 4, FALSE)</f>
        <v>1860</v>
      </c>
    </row>
    <row r="1926" spans="1:18" x14ac:dyDescent="0.3">
      <c r="A1926" s="13" t="s">
        <v>2424</v>
      </c>
      <c r="B1926" s="14">
        <v>45381</v>
      </c>
      <c r="C1926" s="13" t="s">
        <v>1308</v>
      </c>
      <c r="D1926" s="13" t="s">
        <v>85</v>
      </c>
      <c r="E1926" s="13" t="s">
        <v>154</v>
      </c>
      <c r="F1926" s="15">
        <v>2</v>
      </c>
      <c r="G1926" s="15">
        <v>3620</v>
      </c>
      <c r="H1926" s="15">
        <v>23</v>
      </c>
      <c r="I1926" s="15">
        <v>5574.8</v>
      </c>
      <c r="J1926" s="13" t="s">
        <v>87</v>
      </c>
      <c r="K1926" s="13" t="s">
        <v>94</v>
      </c>
      <c r="L1926">
        <f>IF(COUNTIF(A$2:A1926, A1926)=1, IF(COUNTIF(A$2:A$2001, A1926)&gt;1, 1, 0), 0)</f>
        <v>0</v>
      </c>
      <c r="M1926" t="b">
        <f>VLOOKUP(D1926, Products!A$2:F$61, 6, FALSE)</f>
        <v>1</v>
      </c>
      <c r="N1926" t="str">
        <f>VLOOKUP(D1926, Products!A$2:C$61, 3, FALSE)</f>
        <v>Apparel</v>
      </c>
      <c r="O1926" t="str">
        <f>VLOOKUP(C1926, Customers!A$2:E$301, 5, FALSE)</f>
        <v>SMB</v>
      </c>
      <c r="P1926">
        <f>VLOOKUP(C1926, Customers!A$2:C$301, 3, FALSE)</f>
        <v>51</v>
      </c>
      <c r="Q1926" t="str">
        <f>VLOOKUP(E1926, Sales_Reps!A$2:C$31, 3, FALSE)</f>
        <v>East</v>
      </c>
      <c r="R1926">
        <f>VLOOKUP(D1926, Products!A$2:D$61, 4, FALSE)</f>
        <v>2509</v>
      </c>
    </row>
    <row r="1927" spans="1:18" x14ac:dyDescent="0.3">
      <c r="A1927" s="13" t="s">
        <v>2425</v>
      </c>
      <c r="B1927" s="14">
        <v>45536</v>
      </c>
      <c r="C1927" s="13" t="s">
        <v>707</v>
      </c>
      <c r="D1927" s="13" t="s">
        <v>443</v>
      </c>
      <c r="E1927" s="13" t="s">
        <v>158</v>
      </c>
      <c r="F1927" s="15">
        <v>9</v>
      </c>
      <c r="G1927" s="15">
        <v>5080</v>
      </c>
      <c r="H1927" s="15">
        <v>19.899999999999999</v>
      </c>
      <c r="I1927" s="15">
        <v>36621.72</v>
      </c>
      <c r="J1927" s="13" t="s">
        <v>87</v>
      </c>
      <c r="K1927" s="13" t="s">
        <v>112</v>
      </c>
      <c r="L1927">
        <f>IF(COUNTIF(A$2:A1927, A1927)=1, IF(COUNTIF(A$2:A$2001, A1927)&gt;1, 1, 0), 0)</f>
        <v>0</v>
      </c>
      <c r="M1927" t="b">
        <f>VLOOKUP(D1927, Products!A$2:F$61, 6, FALSE)</f>
        <v>1</v>
      </c>
      <c r="N1927" t="str">
        <f>VLOOKUP(D1927, Products!A$2:C$61, 3, FALSE)</f>
        <v>Home</v>
      </c>
      <c r="O1927" t="str">
        <f>VLOOKUP(C1927, Customers!A$2:E$301, 5, FALSE)</f>
        <v>Retail</v>
      </c>
      <c r="P1927">
        <f>VLOOKUP(C1927, Customers!A$2:C$301, 3, FALSE)</f>
        <v>33</v>
      </c>
      <c r="Q1927" t="str">
        <f>VLOOKUP(E1927, Sales_Reps!A$2:C$31, 3, FALSE)</f>
        <v>East</v>
      </c>
      <c r="R1927">
        <f>VLOOKUP(D1927, Products!A$2:D$61, 4, FALSE)</f>
        <v>2459</v>
      </c>
    </row>
    <row r="1928" spans="1:18" x14ac:dyDescent="0.3">
      <c r="A1928" s="13" t="s">
        <v>2426</v>
      </c>
      <c r="B1928" s="14">
        <v>45561</v>
      </c>
      <c r="C1928" s="13" t="s">
        <v>394</v>
      </c>
      <c r="D1928" s="13" t="s">
        <v>659</v>
      </c>
      <c r="E1928" s="13" t="s">
        <v>116</v>
      </c>
      <c r="F1928" s="15">
        <v>2</v>
      </c>
      <c r="G1928" s="15">
        <v>3560</v>
      </c>
      <c r="H1928" s="15">
        <v>5.5</v>
      </c>
      <c r="I1928" s="15">
        <v>6728.4</v>
      </c>
      <c r="J1928" s="13" t="s">
        <v>87</v>
      </c>
      <c r="K1928" s="13" t="s">
        <v>117</v>
      </c>
      <c r="L1928">
        <f>IF(COUNTIF(A$2:A1928, A1928)=1, IF(COUNTIF(A$2:A$2001, A1928)&gt;1, 1, 0), 0)</f>
        <v>0</v>
      </c>
      <c r="M1928" t="b">
        <f>VLOOKUP(D1928, Products!A$2:F$61, 6, FALSE)</f>
        <v>1</v>
      </c>
      <c r="N1928" t="str">
        <f>VLOOKUP(D1928, Products!A$2:C$61, 3, FALSE)</f>
        <v>Apparel</v>
      </c>
      <c r="O1928" t="str">
        <f>VLOOKUP(C1928, Customers!A$2:E$301, 5, FALSE)</f>
        <v>SMB</v>
      </c>
      <c r="P1928">
        <f>VLOOKUP(C1928, Customers!A$2:C$301, 3, FALSE)</f>
        <v>28</v>
      </c>
      <c r="Q1928" t="str">
        <f>VLOOKUP(E1928, Sales_Reps!A$2:C$31, 3, FALSE)</f>
        <v>West</v>
      </c>
      <c r="R1928">
        <f>VLOOKUP(D1928, Products!A$2:D$61, 4, FALSE)</f>
        <v>2629</v>
      </c>
    </row>
    <row r="1929" spans="1:18" x14ac:dyDescent="0.3">
      <c r="A1929" s="13" t="s">
        <v>2427</v>
      </c>
      <c r="B1929" s="14">
        <v>45349</v>
      </c>
      <c r="C1929" s="13" t="s">
        <v>555</v>
      </c>
      <c r="D1929" s="13" t="s">
        <v>127</v>
      </c>
      <c r="E1929" s="13" t="s">
        <v>215</v>
      </c>
      <c r="F1929" s="15">
        <v>6</v>
      </c>
      <c r="G1929" s="15">
        <v>970</v>
      </c>
      <c r="H1929" s="15">
        <v>22.5</v>
      </c>
      <c r="I1929" s="15">
        <v>4510.5</v>
      </c>
      <c r="J1929" s="13" t="s">
        <v>144</v>
      </c>
      <c r="K1929" s="13" t="s">
        <v>112</v>
      </c>
      <c r="L1929">
        <f>IF(COUNTIF(A$2:A1929, A1929)=1, IF(COUNTIF(A$2:A$2001, A1929)&gt;1, 1, 0), 0)</f>
        <v>0</v>
      </c>
      <c r="M1929" t="b">
        <f>VLOOKUP(D1929, Products!A$2:F$61, 6, FALSE)</f>
        <v>1</v>
      </c>
      <c r="N1929" t="str">
        <f>VLOOKUP(D1929, Products!A$2:C$61, 3, FALSE)</f>
        <v>Grocery</v>
      </c>
      <c r="O1929" t="str">
        <f>VLOOKUP(C1929, Customers!A$2:E$301, 5, FALSE)</f>
        <v>Retail</v>
      </c>
      <c r="P1929">
        <f>VLOOKUP(C1929, Customers!A$2:C$301, 3, FALSE)</f>
        <v>37</v>
      </c>
      <c r="Q1929" t="str">
        <f>VLOOKUP(E1929, Sales_Reps!A$2:C$31, 3, FALSE)</f>
        <v>North</v>
      </c>
      <c r="R1929">
        <f>VLOOKUP(D1929, Products!A$2:D$61, 4, FALSE)</f>
        <v>434</v>
      </c>
    </row>
    <row r="1930" spans="1:18" x14ac:dyDescent="0.3">
      <c r="A1930" s="13" t="s">
        <v>2428</v>
      </c>
      <c r="B1930" s="14">
        <v>45650</v>
      </c>
      <c r="C1930" s="13" t="s">
        <v>956</v>
      </c>
      <c r="D1930" s="13" t="s">
        <v>179</v>
      </c>
      <c r="E1930" s="13" t="s">
        <v>98</v>
      </c>
      <c r="F1930" s="15">
        <v>9</v>
      </c>
      <c r="G1930" s="15">
        <v>3350</v>
      </c>
      <c r="H1930" s="15">
        <v>5.0999999999999996</v>
      </c>
      <c r="I1930" s="15">
        <v>28612.35</v>
      </c>
      <c r="J1930" s="13" t="s">
        <v>87</v>
      </c>
      <c r="K1930" s="13" t="s">
        <v>112</v>
      </c>
      <c r="L1930">
        <f>IF(COUNTIF(A$2:A1930, A1930)=1, IF(COUNTIF(A$2:A$2001, A1930)&gt;1, 1, 0), 0)</f>
        <v>0</v>
      </c>
      <c r="M1930" t="b">
        <f>VLOOKUP(D1930, Products!A$2:F$61, 6, FALSE)</f>
        <v>1</v>
      </c>
      <c r="N1930" t="str">
        <f>VLOOKUP(D1930, Products!A$2:C$61, 3, FALSE)</f>
        <v>Beauty</v>
      </c>
      <c r="O1930" t="str">
        <f>VLOOKUP(C1930, Customers!A$2:E$301, 5, FALSE)</f>
        <v>Retail</v>
      </c>
      <c r="P1930">
        <f>VLOOKUP(C1930, Customers!A$2:C$301, 3, FALSE)</f>
        <v>49</v>
      </c>
      <c r="Q1930" t="str">
        <f>VLOOKUP(E1930, Sales_Reps!A$2:C$31, 3, FALSE)</f>
        <v>South</v>
      </c>
      <c r="R1930">
        <f>VLOOKUP(D1930, Products!A$2:D$61, 4, FALSE)</f>
        <v>1728</v>
      </c>
    </row>
    <row r="1931" spans="1:18" x14ac:dyDescent="0.3">
      <c r="A1931" s="13" t="s">
        <v>2429</v>
      </c>
      <c r="B1931" s="14">
        <v>45525</v>
      </c>
      <c r="C1931" s="13" t="s">
        <v>2430</v>
      </c>
      <c r="D1931" s="13" t="s">
        <v>110</v>
      </c>
      <c r="E1931" s="13" t="s">
        <v>273</v>
      </c>
      <c r="F1931" s="15">
        <v>6</v>
      </c>
      <c r="G1931" s="15">
        <v>370</v>
      </c>
      <c r="H1931" s="15">
        <v>17.8</v>
      </c>
      <c r="I1931" s="15">
        <v>1824.84</v>
      </c>
      <c r="J1931" s="13" t="s">
        <v>87</v>
      </c>
      <c r="K1931" s="13" t="s">
        <v>112</v>
      </c>
      <c r="L1931">
        <f>IF(COUNTIF(A$2:A1931, A1931)=1, IF(COUNTIF(A$2:A$2001, A1931)&gt;1, 1, 0), 0)</f>
        <v>0</v>
      </c>
      <c r="M1931" t="b">
        <f>VLOOKUP(D1931, Products!A$2:F$61, 6, FALSE)</f>
        <v>1</v>
      </c>
      <c r="N1931" t="str">
        <f>VLOOKUP(D1931, Products!A$2:C$61, 3, FALSE)</f>
        <v>Home</v>
      </c>
      <c r="O1931" t="e">
        <f>VLOOKUP(C1931, Customers!A$2:E$301, 5, FALSE)</f>
        <v>#N/A</v>
      </c>
      <c r="P1931" t="e">
        <f>VLOOKUP(C1931, Customers!A$2:C$301, 3, FALSE)</f>
        <v>#N/A</v>
      </c>
      <c r="Q1931" t="str">
        <f>VLOOKUP(E1931, Sales_Reps!A$2:C$31, 3, FALSE)</f>
        <v>South</v>
      </c>
      <c r="R1931">
        <f>VLOOKUP(D1931, Products!A$2:D$61, 4, FALSE)</f>
        <v>288</v>
      </c>
    </row>
    <row r="1932" spans="1:18" x14ac:dyDescent="0.3">
      <c r="A1932" s="13" t="s">
        <v>2431</v>
      </c>
      <c r="B1932" s="14">
        <v>45365</v>
      </c>
      <c r="C1932" s="13" t="s">
        <v>266</v>
      </c>
      <c r="D1932" s="13" t="s">
        <v>131</v>
      </c>
      <c r="E1932" s="13" t="s">
        <v>273</v>
      </c>
      <c r="F1932" s="15">
        <v>3</v>
      </c>
      <c r="G1932" s="15">
        <v>2270</v>
      </c>
      <c r="H1932" s="15">
        <v>8.4</v>
      </c>
      <c r="I1932" s="15">
        <v>6237.96</v>
      </c>
      <c r="J1932" s="13" t="s">
        <v>93</v>
      </c>
      <c r="K1932" s="13" t="s">
        <v>99</v>
      </c>
      <c r="L1932">
        <f>IF(COUNTIF(A$2:A1932, A1932)=1, IF(COUNTIF(A$2:A$2001, A1932)&gt;1, 1, 0), 0)</f>
        <v>0</v>
      </c>
      <c r="M1932" t="b">
        <f>VLOOKUP(D1932, Products!A$2:F$61, 6, FALSE)</f>
        <v>1</v>
      </c>
      <c r="N1932" t="str">
        <f>VLOOKUP(D1932, Products!A$2:C$61, 3, FALSE)</f>
        <v>Grocery</v>
      </c>
      <c r="O1932" t="str">
        <f>VLOOKUP(C1932, Customers!A$2:E$301, 5, FALSE)</f>
        <v>Corporate</v>
      </c>
      <c r="P1932">
        <f>VLOOKUP(C1932, Customers!A$2:C$301, 3, FALSE)</f>
        <v>55</v>
      </c>
      <c r="Q1932" t="str">
        <f>VLOOKUP(E1932, Sales_Reps!A$2:C$31, 3, FALSE)</f>
        <v>South</v>
      </c>
      <c r="R1932">
        <f>VLOOKUP(D1932, Products!A$2:D$61, 4, FALSE)</f>
        <v>1203</v>
      </c>
    </row>
    <row r="1933" spans="1:18" x14ac:dyDescent="0.3">
      <c r="A1933" s="13" t="s">
        <v>2432</v>
      </c>
      <c r="B1933" s="14">
        <v>45464</v>
      </c>
      <c r="C1933" s="13" t="s">
        <v>567</v>
      </c>
      <c r="D1933" s="13" t="s">
        <v>161</v>
      </c>
      <c r="E1933" s="13" t="s">
        <v>158</v>
      </c>
      <c r="F1933" s="15">
        <v>3</v>
      </c>
      <c r="G1933" s="15">
        <v>3450</v>
      </c>
      <c r="H1933" s="15">
        <v>7.2</v>
      </c>
      <c r="I1933" s="15">
        <v>9604.7999999999993</v>
      </c>
      <c r="J1933" s="13" t="s">
        <v>87</v>
      </c>
      <c r="K1933" s="13" t="s">
        <v>117</v>
      </c>
      <c r="L1933">
        <f>IF(COUNTIF(A$2:A1933, A1933)=1, IF(COUNTIF(A$2:A$2001, A1933)&gt;1, 1, 0), 0)</f>
        <v>0</v>
      </c>
      <c r="M1933" t="b">
        <f>VLOOKUP(D1933, Products!A$2:F$61, 6, FALSE)</f>
        <v>1</v>
      </c>
      <c r="N1933" t="str">
        <f>VLOOKUP(D1933, Products!A$2:C$61, 3, FALSE)</f>
        <v>Sports</v>
      </c>
      <c r="O1933" t="str">
        <f>VLOOKUP(C1933, Customers!A$2:E$301, 5, FALSE)</f>
        <v>Corporate</v>
      </c>
      <c r="P1933">
        <f>VLOOKUP(C1933, Customers!A$2:C$301, 3, FALSE)</f>
        <v>41</v>
      </c>
      <c r="Q1933" t="str">
        <f>VLOOKUP(E1933, Sales_Reps!A$2:C$31, 3, FALSE)</f>
        <v>East</v>
      </c>
      <c r="R1933">
        <f>VLOOKUP(D1933, Products!A$2:D$61, 4, FALSE)</f>
        <v>2467</v>
      </c>
    </row>
    <row r="1934" spans="1:18" x14ac:dyDescent="0.3">
      <c r="A1934" s="13" t="s">
        <v>2433</v>
      </c>
      <c r="B1934" s="14">
        <v>45633</v>
      </c>
      <c r="C1934" s="13" t="s">
        <v>299</v>
      </c>
      <c r="D1934" s="13" t="s">
        <v>182</v>
      </c>
      <c r="E1934" s="13" t="s">
        <v>107</v>
      </c>
      <c r="F1934" s="15">
        <v>9</v>
      </c>
      <c r="G1934" s="15">
        <v>1010</v>
      </c>
      <c r="H1934" s="15">
        <v>17.8</v>
      </c>
      <c r="I1934" s="15">
        <v>7471.98</v>
      </c>
      <c r="J1934" s="13" t="s">
        <v>87</v>
      </c>
      <c r="K1934" s="13" t="s">
        <v>133</v>
      </c>
      <c r="L1934">
        <f>IF(COUNTIF(A$2:A1934, A1934)=1, IF(COUNTIF(A$2:A$2001, A1934)&gt;1, 1, 0), 0)</f>
        <v>0</v>
      </c>
      <c r="M1934" t="b">
        <f>VLOOKUP(D1934, Products!A$2:F$61, 6, FALSE)</f>
        <v>1</v>
      </c>
      <c r="N1934" t="str">
        <f>VLOOKUP(D1934, Products!A$2:C$61, 3, FALSE)</f>
        <v>Sports</v>
      </c>
      <c r="O1934" t="str">
        <f>VLOOKUP(C1934, Customers!A$2:E$301, 5, FALSE)</f>
        <v>Retail</v>
      </c>
      <c r="P1934">
        <f>VLOOKUP(C1934, Customers!A$2:C$301, 3, FALSE)</f>
        <v>29</v>
      </c>
      <c r="Q1934" t="str">
        <f>VLOOKUP(E1934, Sales_Reps!A$2:C$31, 3, FALSE)</f>
        <v>North</v>
      </c>
      <c r="R1934">
        <f>VLOOKUP(D1934, Products!A$2:D$61, 4, FALSE)</f>
        <v>516</v>
      </c>
    </row>
    <row r="1935" spans="1:18" x14ac:dyDescent="0.3">
      <c r="A1935" s="13" t="s">
        <v>2434</v>
      </c>
      <c r="B1935" s="14">
        <v>45373</v>
      </c>
      <c r="C1935" s="13" t="s">
        <v>1036</v>
      </c>
      <c r="D1935" s="13" t="s">
        <v>270</v>
      </c>
      <c r="E1935" s="13" t="s">
        <v>148</v>
      </c>
      <c r="F1935" s="15">
        <v>5</v>
      </c>
      <c r="G1935" s="15">
        <v>4610</v>
      </c>
      <c r="H1935" s="15">
        <v>29.8</v>
      </c>
      <c r="I1935" s="15">
        <v>16181.1</v>
      </c>
      <c r="J1935" s="13" t="s">
        <v>140</v>
      </c>
      <c r="K1935" s="13" t="s">
        <v>112</v>
      </c>
      <c r="L1935">
        <f>IF(COUNTIF(A$2:A1935, A1935)=1, IF(COUNTIF(A$2:A$2001, A1935)&gt;1, 1, 0), 0)</f>
        <v>0</v>
      </c>
      <c r="M1935" t="b">
        <f>VLOOKUP(D1935, Products!A$2:F$61, 6, FALSE)</f>
        <v>1</v>
      </c>
      <c r="N1935" t="str">
        <f>VLOOKUP(D1935, Products!A$2:C$61, 3, FALSE)</f>
        <v>Home</v>
      </c>
      <c r="O1935" t="str">
        <f>VLOOKUP(C1935, Customers!A$2:E$301, 5, FALSE)</f>
        <v>Retail</v>
      </c>
      <c r="P1935">
        <f>VLOOKUP(C1935, Customers!A$2:C$301, 3, FALSE)</f>
        <v>33</v>
      </c>
      <c r="Q1935" t="str">
        <f>VLOOKUP(E1935, Sales_Reps!A$2:C$31, 3, FALSE)</f>
        <v>North</v>
      </c>
      <c r="R1935">
        <f>VLOOKUP(D1935, Products!A$2:D$61, 4, FALSE)</f>
        <v>1850</v>
      </c>
    </row>
    <row r="1936" spans="1:18" x14ac:dyDescent="0.3">
      <c r="A1936" s="13" t="s">
        <v>2435</v>
      </c>
      <c r="B1936" s="14">
        <v>45497</v>
      </c>
      <c r="C1936" s="13" t="s">
        <v>490</v>
      </c>
      <c r="D1936" s="13" t="s">
        <v>110</v>
      </c>
      <c r="E1936" s="13" t="s">
        <v>148</v>
      </c>
      <c r="F1936" s="15">
        <v>6</v>
      </c>
      <c r="G1936" s="15">
        <v>370</v>
      </c>
      <c r="H1936" s="15">
        <v>17.899999999999999</v>
      </c>
      <c r="I1936" s="15">
        <v>1822.62</v>
      </c>
      <c r="J1936" s="13" t="s">
        <v>87</v>
      </c>
      <c r="K1936" s="13" t="s">
        <v>99</v>
      </c>
      <c r="L1936">
        <f>IF(COUNTIF(A$2:A1936, A1936)=1, IF(COUNTIF(A$2:A$2001, A1936)&gt;1, 1, 0), 0)</f>
        <v>0</v>
      </c>
      <c r="M1936" t="b">
        <f>VLOOKUP(D1936, Products!A$2:F$61, 6, FALSE)</f>
        <v>1</v>
      </c>
      <c r="N1936" t="str">
        <f>VLOOKUP(D1936, Products!A$2:C$61, 3, FALSE)</f>
        <v>Home</v>
      </c>
      <c r="O1936" t="str">
        <f>VLOOKUP(C1936, Customers!A$2:E$301, 5, FALSE)</f>
        <v>Retail</v>
      </c>
      <c r="P1936">
        <f>VLOOKUP(C1936, Customers!A$2:C$301, 3, FALSE)</f>
        <v>59</v>
      </c>
      <c r="Q1936" t="str">
        <f>VLOOKUP(E1936, Sales_Reps!A$2:C$31, 3, FALSE)</f>
        <v>North</v>
      </c>
      <c r="R1936">
        <f>VLOOKUP(D1936, Products!A$2:D$61, 4, FALSE)</f>
        <v>288</v>
      </c>
    </row>
    <row r="1937" spans="1:18" x14ac:dyDescent="0.3">
      <c r="A1937" s="13" t="s">
        <v>2436</v>
      </c>
      <c r="B1937" s="14">
        <v>45352</v>
      </c>
      <c r="C1937" s="13" t="s">
        <v>405</v>
      </c>
      <c r="D1937" s="13" t="s">
        <v>367</v>
      </c>
      <c r="E1937" s="13" t="s">
        <v>201</v>
      </c>
      <c r="F1937" s="15">
        <v>6</v>
      </c>
      <c r="G1937" s="15">
        <v>2380</v>
      </c>
      <c r="H1937" s="15">
        <v>13.6</v>
      </c>
      <c r="I1937" s="15">
        <v>12337.92</v>
      </c>
      <c r="J1937" s="13" t="s">
        <v>140</v>
      </c>
      <c r="K1937" s="13" t="s">
        <v>94</v>
      </c>
      <c r="L1937">
        <f>IF(COUNTIF(A$2:A1937, A1937)=1, IF(COUNTIF(A$2:A$2001, A1937)&gt;1, 1, 0), 0)</f>
        <v>0</v>
      </c>
      <c r="M1937" t="b">
        <f>VLOOKUP(D1937, Products!A$2:F$61, 6, FALSE)</f>
        <v>1</v>
      </c>
      <c r="N1937" t="str">
        <f>VLOOKUP(D1937, Products!A$2:C$61, 3, FALSE)</f>
        <v>Grocery</v>
      </c>
      <c r="O1937" t="str">
        <f>VLOOKUP(C1937, Customers!A$2:E$301, 5, FALSE)</f>
        <v>Corporate</v>
      </c>
      <c r="P1937">
        <f>VLOOKUP(C1937, Customers!A$2:C$301, 3, FALSE)</f>
        <v>24</v>
      </c>
      <c r="Q1937" t="str">
        <f>VLOOKUP(E1937, Sales_Reps!A$2:C$31, 3, FALSE)</f>
        <v>West</v>
      </c>
      <c r="R1937">
        <f>VLOOKUP(D1937, Products!A$2:D$61, 4, FALSE)</f>
        <v>1182</v>
      </c>
    </row>
    <row r="1938" spans="1:18" x14ac:dyDescent="0.3">
      <c r="A1938" s="13" t="s">
        <v>2437</v>
      </c>
      <c r="B1938" s="14">
        <v>45379</v>
      </c>
      <c r="C1938" s="13" t="s">
        <v>175</v>
      </c>
      <c r="D1938" s="13" t="s">
        <v>380</v>
      </c>
      <c r="E1938" s="13" t="s">
        <v>154</v>
      </c>
      <c r="F1938" s="15">
        <v>6</v>
      </c>
      <c r="G1938" s="15">
        <v>960</v>
      </c>
      <c r="H1938" s="15">
        <v>15</v>
      </c>
      <c r="I1938" s="15">
        <v>4896</v>
      </c>
      <c r="J1938" s="13" t="s">
        <v>93</v>
      </c>
      <c r="K1938" s="13" t="s">
        <v>133</v>
      </c>
      <c r="L1938">
        <f>IF(COUNTIF(A$2:A1938, A1938)=1, IF(COUNTIF(A$2:A$2001, A1938)&gt;1, 1, 0), 0)</f>
        <v>0</v>
      </c>
      <c r="M1938" t="b">
        <f>VLOOKUP(D1938, Products!A$2:F$61, 6, FALSE)</f>
        <v>1</v>
      </c>
      <c r="N1938" t="str">
        <f>VLOOKUP(D1938, Products!A$2:C$61, 3, FALSE)</f>
        <v>Beauty</v>
      </c>
      <c r="O1938" t="str">
        <f>VLOOKUP(C1938, Customers!A$2:E$301, 5, FALSE)</f>
        <v>SMB</v>
      </c>
      <c r="P1938">
        <f>VLOOKUP(C1938, Customers!A$2:C$301, 3, FALSE)</f>
        <v>40</v>
      </c>
      <c r="Q1938" t="str">
        <f>VLOOKUP(E1938, Sales_Reps!A$2:C$31, 3, FALSE)</f>
        <v>East</v>
      </c>
      <c r="R1938">
        <f>VLOOKUP(D1938, Products!A$2:D$61, 4, FALSE)</f>
        <v>675</v>
      </c>
    </row>
    <row r="1939" spans="1:18" x14ac:dyDescent="0.3">
      <c r="A1939" s="13" t="s">
        <v>2438</v>
      </c>
      <c r="B1939" s="14">
        <v>45422</v>
      </c>
      <c r="C1939" s="13" t="s">
        <v>720</v>
      </c>
      <c r="D1939" s="13" t="s">
        <v>115</v>
      </c>
      <c r="E1939" s="13" t="s">
        <v>297</v>
      </c>
      <c r="F1939" s="15">
        <v>3</v>
      </c>
      <c r="G1939" s="15">
        <v>960</v>
      </c>
      <c r="H1939" s="15">
        <v>12.3</v>
      </c>
      <c r="I1939" s="15">
        <v>2525.7600000000002</v>
      </c>
      <c r="J1939" s="13" t="s">
        <v>87</v>
      </c>
      <c r="K1939" s="13" t="s">
        <v>88</v>
      </c>
      <c r="L1939">
        <f>IF(COUNTIF(A$2:A1939, A1939)=1, IF(COUNTIF(A$2:A$2001, A1939)&gt;1, 1, 0), 0)</f>
        <v>0</v>
      </c>
      <c r="M1939" t="b">
        <f>VLOOKUP(D1939, Products!A$2:F$61, 6, FALSE)</f>
        <v>1</v>
      </c>
      <c r="N1939" t="str">
        <f>VLOOKUP(D1939, Products!A$2:C$61, 3, FALSE)</f>
        <v>Sports</v>
      </c>
      <c r="O1939" t="str">
        <f>VLOOKUP(C1939, Customers!A$2:E$301, 5, FALSE)</f>
        <v>Retail</v>
      </c>
      <c r="P1939">
        <f>VLOOKUP(C1939, Customers!A$2:C$301, 3, FALSE)</f>
        <v>48</v>
      </c>
      <c r="Q1939" t="str">
        <f>VLOOKUP(E1939, Sales_Reps!A$2:C$31, 3, FALSE)</f>
        <v>North</v>
      </c>
      <c r="R1939">
        <f>VLOOKUP(D1939, Products!A$2:D$61, 4, FALSE)</f>
        <v>705</v>
      </c>
    </row>
    <row r="1940" spans="1:18" x14ac:dyDescent="0.3">
      <c r="A1940" s="13" t="s">
        <v>2439</v>
      </c>
      <c r="B1940" s="14">
        <v>45413</v>
      </c>
      <c r="C1940" s="13" t="s">
        <v>557</v>
      </c>
      <c r="D1940" s="13" t="s">
        <v>292</v>
      </c>
      <c r="E1940" s="13" t="s">
        <v>229</v>
      </c>
      <c r="F1940" s="15">
        <v>7</v>
      </c>
      <c r="G1940" s="15">
        <v>620</v>
      </c>
      <c r="H1940" s="15">
        <v>5.8</v>
      </c>
      <c r="I1940" s="15">
        <v>4088.28</v>
      </c>
      <c r="J1940" s="13" t="s">
        <v>87</v>
      </c>
      <c r="K1940" s="13" t="s">
        <v>112</v>
      </c>
      <c r="L1940">
        <f>IF(COUNTIF(A$2:A1940, A1940)=1, IF(COUNTIF(A$2:A$2001, A1940)&gt;1, 1, 0), 0)</f>
        <v>0</v>
      </c>
      <c r="M1940" t="b">
        <f>VLOOKUP(D1940, Products!A$2:F$61, 6, FALSE)</f>
        <v>1</v>
      </c>
      <c r="N1940" t="str">
        <f>VLOOKUP(D1940, Products!A$2:C$61, 3, FALSE)</f>
        <v>Apparel</v>
      </c>
      <c r="O1940" t="str">
        <f>VLOOKUP(C1940, Customers!A$2:E$301, 5, FALSE)</f>
        <v>Retail</v>
      </c>
      <c r="P1940">
        <f>VLOOKUP(C1940, Customers!A$2:C$301, 3, FALSE)</f>
        <v>65</v>
      </c>
      <c r="Q1940" t="str">
        <f>VLOOKUP(E1940, Sales_Reps!A$2:C$31, 3, FALSE)</f>
        <v>West</v>
      </c>
      <c r="R1940">
        <f>VLOOKUP(D1940, Products!A$2:D$61, 4, FALSE)</f>
        <v>396</v>
      </c>
    </row>
    <row r="1941" spans="1:18" x14ac:dyDescent="0.3">
      <c r="A1941" s="13" t="s">
        <v>2440</v>
      </c>
      <c r="B1941" s="14">
        <v>45467</v>
      </c>
      <c r="C1941" s="13" t="s">
        <v>735</v>
      </c>
      <c r="D1941" s="13" t="s">
        <v>115</v>
      </c>
      <c r="E1941" s="13" t="s">
        <v>192</v>
      </c>
      <c r="F1941" s="15">
        <v>1</v>
      </c>
      <c r="G1941" s="15">
        <v>960</v>
      </c>
      <c r="H1941" s="15">
        <v>4.5999999999999996</v>
      </c>
      <c r="I1941" s="15">
        <v>915.84</v>
      </c>
      <c r="J1941" s="13" t="s">
        <v>87</v>
      </c>
      <c r="K1941" s="13" t="s">
        <v>88</v>
      </c>
      <c r="L1941">
        <f>IF(COUNTIF(A$2:A1941, A1941)=1, IF(COUNTIF(A$2:A$2001, A1941)&gt;1, 1, 0), 0)</f>
        <v>0</v>
      </c>
      <c r="M1941" t="b">
        <f>VLOOKUP(D1941, Products!A$2:F$61, 6, FALSE)</f>
        <v>1</v>
      </c>
      <c r="N1941" t="str">
        <f>VLOOKUP(D1941, Products!A$2:C$61, 3, FALSE)</f>
        <v>Sports</v>
      </c>
      <c r="O1941" t="str">
        <f>VLOOKUP(C1941, Customers!A$2:E$301, 5, FALSE)</f>
        <v>Retail</v>
      </c>
      <c r="P1941">
        <f>VLOOKUP(C1941, Customers!A$2:C$301, 3, FALSE)</f>
        <v>54</v>
      </c>
      <c r="Q1941" t="str">
        <f>VLOOKUP(E1941, Sales_Reps!A$2:C$31, 3, FALSE)</f>
        <v>East</v>
      </c>
      <c r="R1941">
        <f>VLOOKUP(D1941, Products!A$2:D$61, 4, FALSE)</f>
        <v>705</v>
      </c>
    </row>
    <row r="1942" spans="1:18" x14ac:dyDescent="0.3">
      <c r="A1942" s="13" t="s">
        <v>2441</v>
      </c>
      <c r="B1942" s="14">
        <v>45520</v>
      </c>
      <c r="C1942" s="13" t="s">
        <v>493</v>
      </c>
      <c r="D1942" s="13" t="s">
        <v>157</v>
      </c>
      <c r="E1942" s="13" t="s">
        <v>128</v>
      </c>
      <c r="F1942" s="15">
        <v>4</v>
      </c>
      <c r="G1942" s="15">
        <v>3450</v>
      </c>
      <c r="H1942" s="15">
        <v>13.3</v>
      </c>
      <c r="I1942" s="15">
        <v>11964.6</v>
      </c>
      <c r="J1942" s="13" t="s">
        <v>87</v>
      </c>
      <c r="K1942" s="13" t="s">
        <v>88</v>
      </c>
      <c r="L1942">
        <f>IF(COUNTIF(A$2:A1942, A1942)=1, IF(COUNTIF(A$2:A$2001, A1942)&gt;1, 1, 0), 0)</f>
        <v>0</v>
      </c>
      <c r="M1942" t="b">
        <f>VLOOKUP(D1942, Products!A$2:F$61, 6, FALSE)</f>
        <v>1</v>
      </c>
      <c r="N1942" t="str">
        <f>VLOOKUP(D1942, Products!A$2:C$61, 3, FALSE)</f>
        <v>Beauty</v>
      </c>
      <c r="O1942" t="str">
        <f>VLOOKUP(C1942, Customers!A$2:E$301, 5, FALSE)</f>
        <v>Retail</v>
      </c>
      <c r="P1942">
        <f>VLOOKUP(C1942, Customers!A$2:C$301, 3, FALSE)</f>
        <v>57</v>
      </c>
      <c r="Q1942" t="str">
        <f>VLOOKUP(E1942, Sales_Reps!A$2:C$31, 3, FALSE)</f>
        <v>West</v>
      </c>
      <c r="R1942">
        <f>VLOOKUP(D1942, Products!A$2:D$61, 4, FALSE)</f>
        <v>2420</v>
      </c>
    </row>
    <row r="1943" spans="1:18" x14ac:dyDescent="0.3">
      <c r="A1943" s="13" t="s">
        <v>2442</v>
      </c>
      <c r="B1943" s="14">
        <v>45626</v>
      </c>
      <c r="C1943" s="13" t="s">
        <v>561</v>
      </c>
      <c r="D1943" s="13" t="s">
        <v>173</v>
      </c>
      <c r="E1943" s="13" t="s">
        <v>121</v>
      </c>
      <c r="F1943" s="15">
        <v>10</v>
      </c>
      <c r="G1943" s="15">
        <v>2720</v>
      </c>
      <c r="H1943" s="15">
        <v>3.4</v>
      </c>
      <c r="I1943" s="15">
        <v>26275.200000000001</v>
      </c>
      <c r="J1943" s="13" t="s">
        <v>87</v>
      </c>
      <c r="K1943" s="13" t="s">
        <v>133</v>
      </c>
      <c r="L1943">
        <f>IF(COUNTIF(A$2:A1943, A1943)=1, IF(COUNTIF(A$2:A$2001, A1943)&gt;1, 1, 0), 0)</f>
        <v>0</v>
      </c>
      <c r="M1943" t="b">
        <f>VLOOKUP(D1943, Products!A$2:F$61, 6, FALSE)</f>
        <v>1</v>
      </c>
      <c r="N1943" t="str">
        <f>VLOOKUP(D1943, Products!A$2:C$61, 3, FALSE)</f>
        <v>Apparel</v>
      </c>
      <c r="O1943" t="str">
        <f>VLOOKUP(C1943, Customers!A$2:E$301, 5, FALSE)</f>
        <v>SMB</v>
      </c>
      <c r="P1943">
        <f>VLOOKUP(C1943, Customers!A$2:C$301, 3, FALSE)</f>
        <v>43</v>
      </c>
      <c r="Q1943" t="str">
        <f>VLOOKUP(E1943, Sales_Reps!A$2:C$31, 3, FALSE)</f>
        <v>East</v>
      </c>
      <c r="R1943">
        <f>VLOOKUP(D1943, Products!A$2:D$61, 4, FALSE)</f>
        <v>1962</v>
      </c>
    </row>
    <row r="1944" spans="1:18" x14ac:dyDescent="0.3">
      <c r="A1944" s="13" t="s">
        <v>2443</v>
      </c>
      <c r="B1944" s="14">
        <v>45452</v>
      </c>
      <c r="C1944" s="13" t="s">
        <v>617</v>
      </c>
      <c r="D1944" s="13" t="s">
        <v>157</v>
      </c>
      <c r="E1944" s="13" t="s">
        <v>121</v>
      </c>
      <c r="F1944" s="15">
        <v>1</v>
      </c>
      <c r="G1944" s="15">
        <v>3450</v>
      </c>
      <c r="H1944" s="15">
        <v>29.4</v>
      </c>
      <c r="I1944" s="15">
        <v>2435.6999999999998</v>
      </c>
      <c r="J1944" s="13" t="s">
        <v>87</v>
      </c>
      <c r="K1944" s="13" t="s">
        <v>112</v>
      </c>
      <c r="L1944">
        <f>IF(COUNTIF(A$2:A1944, A1944)=1, IF(COUNTIF(A$2:A$2001, A1944)&gt;1, 1, 0), 0)</f>
        <v>0</v>
      </c>
      <c r="M1944" t="b">
        <f>VLOOKUP(D1944, Products!A$2:F$61, 6, FALSE)</f>
        <v>1</v>
      </c>
      <c r="N1944" t="str">
        <f>VLOOKUP(D1944, Products!A$2:C$61, 3, FALSE)</f>
        <v>Beauty</v>
      </c>
      <c r="O1944" t="str">
        <f>VLOOKUP(C1944, Customers!A$2:E$301, 5, FALSE)</f>
        <v>SMB</v>
      </c>
      <c r="P1944">
        <f>VLOOKUP(C1944, Customers!A$2:C$301, 3, FALSE)</f>
        <v>65</v>
      </c>
      <c r="Q1944" t="str">
        <f>VLOOKUP(E1944, Sales_Reps!A$2:C$31, 3, FALSE)</f>
        <v>East</v>
      </c>
      <c r="R1944">
        <f>VLOOKUP(D1944, Products!A$2:D$61, 4, FALSE)</f>
        <v>2420</v>
      </c>
    </row>
    <row r="1945" spans="1:18" x14ac:dyDescent="0.3">
      <c r="A1945" s="13" t="s">
        <v>2444</v>
      </c>
      <c r="B1945" s="14">
        <v>45529</v>
      </c>
      <c r="C1945" s="13" t="s">
        <v>557</v>
      </c>
      <c r="D1945" s="13" t="s">
        <v>176</v>
      </c>
      <c r="E1945" s="13" t="s">
        <v>116</v>
      </c>
      <c r="F1945" s="15">
        <v>5</v>
      </c>
      <c r="G1945" s="15">
        <v>1650</v>
      </c>
      <c r="H1945" s="15">
        <v>29.4</v>
      </c>
      <c r="I1945" s="15">
        <v>5824.5</v>
      </c>
      <c r="J1945" s="13" t="s">
        <v>87</v>
      </c>
      <c r="K1945" s="13" t="s">
        <v>112</v>
      </c>
      <c r="L1945">
        <f>IF(COUNTIF(A$2:A1945, A1945)=1, IF(COUNTIF(A$2:A$2001, A1945)&gt;1, 1, 0), 0)</f>
        <v>0</v>
      </c>
      <c r="M1945" t="b">
        <f>VLOOKUP(D1945, Products!A$2:F$61, 6, FALSE)</f>
        <v>1</v>
      </c>
      <c r="N1945" t="str">
        <f>VLOOKUP(D1945, Products!A$2:C$61, 3, FALSE)</f>
        <v>Beauty</v>
      </c>
      <c r="O1945" t="str">
        <f>VLOOKUP(C1945, Customers!A$2:E$301, 5, FALSE)</f>
        <v>Retail</v>
      </c>
      <c r="P1945">
        <f>VLOOKUP(C1945, Customers!A$2:C$301, 3, FALSE)</f>
        <v>65</v>
      </c>
      <c r="Q1945" t="str">
        <f>VLOOKUP(E1945, Sales_Reps!A$2:C$31, 3, FALSE)</f>
        <v>West</v>
      </c>
      <c r="R1945">
        <f>VLOOKUP(D1945, Products!A$2:D$61, 4, FALSE)</f>
        <v>1222</v>
      </c>
    </row>
    <row r="1946" spans="1:18" x14ac:dyDescent="0.3">
      <c r="A1946" s="13" t="s">
        <v>2445</v>
      </c>
      <c r="B1946" s="14">
        <v>45639</v>
      </c>
      <c r="C1946" s="13" t="s">
        <v>781</v>
      </c>
      <c r="D1946" s="13" t="s">
        <v>85</v>
      </c>
      <c r="E1946" s="13" t="s">
        <v>204</v>
      </c>
      <c r="F1946" s="15">
        <v>2</v>
      </c>
      <c r="G1946" s="15">
        <v>3620</v>
      </c>
      <c r="H1946" s="15">
        <v>15.6</v>
      </c>
      <c r="I1946" s="15">
        <v>6110.56</v>
      </c>
      <c r="J1946" s="13" t="s">
        <v>87</v>
      </c>
      <c r="K1946" s="13" t="s">
        <v>99</v>
      </c>
      <c r="L1946">
        <f>IF(COUNTIF(A$2:A1946, A1946)=1, IF(COUNTIF(A$2:A$2001, A1946)&gt;1, 1, 0), 0)</f>
        <v>0</v>
      </c>
      <c r="M1946" t="b">
        <f>VLOOKUP(D1946, Products!A$2:F$61, 6, FALSE)</f>
        <v>1</v>
      </c>
      <c r="N1946" t="str">
        <f>VLOOKUP(D1946, Products!A$2:C$61, 3, FALSE)</f>
        <v>Apparel</v>
      </c>
      <c r="O1946" t="str">
        <f>VLOOKUP(C1946, Customers!A$2:E$301, 5, FALSE)</f>
        <v>SMB</v>
      </c>
      <c r="P1946">
        <f>VLOOKUP(C1946, Customers!A$2:C$301, 3, FALSE)</f>
        <v>29</v>
      </c>
      <c r="Q1946" t="str">
        <f>VLOOKUP(E1946, Sales_Reps!A$2:C$31, 3, FALSE)</f>
        <v>South</v>
      </c>
      <c r="R1946">
        <f>VLOOKUP(D1946, Products!A$2:D$61, 4, FALSE)</f>
        <v>2509</v>
      </c>
    </row>
    <row r="1947" spans="1:18" x14ac:dyDescent="0.3">
      <c r="A1947" s="13" t="s">
        <v>2446</v>
      </c>
      <c r="B1947" s="14">
        <v>45592</v>
      </c>
      <c r="C1947" s="13" t="s">
        <v>96</v>
      </c>
      <c r="D1947" s="13" t="s">
        <v>282</v>
      </c>
      <c r="E1947" s="13" t="s">
        <v>325</v>
      </c>
      <c r="F1947" s="15">
        <v>3</v>
      </c>
      <c r="G1947" s="15">
        <v>300</v>
      </c>
      <c r="H1947" s="15">
        <v>24.8</v>
      </c>
      <c r="I1947" s="15">
        <v>676.8</v>
      </c>
      <c r="J1947" s="13" t="s">
        <v>87</v>
      </c>
      <c r="K1947" s="13" t="s">
        <v>99</v>
      </c>
      <c r="L1947">
        <f>IF(COUNTIF(A$2:A1947, A1947)=1, IF(COUNTIF(A$2:A$2001, A1947)&gt;1, 1, 0), 0)</f>
        <v>0</v>
      </c>
      <c r="M1947" t="b">
        <f>VLOOKUP(D1947, Products!A$2:F$61, 6, FALSE)</f>
        <v>1</v>
      </c>
      <c r="N1947" t="str">
        <f>VLOOKUP(D1947, Products!A$2:C$61, 3, FALSE)</f>
        <v>Electronics</v>
      </c>
      <c r="O1947" t="str">
        <f>VLOOKUP(C1947, Customers!A$2:E$301, 5, FALSE)</f>
        <v>Retail</v>
      </c>
      <c r="P1947">
        <f>VLOOKUP(C1947, Customers!A$2:C$301, 3, FALSE)</f>
        <v>52</v>
      </c>
      <c r="Q1947" t="str">
        <f>VLOOKUP(E1947, Sales_Reps!A$2:C$31, 3, FALSE)</f>
        <v>South</v>
      </c>
      <c r="R1947">
        <f>VLOOKUP(D1947, Products!A$2:D$61, 4, FALSE)</f>
        <v>128</v>
      </c>
    </row>
    <row r="1948" spans="1:18" x14ac:dyDescent="0.3">
      <c r="A1948" s="13" t="s">
        <v>2447</v>
      </c>
      <c r="B1948" s="14">
        <v>45338</v>
      </c>
      <c r="C1948" s="13" t="s">
        <v>272</v>
      </c>
      <c r="D1948" s="13" t="s">
        <v>259</v>
      </c>
      <c r="E1948" s="13" t="s">
        <v>215</v>
      </c>
      <c r="F1948" s="15">
        <v>3</v>
      </c>
      <c r="G1948" s="15">
        <v>1540</v>
      </c>
      <c r="H1948" s="15">
        <v>29.5</v>
      </c>
      <c r="I1948" s="15">
        <v>3257.1</v>
      </c>
      <c r="J1948" s="13" t="s">
        <v>87</v>
      </c>
      <c r="K1948" s="13" t="s">
        <v>94</v>
      </c>
      <c r="L1948">
        <f>IF(COUNTIF(A$2:A1948, A1948)=1, IF(COUNTIF(A$2:A$2001, A1948)&gt;1, 1, 0), 0)</f>
        <v>0</v>
      </c>
      <c r="M1948" t="b">
        <f>VLOOKUP(D1948, Products!A$2:F$61, 6, FALSE)</f>
        <v>0</v>
      </c>
      <c r="N1948" t="str">
        <f>VLOOKUP(D1948, Products!A$2:C$61, 3, FALSE)</f>
        <v>Beauty</v>
      </c>
      <c r="O1948" t="str">
        <f>VLOOKUP(C1948, Customers!A$2:E$301, 5, FALSE)</f>
        <v>SMB</v>
      </c>
      <c r="P1948">
        <f>VLOOKUP(C1948, Customers!A$2:C$301, 3, FALSE)</f>
        <v>55</v>
      </c>
      <c r="Q1948" t="str">
        <f>VLOOKUP(E1948, Sales_Reps!A$2:C$31, 3, FALSE)</f>
        <v>North</v>
      </c>
      <c r="R1948">
        <f>VLOOKUP(D1948, Products!A$2:D$61, 4, FALSE)</f>
        <v>647</v>
      </c>
    </row>
    <row r="1949" spans="1:18" x14ac:dyDescent="0.3">
      <c r="A1949" s="13" t="s">
        <v>2448</v>
      </c>
      <c r="B1949" s="14">
        <v>45551</v>
      </c>
      <c r="C1949" s="13" t="s">
        <v>779</v>
      </c>
      <c r="D1949" s="13" t="s">
        <v>131</v>
      </c>
      <c r="E1949" s="13" t="s">
        <v>121</v>
      </c>
      <c r="F1949" s="15">
        <v>10</v>
      </c>
      <c r="G1949" s="15">
        <v>2270</v>
      </c>
      <c r="H1949" s="15">
        <v>5.5</v>
      </c>
      <c r="I1949" s="15">
        <v>21451.5</v>
      </c>
      <c r="J1949" s="13" t="s">
        <v>140</v>
      </c>
      <c r="K1949" s="13" t="s">
        <v>117</v>
      </c>
      <c r="L1949">
        <f>IF(COUNTIF(A$2:A1949, A1949)=1, IF(COUNTIF(A$2:A$2001, A1949)&gt;1, 1, 0), 0)</f>
        <v>0</v>
      </c>
      <c r="M1949" t="b">
        <f>VLOOKUP(D1949, Products!A$2:F$61, 6, FALSE)</f>
        <v>1</v>
      </c>
      <c r="N1949" t="str">
        <f>VLOOKUP(D1949, Products!A$2:C$61, 3, FALSE)</f>
        <v>Grocery</v>
      </c>
      <c r="O1949" t="str">
        <f>VLOOKUP(C1949, Customers!A$2:E$301, 5, FALSE)</f>
        <v>Retail</v>
      </c>
      <c r="P1949">
        <f>VLOOKUP(C1949, Customers!A$2:C$301, 3, FALSE)</f>
        <v>27</v>
      </c>
      <c r="Q1949" t="str">
        <f>VLOOKUP(E1949, Sales_Reps!A$2:C$31, 3, FALSE)</f>
        <v>East</v>
      </c>
      <c r="R1949">
        <f>VLOOKUP(D1949, Products!A$2:D$61, 4, FALSE)</f>
        <v>1203</v>
      </c>
    </row>
    <row r="1950" spans="1:18" x14ac:dyDescent="0.3">
      <c r="A1950" s="13" t="s">
        <v>2449</v>
      </c>
      <c r="B1950" s="14">
        <v>45350</v>
      </c>
      <c r="C1950" s="13" t="s">
        <v>856</v>
      </c>
      <c r="D1950" s="13" t="s">
        <v>135</v>
      </c>
      <c r="E1950" s="13" t="s">
        <v>107</v>
      </c>
      <c r="F1950" s="15">
        <v>3</v>
      </c>
      <c r="G1950" s="15">
        <v>2640</v>
      </c>
      <c r="H1950" s="15">
        <v>28.2</v>
      </c>
      <c r="I1950" s="15">
        <v>5686.56</v>
      </c>
      <c r="J1950" s="13" t="s">
        <v>144</v>
      </c>
      <c r="K1950" s="13" t="s">
        <v>88</v>
      </c>
      <c r="L1950">
        <f>IF(COUNTIF(A$2:A1950, A1950)=1, IF(COUNTIF(A$2:A$2001, A1950)&gt;1, 1, 0), 0)</f>
        <v>0</v>
      </c>
      <c r="M1950" t="b">
        <f>VLOOKUP(D1950, Products!A$2:F$61, 6, FALSE)</f>
        <v>1</v>
      </c>
      <c r="N1950" t="str">
        <f>VLOOKUP(D1950, Products!A$2:C$61, 3, FALSE)</f>
        <v>Electronics</v>
      </c>
      <c r="O1950" t="str">
        <f>VLOOKUP(C1950, Customers!A$2:E$301, 5, FALSE)</f>
        <v>SMB</v>
      </c>
      <c r="P1950">
        <f>VLOOKUP(C1950, Customers!A$2:C$301, 3, FALSE)</f>
        <v>59</v>
      </c>
      <c r="Q1950" t="str">
        <f>VLOOKUP(E1950, Sales_Reps!A$2:C$31, 3, FALSE)</f>
        <v>North</v>
      </c>
      <c r="R1950">
        <f>VLOOKUP(D1950, Products!A$2:D$61, 4, FALSE)</f>
        <v>1149</v>
      </c>
    </row>
    <row r="1951" spans="1:18" x14ac:dyDescent="0.3">
      <c r="A1951" s="13" t="s">
        <v>2450</v>
      </c>
      <c r="B1951" s="14">
        <v>45507</v>
      </c>
      <c r="C1951" s="13" t="s">
        <v>1250</v>
      </c>
      <c r="D1951" s="13" t="s">
        <v>135</v>
      </c>
      <c r="E1951" s="13" t="s">
        <v>188</v>
      </c>
      <c r="F1951" s="15">
        <v>10</v>
      </c>
      <c r="G1951" s="15">
        <v>2640</v>
      </c>
      <c r="H1951" s="15">
        <v>25.9</v>
      </c>
      <c r="I1951" s="15">
        <v>19562.400000000001</v>
      </c>
      <c r="J1951" s="13" t="s">
        <v>87</v>
      </c>
      <c r="K1951" s="13" t="s">
        <v>88</v>
      </c>
      <c r="L1951">
        <f>IF(COUNTIF(A$2:A1951, A1951)=1, IF(COUNTIF(A$2:A$2001, A1951)&gt;1, 1, 0), 0)</f>
        <v>0</v>
      </c>
      <c r="M1951" t="b">
        <f>VLOOKUP(D1951, Products!A$2:F$61, 6, FALSE)</f>
        <v>1</v>
      </c>
      <c r="N1951" t="str">
        <f>VLOOKUP(D1951, Products!A$2:C$61, 3, FALSE)</f>
        <v>Electronics</v>
      </c>
      <c r="O1951" t="str">
        <f>VLOOKUP(C1951, Customers!A$2:E$301, 5, FALSE)</f>
        <v>Retail</v>
      </c>
      <c r="P1951">
        <f>VLOOKUP(C1951, Customers!A$2:C$301, 3, FALSE)</f>
        <v>44</v>
      </c>
      <c r="Q1951" t="str">
        <f>VLOOKUP(E1951, Sales_Reps!A$2:C$31, 3, FALSE)</f>
        <v>South</v>
      </c>
      <c r="R1951">
        <f>VLOOKUP(D1951, Products!A$2:D$61, 4, FALSE)</f>
        <v>1149</v>
      </c>
    </row>
    <row r="1952" spans="1:18" x14ac:dyDescent="0.3">
      <c r="A1952" s="13" t="s">
        <v>2451</v>
      </c>
      <c r="B1952" s="14">
        <v>45538</v>
      </c>
      <c r="C1952" s="13" t="s">
        <v>705</v>
      </c>
      <c r="D1952" s="13" t="s">
        <v>120</v>
      </c>
      <c r="E1952" s="13" t="s">
        <v>170</v>
      </c>
      <c r="F1952" s="15">
        <v>2</v>
      </c>
      <c r="G1952" s="15">
        <v>1430</v>
      </c>
      <c r="H1952" s="15">
        <v>5</v>
      </c>
      <c r="I1952" s="15">
        <v>2717</v>
      </c>
      <c r="J1952" s="13" t="s">
        <v>140</v>
      </c>
      <c r="K1952" s="13" t="s">
        <v>99</v>
      </c>
      <c r="L1952">
        <f>IF(COUNTIF(A$2:A1952, A1952)=1, IF(COUNTIF(A$2:A$2001, A1952)&gt;1, 1, 0), 0)</f>
        <v>0</v>
      </c>
      <c r="M1952" t="b">
        <f>VLOOKUP(D1952, Products!A$2:F$61, 6, FALSE)</f>
        <v>1</v>
      </c>
      <c r="N1952" t="str">
        <f>VLOOKUP(D1952, Products!A$2:C$61, 3, FALSE)</f>
        <v>Electronics</v>
      </c>
      <c r="O1952" t="str">
        <f>VLOOKUP(C1952, Customers!A$2:E$301, 5, FALSE)</f>
        <v>Retail</v>
      </c>
      <c r="P1952">
        <f>VLOOKUP(C1952, Customers!A$2:C$301, 3, FALSE)</f>
        <v>53</v>
      </c>
      <c r="Q1952" t="str">
        <f>VLOOKUP(E1952, Sales_Reps!A$2:C$31, 3, FALSE)</f>
        <v>West</v>
      </c>
      <c r="R1952">
        <f>VLOOKUP(D1952, Products!A$2:D$61, 4, FALSE)</f>
        <v>861</v>
      </c>
    </row>
    <row r="1953" spans="1:18" x14ac:dyDescent="0.3">
      <c r="A1953" s="13" t="s">
        <v>2452</v>
      </c>
      <c r="B1953" s="14">
        <v>45618</v>
      </c>
      <c r="C1953" s="13" t="s">
        <v>440</v>
      </c>
      <c r="D1953" s="13" t="s">
        <v>187</v>
      </c>
      <c r="E1953" s="13" t="s">
        <v>192</v>
      </c>
      <c r="F1953" s="15">
        <v>6</v>
      </c>
      <c r="G1953" s="15">
        <v>3570</v>
      </c>
      <c r="H1953" s="15">
        <v>28.5</v>
      </c>
      <c r="I1953" s="15">
        <v>15315.3</v>
      </c>
      <c r="J1953" s="13" t="s">
        <v>140</v>
      </c>
      <c r="K1953" s="13" t="s">
        <v>88</v>
      </c>
      <c r="L1953">
        <f>IF(COUNTIF(A$2:A1953, A1953)=1, IF(COUNTIF(A$2:A$2001, A1953)&gt;1, 1, 0), 0)</f>
        <v>0</v>
      </c>
      <c r="M1953" t="b">
        <f>VLOOKUP(D1953, Products!A$2:F$61, 6, FALSE)</f>
        <v>1</v>
      </c>
      <c r="N1953" t="str">
        <f>VLOOKUP(D1953, Products!A$2:C$61, 3, FALSE)</f>
        <v>Electronics</v>
      </c>
      <c r="O1953" t="str">
        <f>VLOOKUP(C1953, Customers!A$2:E$301, 5, FALSE)</f>
        <v>SMB</v>
      </c>
      <c r="P1953">
        <f>VLOOKUP(C1953, Customers!A$2:C$301, 3, FALSE)</f>
        <v>30</v>
      </c>
      <c r="Q1953" t="str">
        <f>VLOOKUP(E1953, Sales_Reps!A$2:C$31, 3, FALSE)</f>
        <v>East</v>
      </c>
      <c r="R1953">
        <f>VLOOKUP(D1953, Products!A$2:D$61, 4, FALSE)</f>
        <v>1665</v>
      </c>
    </row>
    <row r="1954" spans="1:18" x14ac:dyDescent="0.3">
      <c r="A1954" s="13" t="s">
        <v>2453</v>
      </c>
      <c r="B1954" s="14">
        <v>45444</v>
      </c>
      <c r="C1954" s="13" t="s">
        <v>397</v>
      </c>
      <c r="D1954" s="13" t="s">
        <v>187</v>
      </c>
      <c r="E1954" s="13" t="s">
        <v>116</v>
      </c>
      <c r="F1954" s="15">
        <v>1</v>
      </c>
      <c r="G1954" s="15">
        <v>3570</v>
      </c>
      <c r="H1954" s="15">
        <v>7.7</v>
      </c>
      <c r="I1954" s="15">
        <v>3295.11</v>
      </c>
      <c r="J1954" s="13" t="s">
        <v>87</v>
      </c>
      <c r="K1954" s="13" t="s">
        <v>99</v>
      </c>
      <c r="L1954">
        <f>IF(COUNTIF(A$2:A1954, A1954)=1, IF(COUNTIF(A$2:A$2001, A1954)&gt;1, 1, 0), 0)</f>
        <v>0</v>
      </c>
      <c r="M1954" t="b">
        <f>VLOOKUP(D1954, Products!A$2:F$61, 6, FALSE)</f>
        <v>1</v>
      </c>
      <c r="N1954" t="str">
        <f>VLOOKUP(D1954, Products!A$2:C$61, 3, FALSE)</f>
        <v>Electronics</v>
      </c>
      <c r="O1954" t="str">
        <f>VLOOKUP(C1954, Customers!A$2:E$301, 5, FALSE)</f>
        <v>Retail</v>
      </c>
      <c r="P1954">
        <f>VLOOKUP(C1954, Customers!A$2:C$301, 3, FALSE)</f>
        <v>30</v>
      </c>
      <c r="Q1954" t="str">
        <f>VLOOKUP(E1954, Sales_Reps!A$2:C$31, 3, FALSE)</f>
        <v>West</v>
      </c>
      <c r="R1954">
        <f>VLOOKUP(D1954, Products!A$2:D$61, 4, FALSE)</f>
        <v>1665</v>
      </c>
    </row>
    <row r="1955" spans="1:18" x14ac:dyDescent="0.3">
      <c r="A1955" s="13" t="s">
        <v>2454</v>
      </c>
      <c r="B1955" s="14">
        <v>45377</v>
      </c>
      <c r="C1955" s="13" t="s">
        <v>1294</v>
      </c>
      <c r="D1955" s="13" t="s">
        <v>248</v>
      </c>
      <c r="E1955" s="13" t="s">
        <v>170</v>
      </c>
      <c r="F1955" s="15">
        <v>9</v>
      </c>
      <c r="G1955" s="15">
        <v>3870</v>
      </c>
      <c r="H1955" s="15">
        <v>11.9</v>
      </c>
      <c r="I1955" s="15">
        <v>30685.23</v>
      </c>
      <c r="J1955" s="13" t="s">
        <v>140</v>
      </c>
      <c r="K1955" s="13" t="s">
        <v>94</v>
      </c>
      <c r="L1955">
        <f>IF(COUNTIF(A$2:A1955, A1955)=1, IF(COUNTIF(A$2:A$2001, A1955)&gt;1, 1, 0), 0)</f>
        <v>0</v>
      </c>
      <c r="M1955" t="b">
        <f>VLOOKUP(D1955, Products!A$2:F$61, 6, FALSE)</f>
        <v>1</v>
      </c>
      <c r="N1955" t="str">
        <f>VLOOKUP(D1955, Products!A$2:C$61, 3, FALSE)</f>
        <v>Electronics</v>
      </c>
      <c r="O1955" t="str">
        <f>VLOOKUP(C1955, Customers!A$2:E$301, 5, FALSE)</f>
        <v>SMB</v>
      </c>
      <c r="P1955">
        <f>VLOOKUP(C1955, Customers!A$2:C$301, 3, FALSE)</f>
        <v>43</v>
      </c>
      <c r="Q1955" t="str">
        <f>VLOOKUP(E1955, Sales_Reps!A$2:C$31, 3, FALSE)</f>
        <v>West</v>
      </c>
      <c r="R1955">
        <f>VLOOKUP(D1955, Products!A$2:D$61, 4, FALSE)</f>
        <v>1559</v>
      </c>
    </row>
    <row r="1956" spans="1:18" x14ac:dyDescent="0.3">
      <c r="A1956" s="13" t="s">
        <v>2455</v>
      </c>
      <c r="B1956" s="14">
        <v>45515</v>
      </c>
      <c r="C1956" s="13" t="s">
        <v>850</v>
      </c>
      <c r="D1956" s="13" t="s">
        <v>515</v>
      </c>
      <c r="E1956" s="13" t="s">
        <v>98</v>
      </c>
      <c r="F1956" s="15">
        <v>5</v>
      </c>
      <c r="G1956" s="15">
        <v>6940</v>
      </c>
      <c r="H1956" s="15">
        <v>17.399999999999999</v>
      </c>
      <c r="I1956" s="15">
        <v>28662.2</v>
      </c>
      <c r="J1956" s="13" t="s">
        <v>87</v>
      </c>
      <c r="K1956" s="13" t="s">
        <v>94</v>
      </c>
      <c r="L1956">
        <f>IF(COUNTIF(A$2:A1956, A1956)=1, IF(COUNTIF(A$2:A$2001, A1956)&gt;1, 1, 0), 0)</f>
        <v>0</v>
      </c>
      <c r="M1956" t="b">
        <f>VLOOKUP(D1956, Products!A$2:F$61, 6, FALSE)</f>
        <v>1</v>
      </c>
      <c r="N1956" t="str">
        <f>VLOOKUP(D1956, Products!A$2:C$61, 3, FALSE)</f>
        <v>Sports</v>
      </c>
      <c r="O1956" t="str">
        <f>VLOOKUP(C1956, Customers!A$2:E$301, 5, FALSE)</f>
        <v>SMB</v>
      </c>
      <c r="P1956">
        <f>VLOOKUP(C1956, Customers!A$2:C$301, 3, FALSE)</f>
        <v>26</v>
      </c>
      <c r="Q1956" t="str">
        <f>VLOOKUP(E1956, Sales_Reps!A$2:C$31, 3, FALSE)</f>
        <v>South</v>
      </c>
      <c r="R1956">
        <f>VLOOKUP(D1956, Products!A$2:D$61, 4, FALSE)</f>
        <v>2827</v>
      </c>
    </row>
    <row r="1957" spans="1:18" x14ac:dyDescent="0.3">
      <c r="A1957" s="13" t="s">
        <v>2456</v>
      </c>
      <c r="B1957" s="14">
        <v>45312</v>
      </c>
      <c r="C1957" s="13" t="s">
        <v>263</v>
      </c>
      <c r="D1957" s="13" t="s">
        <v>110</v>
      </c>
      <c r="E1957" s="13" t="s">
        <v>201</v>
      </c>
      <c r="F1957" s="15">
        <v>6</v>
      </c>
      <c r="G1957" s="15">
        <v>370</v>
      </c>
      <c r="H1957" s="15">
        <v>8.1</v>
      </c>
      <c r="I1957" s="15">
        <v>2040.18</v>
      </c>
      <c r="J1957" s="13" t="s">
        <v>140</v>
      </c>
      <c r="K1957" s="13" t="s">
        <v>133</v>
      </c>
      <c r="L1957">
        <f>IF(COUNTIF(A$2:A1957, A1957)=1, IF(COUNTIF(A$2:A$2001, A1957)&gt;1, 1, 0), 0)</f>
        <v>0</v>
      </c>
      <c r="M1957" t="b">
        <f>VLOOKUP(D1957, Products!A$2:F$61, 6, FALSE)</f>
        <v>1</v>
      </c>
      <c r="N1957" t="str">
        <f>VLOOKUP(D1957, Products!A$2:C$61, 3, FALSE)</f>
        <v>Home</v>
      </c>
      <c r="O1957" t="str">
        <f>VLOOKUP(C1957, Customers!A$2:E$301, 5, FALSE)</f>
        <v>Retail</v>
      </c>
      <c r="P1957">
        <f>VLOOKUP(C1957, Customers!A$2:C$301, 3, FALSE)</f>
        <v>53</v>
      </c>
      <c r="Q1957" t="str">
        <f>VLOOKUP(E1957, Sales_Reps!A$2:C$31, 3, FALSE)</f>
        <v>West</v>
      </c>
      <c r="R1957">
        <f>VLOOKUP(D1957, Products!A$2:D$61, 4, FALSE)</f>
        <v>288</v>
      </c>
    </row>
    <row r="1958" spans="1:18" x14ac:dyDescent="0.3">
      <c r="A1958" s="13" t="s">
        <v>2457</v>
      </c>
      <c r="B1958" s="14">
        <v>45549</v>
      </c>
      <c r="C1958" s="13" t="s">
        <v>266</v>
      </c>
      <c r="D1958" s="13" t="s">
        <v>659</v>
      </c>
      <c r="E1958" s="13" t="s">
        <v>343</v>
      </c>
      <c r="F1958" s="15">
        <v>8</v>
      </c>
      <c r="G1958" s="15">
        <v>3560</v>
      </c>
      <c r="H1958" s="15">
        <v>23.3</v>
      </c>
      <c r="I1958" s="15">
        <v>21844.16</v>
      </c>
      <c r="J1958" s="13" t="s">
        <v>87</v>
      </c>
      <c r="K1958" s="13" t="s">
        <v>99</v>
      </c>
      <c r="L1958">
        <f>IF(COUNTIF(A$2:A1958, A1958)=1, IF(COUNTIF(A$2:A$2001, A1958)&gt;1, 1, 0), 0)</f>
        <v>0</v>
      </c>
      <c r="M1958" t="b">
        <f>VLOOKUP(D1958, Products!A$2:F$61, 6, FALSE)</f>
        <v>1</v>
      </c>
      <c r="N1958" t="str">
        <f>VLOOKUP(D1958, Products!A$2:C$61, 3, FALSE)</f>
        <v>Apparel</v>
      </c>
      <c r="O1958" t="str">
        <f>VLOOKUP(C1958, Customers!A$2:E$301, 5, FALSE)</f>
        <v>Corporate</v>
      </c>
      <c r="P1958">
        <f>VLOOKUP(C1958, Customers!A$2:C$301, 3, FALSE)</f>
        <v>55</v>
      </c>
      <c r="Q1958" t="str">
        <f>VLOOKUP(E1958, Sales_Reps!A$2:C$31, 3, FALSE)</f>
        <v>West</v>
      </c>
      <c r="R1958">
        <f>VLOOKUP(D1958, Products!A$2:D$61, 4, FALSE)</f>
        <v>2629</v>
      </c>
    </row>
    <row r="1959" spans="1:18" x14ac:dyDescent="0.3">
      <c r="A1959" s="13" t="s">
        <v>2458</v>
      </c>
      <c r="B1959" s="14">
        <v>45633</v>
      </c>
      <c r="C1959" s="13" t="s">
        <v>613</v>
      </c>
      <c r="D1959" s="13" t="s">
        <v>267</v>
      </c>
      <c r="E1959" s="13" t="s">
        <v>128</v>
      </c>
      <c r="F1959" s="15">
        <v>4</v>
      </c>
      <c r="G1959" s="15">
        <v>1220</v>
      </c>
      <c r="H1959" s="15">
        <v>2.7</v>
      </c>
      <c r="I1959" s="15">
        <v>4748.24</v>
      </c>
      <c r="J1959" s="13" t="s">
        <v>87</v>
      </c>
      <c r="K1959" s="13" t="s">
        <v>112</v>
      </c>
      <c r="L1959">
        <f>IF(COUNTIF(A$2:A1959, A1959)=1, IF(COUNTIF(A$2:A$2001, A1959)&gt;1, 1, 0), 0)</f>
        <v>0</v>
      </c>
      <c r="M1959" t="b">
        <f>VLOOKUP(D1959, Products!A$2:F$61, 6, FALSE)</f>
        <v>1</v>
      </c>
      <c r="N1959" t="str">
        <f>VLOOKUP(D1959, Products!A$2:C$61, 3, FALSE)</f>
        <v>Electronics</v>
      </c>
      <c r="O1959" t="str">
        <f>VLOOKUP(C1959, Customers!A$2:E$301, 5, FALSE)</f>
        <v>Retail</v>
      </c>
      <c r="P1959">
        <f>VLOOKUP(C1959, Customers!A$2:C$301, 3, FALSE)</f>
        <v>44</v>
      </c>
      <c r="Q1959" t="str">
        <f>VLOOKUP(E1959, Sales_Reps!A$2:C$31, 3, FALSE)</f>
        <v>West</v>
      </c>
      <c r="R1959">
        <f>VLOOKUP(D1959, Products!A$2:D$61, 4, FALSE)</f>
        <v>517</v>
      </c>
    </row>
    <row r="1960" spans="1:18" x14ac:dyDescent="0.3">
      <c r="A1960" s="13" t="s">
        <v>2459</v>
      </c>
      <c r="B1960" s="14">
        <v>45598</v>
      </c>
      <c r="C1960" s="13" t="s">
        <v>717</v>
      </c>
      <c r="D1960" s="13" t="s">
        <v>264</v>
      </c>
      <c r="E1960" s="13" t="s">
        <v>192</v>
      </c>
      <c r="F1960" s="15">
        <v>10</v>
      </c>
      <c r="G1960" s="15">
        <v>4070</v>
      </c>
      <c r="H1960" s="15">
        <v>11.6</v>
      </c>
      <c r="I1960" s="15">
        <v>35978.800000000003</v>
      </c>
      <c r="J1960" s="13" t="s">
        <v>87</v>
      </c>
      <c r="K1960" s="13" t="s">
        <v>94</v>
      </c>
      <c r="L1960">
        <f>IF(COUNTIF(A$2:A1960, A1960)=1, IF(COUNTIF(A$2:A$2001, A1960)&gt;1, 1, 0), 0)</f>
        <v>0</v>
      </c>
      <c r="M1960" t="b">
        <f>VLOOKUP(D1960, Products!A$2:F$61, 6, FALSE)</f>
        <v>1</v>
      </c>
      <c r="N1960" t="str">
        <f>VLOOKUP(D1960, Products!A$2:C$61, 3, FALSE)</f>
        <v>Grocery</v>
      </c>
      <c r="O1960" t="str">
        <f>VLOOKUP(C1960, Customers!A$2:E$301, 5, FALSE)</f>
        <v>Retail</v>
      </c>
      <c r="P1960">
        <f>VLOOKUP(C1960, Customers!A$2:C$301, 3, FALSE)</f>
        <v>24</v>
      </c>
      <c r="Q1960" t="str">
        <f>VLOOKUP(E1960, Sales_Reps!A$2:C$31, 3, FALSE)</f>
        <v>East</v>
      </c>
      <c r="R1960">
        <f>VLOOKUP(D1960, Products!A$2:D$61, 4, FALSE)</f>
        <v>2027</v>
      </c>
    </row>
    <row r="1961" spans="1:18" x14ac:dyDescent="0.3">
      <c r="A1961" s="13" t="s">
        <v>2460</v>
      </c>
      <c r="B1961" s="14">
        <v>45336</v>
      </c>
      <c r="C1961" s="13" t="s">
        <v>797</v>
      </c>
      <c r="D1961" s="13" t="s">
        <v>102</v>
      </c>
      <c r="E1961" s="13" t="s">
        <v>121</v>
      </c>
      <c r="F1961" s="15">
        <v>10</v>
      </c>
      <c r="G1961" s="15">
        <v>3660</v>
      </c>
      <c r="H1961" s="15">
        <v>28.8</v>
      </c>
      <c r="I1961" s="15">
        <v>26059.200000000001</v>
      </c>
      <c r="J1961" s="13" t="s">
        <v>87</v>
      </c>
      <c r="K1961" s="13" t="s">
        <v>99</v>
      </c>
      <c r="L1961">
        <f>IF(COUNTIF(A$2:A1961, A1961)=1, IF(COUNTIF(A$2:A$2001, A1961)&gt;1, 1, 0), 0)</f>
        <v>0</v>
      </c>
      <c r="M1961" t="b">
        <f>VLOOKUP(D1961, Products!A$2:F$61, 6, FALSE)</f>
        <v>0</v>
      </c>
      <c r="N1961" t="str">
        <f>VLOOKUP(D1961, Products!A$2:C$61, 3, FALSE)</f>
        <v>Grocery</v>
      </c>
      <c r="O1961" t="str">
        <f>VLOOKUP(C1961, Customers!A$2:E$301, 5, FALSE)</f>
        <v>Retail</v>
      </c>
      <c r="P1961">
        <f>VLOOKUP(C1961, Customers!A$2:C$301, 3, FALSE)</f>
        <v>63</v>
      </c>
      <c r="Q1961" t="str">
        <f>VLOOKUP(E1961, Sales_Reps!A$2:C$31, 3, FALSE)</f>
        <v>East</v>
      </c>
      <c r="R1961">
        <f>VLOOKUP(D1961, Products!A$2:D$61, 4, FALSE)</f>
        <v>2214</v>
      </c>
    </row>
    <row r="1962" spans="1:18" x14ac:dyDescent="0.3">
      <c r="A1962" s="13" t="s">
        <v>2461</v>
      </c>
      <c r="B1962" s="14">
        <v>45449</v>
      </c>
      <c r="C1962" s="13" t="s">
        <v>615</v>
      </c>
      <c r="D1962" s="13" t="s">
        <v>443</v>
      </c>
      <c r="E1962" s="13" t="s">
        <v>303</v>
      </c>
      <c r="F1962" s="15">
        <v>5</v>
      </c>
      <c r="G1962" s="15">
        <v>5080</v>
      </c>
      <c r="H1962" s="15">
        <v>12.1</v>
      </c>
      <c r="I1962" s="15">
        <v>22326.6</v>
      </c>
      <c r="J1962" s="13" t="s">
        <v>87</v>
      </c>
      <c r="K1962" s="13" t="s">
        <v>112</v>
      </c>
      <c r="L1962">
        <f>IF(COUNTIF(A$2:A1962, A1962)=1, IF(COUNTIF(A$2:A$2001, A1962)&gt;1, 1, 0), 0)</f>
        <v>0</v>
      </c>
      <c r="M1962" t="b">
        <f>VLOOKUP(D1962, Products!A$2:F$61, 6, FALSE)</f>
        <v>1</v>
      </c>
      <c r="N1962" t="str">
        <f>VLOOKUP(D1962, Products!A$2:C$61, 3, FALSE)</f>
        <v>Home</v>
      </c>
      <c r="O1962" t="str">
        <f>VLOOKUP(C1962, Customers!A$2:E$301, 5, FALSE)</f>
        <v>Retail</v>
      </c>
      <c r="P1962">
        <f>VLOOKUP(C1962, Customers!A$2:C$301, 3, FALSE)</f>
        <v>53</v>
      </c>
      <c r="Q1962" t="str">
        <f>VLOOKUP(E1962, Sales_Reps!A$2:C$31, 3, FALSE)</f>
        <v>East</v>
      </c>
      <c r="R1962">
        <f>VLOOKUP(D1962, Products!A$2:D$61, 4, FALSE)</f>
        <v>2459</v>
      </c>
    </row>
    <row r="1963" spans="1:18" x14ac:dyDescent="0.3">
      <c r="A1963" s="13" t="s">
        <v>2462</v>
      </c>
      <c r="B1963" s="14">
        <v>45338</v>
      </c>
      <c r="C1963" s="13" t="s">
        <v>797</v>
      </c>
      <c r="D1963" s="13" t="s">
        <v>270</v>
      </c>
      <c r="E1963" s="13" t="s">
        <v>252</v>
      </c>
      <c r="F1963" s="15">
        <v>10</v>
      </c>
      <c r="G1963" s="15">
        <v>4610</v>
      </c>
      <c r="H1963" s="15">
        <v>22.5</v>
      </c>
      <c r="I1963" s="15">
        <v>35727.5</v>
      </c>
      <c r="J1963" s="13" t="s">
        <v>87</v>
      </c>
      <c r="K1963" s="13" t="s">
        <v>99</v>
      </c>
      <c r="L1963">
        <f>IF(COUNTIF(A$2:A1963, A1963)=1, IF(COUNTIF(A$2:A$2001, A1963)&gt;1, 1, 0), 0)</f>
        <v>0</v>
      </c>
      <c r="M1963" t="b">
        <f>VLOOKUP(D1963, Products!A$2:F$61, 6, FALSE)</f>
        <v>1</v>
      </c>
      <c r="N1963" t="str">
        <f>VLOOKUP(D1963, Products!A$2:C$61, 3, FALSE)</f>
        <v>Home</v>
      </c>
      <c r="O1963" t="str">
        <f>VLOOKUP(C1963, Customers!A$2:E$301, 5, FALSE)</f>
        <v>Retail</v>
      </c>
      <c r="P1963">
        <f>VLOOKUP(C1963, Customers!A$2:C$301, 3, FALSE)</f>
        <v>63</v>
      </c>
      <c r="Q1963" t="str">
        <f>VLOOKUP(E1963, Sales_Reps!A$2:C$31, 3, FALSE)</f>
        <v>South</v>
      </c>
      <c r="R1963">
        <f>VLOOKUP(D1963, Products!A$2:D$61, 4, FALSE)</f>
        <v>1850</v>
      </c>
    </row>
    <row r="1964" spans="1:18" x14ac:dyDescent="0.3">
      <c r="A1964" s="13" t="s">
        <v>2463</v>
      </c>
      <c r="B1964" s="14">
        <v>45317</v>
      </c>
      <c r="C1964" s="13" t="s">
        <v>779</v>
      </c>
      <c r="D1964" s="13" t="s">
        <v>279</v>
      </c>
      <c r="E1964" s="13" t="s">
        <v>86</v>
      </c>
      <c r="F1964" s="15">
        <v>3</v>
      </c>
      <c r="G1964" s="15">
        <v>2660</v>
      </c>
      <c r="H1964" s="15">
        <v>15</v>
      </c>
      <c r="I1964" s="15">
        <v>6783</v>
      </c>
      <c r="J1964" s="13" t="s">
        <v>87</v>
      </c>
      <c r="K1964" s="13" t="s">
        <v>117</v>
      </c>
      <c r="L1964">
        <f>IF(COUNTIF(A$2:A1964, A1964)=1, IF(COUNTIF(A$2:A$2001, A1964)&gt;1, 1, 0), 0)</f>
        <v>0</v>
      </c>
      <c r="M1964" t="b">
        <f>VLOOKUP(D1964, Products!A$2:F$61, 6, FALSE)</f>
        <v>0</v>
      </c>
      <c r="N1964" t="str">
        <f>VLOOKUP(D1964, Products!A$2:C$61, 3, FALSE)</f>
        <v>Electronics</v>
      </c>
      <c r="O1964" t="str">
        <f>VLOOKUP(C1964, Customers!A$2:E$301, 5, FALSE)</f>
        <v>Retail</v>
      </c>
      <c r="P1964">
        <f>VLOOKUP(C1964, Customers!A$2:C$301, 3, FALSE)</f>
        <v>27</v>
      </c>
      <c r="Q1964" t="str">
        <f>VLOOKUP(E1964, Sales_Reps!A$2:C$31, 3, FALSE)</f>
        <v>North</v>
      </c>
      <c r="R1964">
        <f>VLOOKUP(D1964, Products!A$2:D$61, 4, FALSE)</f>
        <v>1259</v>
      </c>
    </row>
    <row r="1965" spans="1:18" x14ac:dyDescent="0.3">
      <c r="A1965" s="13" t="s">
        <v>2464</v>
      </c>
      <c r="B1965" s="14">
        <v>45384</v>
      </c>
      <c r="C1965" s="13" t="s">
        <v>595</v>
      </c>
      <c r="D1965" s="13" t="s">
        <v>106</v>
      </c>
      <c r="E1965" s="13" t="s">
        <v>103</v>
      </c>
      <c r="F1965" s="15">
        <v>5</v>
      </c>
      <c r="G1965" s="15">
        <v>3160</v>
      </c>
      <c r="H1965" s="15">
        <v>1.3</v>
      </c>
      <c r="I1965" s="15">
        <v>15594.6</v>
      </c>
      <c r="J1965" s="13" t="s">
        <v>87</v>
      </c>
      <c r="K1965" s="13" t="s">
        <v>99</v>
      </c>
      <c r="L1965">
        <f>IF(COUNTIF(A$2:A1965, A1965)=1, IF(COUNTIF(A$2:A$2001, A1965)&gt;1, 1, 0), 0)</f>
        <v>0</v>
      </c>
      <c r="M1965" t="b">
        <f>VLOOKUP(D1965, Products!A$2:F$61, 6, FALSE)</f>
        <v>1</v>
      </c>
      <c r="N1965" t="str">
        <f>VLOOKUP(D1965, Products!A$2:C$61, 3, FALSE)</f>
        <v>Apparel</v>
      </c>
      <c r="O1965" t="str">
        <f>VLOOKUP(C1965, Customers!A$2:E$301, 5, FALSE)</f>
        <v>SMB</v>
      </c>
      <c r="P1965">
        <f>VLOOKUP(C1965, Customers!A$2:C$301, 3, FALSE)</f>
        <v>48</v>
      </c>
      <c r="Q1965" t="str">
        <f>VLOOKUP(E1965, Sales_Reps!A$2:C$31, 3, FALSE)</f>
        <v>North</v>
      </c>
      <c r="R1965">
        <f>VLOOKUP(D1965, Products!A$2:D$61, 4, FALSE)</f>
        <v>1886</v>
      </c>
    </row>
    <row r="1966" spans="1:18" x14ac:dyDescent="0.3">
      <c r="A1966" s="13" t="s">
        <v>2465</v>
      </c>
      <c r="B1966" s="14">
        <v>45325</v>
      </c>
      <c r="C1966" s="13" t="s">
        <v>684</v>
      </c>
      <c r="D1966" s="13" t="s">
        <v>110</v>
      </c>
      <c r="E1966" s="13" t="s">
        <v>139</v>
      </c>
      <c r="F1966" s="15">
        <v>10</v>
      </c>
      <c r="G1966" s="15">
        <v>370</v>
      </c>
      <c r="H1966" s="15">
        <v>29</v>
      </c>
      <c r="I1966" s="15">
        <v>2627</v>
      </c>
      <c r="J1966" s="13" t="s">
        <v>87</v>
      </c>
      <c r="K1966" s="13" t="s">
        <v>99</v>
      </c>
      <c r="L1966">
        <f>IF(COUNTIF(A$2:A1966, A1966)=1, IF(COUNTIF(A$2:A$2001, A1966)&gt;1, 1, 0), 0)</f>
        <v>0</v>
      </c>
      <c r="M1966" t="b">
        <f>VLOOKUP(D1966, Products!A$2:F$61, 6, FALSE)</f>
        <v>1</v>
      </c>
      <c r="N1966" t="str">
        <f>VLOOKUP(D1966, Products!A$2:C$61, 3, FALSE)</f>
        <v>Home</v>
      </c>
      <c r="O1966" t="str">
        <f>VLOOKUP(C1966, Customers!A$2:E$301, 5, FALSE)</f>
        <v>Retail</v>
      </c>
      <c r="P1966">
        <f>VLOOKUP(C1966, Customers!A$2:C$301, 3, FALSE)</f>
        <v>41</v>
      </c>
      <c r="Q1966" t="str">
        <f>VLOOKUP(E1966, Sales_Reps!A$2:C$31, 3, FALSE)</f>
        <v>North</v>
      </c>
      <c r="R1966">
        <f>VLOOKUP(D1966, Products!A$2:D$61, 4, FALSE)</f>
        <v>288</v>
      </c>
    </row>
    <row r="1967" spans="1:18" x14ac:dyDescent="0.3">
      <c r="A1967" s="13" t="s">
        <v>2466</v>
      </c>
      <c r="B1967" s="14">
        <v>45358</v>
      </c>
      <c r="C1967" s="13" t="s">
        <v>1051</v>
      </c>
      <c r="D1967" s="13" t="s">
        <v>182</v>
      </c>
      <c r="E1967" s="13" t="s">
        <v>107</v>
      </c>
      <c r="F1967" s="15">
        <v>10</v>
      </c>
      <c r="G1967" s="15">
        <v>1010</v>
      </c>
      <c r="H1967" s="15">
        <v>14.1</v>
      </c>
      <c r="I1967" s="15">
        <v>8675.9</v>
      </c>
      <c r="J1967" s="13" t="s">
        <v>144</v>
      </c>
      <c r="K1967" s="13" t="s">
        <v>112</v>
      </c>
      <c r="L1967">
        <f>IF(COUNTIF(A$2:A1967, A1967)=1, IF(COUNTIF(A$2:A$2001, A1967)&gt;1, 1, 0), 0)</f>
        <v>0</v>
      </c>
      <c r="M1967" t="b">
        <f>VLOOKUP(D1967, Products!A$2:F$61, 6, FALSE)</f>
        <v>1</v>
      </c>
      <c r="N1967" t="str">
        <f>VLOOKUP(D1967, Products!A$2:C$61, 3, FALSE)</f>
        <v>Sports</v>
      </c>
      <c r="O1967" t="str">
        <f>VLOOKUP(C1967, Customers!A$2:E$301, 5, FALSE)</f>
        <v>Retail</v>
      </c>
      <c r="P1967">
        <f>VLOOKUP(C1967, Customers!A$2:C$301, 3, FALSE)</f>
        <v>54</v>
      </c>
      <c r="Q1967" t="str">
        <f>VLOOKUP(E1967, Sales_Reps!A$2:C$31, 3, FALSE)</f>
        <v>North</v>
      </c>
      <c r="R1967">
        <f>VLOOKUP(D1967, Products!A$2:D$61, 4, FALSE)</f>
        <v>516</v>
      </c>
    </row>
    <row r="1968" spans="1:18" x14ac:dyDescent="0.3">
      <c r="A1968" s="13" t="s">
        <v>2467</v>
      </c>
      <c r="B1968" s="14">
        <v>45586</v>
      </c>
      <c r="C1968" s="13" t="s">
        <v>333</v>
      </c>
      <c r="D1968" s="13" t="s">
        <v>659</v>
      </c>
      <c r="E1968" s="13" t="s">
        <v>170</v>
      </c>
      <c r="F1968" s="15">
        <v>3</v>
      </c>
      <c r="G1968" s="15">
        <v>3560</v>
      </c>
      <c r="H1968" s="15">
        <v>23.6</v>
      </c>
      <c r="I1968" s="15">
        <v>8159.52</v>
      </c>
      <c r="J1968" s="13" t="s">
        <v>87</v>
      </c>
      <c r="K1968" s="13" t="s">
        <v>133</v>
      </c>
      <c r="L1968">
        <f>IF(COUNTIF(A$2:A1968, A1968)=1, IF(COUNTIF(A$2:A$2001, A1968)&gt;1, 1, 0), 0)</f>
        <v>0</v>
      </c>
      <c r="M1968" t="b">
        <f>VLOOKUP(D1968, Products!A$2:F$61, 6, FALSE)</f>
        <v>1</v>
      </c>
      <c r="N1968" t="str">
        <f>VLOOKUP(D1968, Products!A$2:C$61, 3, FALSE)</f>
        <v>Apparel</v>
      </c>
      <c r="O1968" t="str">
        <f>VLOOKUP(C1968, Customers!A$2:E$301, 5, FALSE)</f>
        <v>SMB</v>
      </c>
      <c r="P1968">
        <f>VLOOKUP(C1968, Customers!A$2:C$301, 3, FALSE)</f>
        <v>65</v>
      </c>
      <c r="Q1968" t="str">
        <f>VLOOKUP(E1968, Sales_Reps!A$2:C$31, 3, FALSE)</f>
        <v>West</v>
      </c>
      <c r="R1968">
        <f>VLOOKUP(D1968, Products!A$2:D$61, 4, FALSE)</f>
        <v>2629</v>
      </c>
    </row>
    <row r="1969" spans="1:18" x14ac:dyDescent="0.3">
      <c r="A1969" s="13" t="s">
        <v>2468</v>
      </c>
      <c r="B1969" s="14">
        <v>45340</v>
      </c>
      <c r="C1969" s="13" t="s">
        <v>324</v>
      </c>
      <c r="D1969" s="13" t="s">
        <v>267</v>
      </c>
      <c r="E1969" s="13" t="s">
        <v>128</v>
      </c>
      <c r="F1969" s="15">
        <v>9</v>
      </c>
      <c r="G1969" s="15">
        <v>1220</v>
      </c>
      <c r="H1969" s="15">
        <v>16.600000000000001</v>
      </c>
      <c r="I1969" s="15">
        <v>9157.32</v>
      </c>
      <c r="J1969" s="13" t="s">
        <v>87</v>
      </c>
      <c r="K1969" s="13" t="s">
        <v>133</v>
      </c>
      <c r="L1969">
        <f>IF(COUNTIF(A$2:A1969, A1969)=1, IF(COUNTIF(A$2:A$2001, A1969)&gt;1, 1, 0), 0)</f>
        <v>0</v>
      </c>
      <c r="M1969" t="b">
        <f>VLOOKUP(D1969, Products!A$2:F$61, 6, FALSE)</f>
        <v>1</v>
      </c>
      <c r="N1969" t="str">
        <f>VLOOKUP(D1969, Products!A$2:C$61, 3, FALSE)</f>
        <v>Electronics</v>
      </c>
      <c r="O1969" t="str">
        <f>VLOOKUP(C1969, Customers!A$2:E$301, 5, FALSE)</f>
        <v>Retail</v>
      </c>
      <c r="P1969">
        <f>VLOOKUP(C1969, Customers!A$2:C$301, 3, FALSE)</f>
        <v>28</v>
      </c>
      <c r="Q1969" t="str">
        <f>VLOOKUP(E1969, Sales_Reps!A$2:C$31, 3, FALSE)</f>
        <v>West</v>
      </c>
      <c r="R1969">
        <f>VLOOKUP(D1969, Products!A$2:D$61, 4, FALSE)</f>
        <v>517</v>
      </c>
    </row>
    <row r="1970" spans="1:18" x14ac:dyDescent="0.3">
      <c r="A1970" s="13" t="s">
        <v>2469</v>
      </c>
      <c r="B1970" s="14">
        <v>45343</v>
      </c>
      <c r="C1970" s="13" t="s">
        <v>1231</v>
      </c>
      <c r="D1970" s="13" t="s">
        <v>147</v>
      </c>
      <c r="E1970" s="13" t="s">
        <v>107</v>
      </c>
      <c r="F1970" s="15">
        <v>8</v>
      </c>
      <c r="G1970" s="15">
        <v>190</v>
      </c>
      <c r="H1970" s="15">
        <v>22.3</v>
      </c>
      <c r="I1970" s="15">
        <v>1181.04</v>
      </c>
      <c r="J1970" s="13" t="s">
        <v>87</v>
      </c>
      <c r="K1970" s="13" t="s">
        <v>88</v>
      </c>
      <c r="L1970">
        <f>IF(COUNTIF(A$2:A1970, A1970)=1, IF(COUNTIF(A$2:A$2001, A1970)&gt;1, 1, 0), 0)</f>
        <v>0</v>
      </c>
      <c r="M1970" t="b">
        <f>VLOOKUP(D1970, Products!A$2:F$61, 6, FALSE)</f>
        <v>1</v>
      </c>
      <c r="N1970" t="str">
        <f>VLOOKUP(D1970, Products!A$2:C$61, 3, FALSE)</f>
        <v>Sports</v>
      </c>
      <c r="O1970" t="str">
        <f>VLOOKUP(C1970, Customers!A$2:E$301, 5, FALSE)</f>
        <v>Retail</v>
      </c>
      <c r="P1970">
        <f>VLOOKUP(C1970, Customers!A$2:C$301, 3, FALSE)</f>
        <v>42</v>
      </c>
      <c r="Q1970" t="str">
        <f>VLOOKUP(E1970, Sales_Reps!A$2:C$31, 3, FALSE)</f>
        <v>North</v>
      </c>
      <c r="R1970">
        <f>VLOOKUP(D1970, Products!A$2:D$61, 4, FALSE)</f>
        <v>147</v>
      </c>
    </row>
    <row r="1971" spans="1:18" x14ac:dyDescent="0.3">
      <c r="A1971" s="13" t="s">
        <v>2470</v>
      </c>
      <c r="B1971" s="14">
        <v>45468</v>
      </c>
      <c r="C1971" s="13" t="s">
        <v>405</v>
      </c>
      <c r="D1971" s="13" t="s">
        <v>182</v>
      </c>
      <c r="E1971" s="13" t="s">
        <v>297</v>
      </c>
      <c r="F1971" s="15">
        <v>2</v>
      </c>
      <c r="G1971" s="15">
        <v>1010</v>
      </c>
      <c r="H1971" s="15">
        <v>3.8</v>
      </c>
      <c r="I1971" s="15">
        <v>1943.24</v>
      </c>
      <c r="J1971" s="13" t="s">
        <v>87</v>
      </c>
      <c r="K1971" s="13" t="s">
        <v>94</v>
      </c>
      <c r="L1971">
        <f>IF(COUNTIF(A$2:A1971, A1971)=1, IF(COUNTIF(A$2:A$2001, A1971)&gt;1, 1, 0), 0)</f>
        <v>0</v>
      </c>
      <c r="M1971" t="b">
        <f>VLOOKUP(D1971, Products!A$2:F$61, 6, FALSE)</f>
        <v>1</v>
      </c>
      <c r="N1971" t="str">
        <f>VLOOKUP(D1971, Products!A$2:C$61, 3, FALSE)</f>
        <v>Sports</v>
      </c>
      <c r="O1971" t="str">
        <f>VLOOKUP(C1971, Customers!A$2:E$301, 5, FALSE)</f>
        <v>Corporate</v>
      </c>
      <c r="P1971">
        <f>VLOOKUP(C1971, Customers!A$2:C$301, 3, FALSE)</f>
        <v>24</v>
      </c>
      <c r="Q1971" t="str">
        <f>VLOOKUP(E1971, Sales_Reps!A$2:C$31, 3, FALSE)</f>
        <v>North</v>
      </c>
      <c r="R1971">
        <f>VLOOKUP(D1971, Products!A$2:D$61, 4, FALSE)</f>
        <v>516</v>
      </c>
    </row>
    <row r="1972" spans="1:18" x14ac:dyDescent="0.3">
      <c r="A1972" s="13" t="s">
        <v>2471</v>
      </c>
      <c r="B1972" s="14">
        <v>45439</v>
      </c>
      <c r="C1972" s="13" t="s">
        <v>874</v>
      </c>
      <c r="D1972" s="13" t="s">
        <v>138</v>
      </c>
      <c r="E1972" s="13" t="s">
        <v>204</v>
      </c>
      <c r="F1972" s="15">
        <v>4</v>
      </c>
      <c r="G1972" s="15">
        <v>2600</v>
      </c>
      <c r="H1972" s="15">
        <v>29.1</v>
      </c>
      <c r="I1972" s="15">
        <v>7373.6</v>
      </c>
      <c r="J1972" s="13" t="s">
        <v>87</v>
      </c>
      <c r="K1972" s="13" t="s">
        <v>112</v>
      </c>
      <c r="L1972">
        <f>IF(COUNTIF(A$2:A1972, A1972)=1, IF(COUNTIF(A$2:A$2001, A1972)&gt;1, 1, 0), 0)</f>
        <v>0</v>
      </c>
      <c r="M1972" t="b">
        <f>VLOOKUP(D1972, Products!A$2:F$61, 6, FALSE)</f>
        <v>1</v>
      </c>
      <c r="N1972" t="str">
        <f>VLOOKUP(D1972, Products!A$2:C$61, 3, FALSE)</f>
        <v>Electronics</v>
      </c>
      <c r="O1972" t="str">
        <f>VLOOKUP(C1972, Customers!A$2:E$301, 5, FALSE)</f>
        <v>Retail</v>
      </c>
      <c r="P1972">
        <f>VLOOKUP(C1972, Customers!A$2:C$301, 3, FALSE)</f>
        <v>57</v>
      </c>
      <c r="Q1972" t="str">
        <f>VLOOKUP(E1972, Sales_Reps!A$2:C$31, 3, FALSE)</f>
        <v>South</v>
      </c>
      <c r="R1972">
        <f>VLOOKUP(D1972, Products!A$2:D$61, 4, FALSE)</f>
        <v>1052</v>
      </c>
    </row>
    <row r="1973" spans="1:18" x14ac:dyDescent="0.3">
      <c r="A1973" s="13" t="s">
        <v>2472</v>
      </c>
      <c r="B1973" s="14">
        <v>45517</v>
      </c>
      <c r="C1973" s="13" t="s">
        <v>684</v>
      </c>
      <c r="D1973" s="13" t="s">
        <v>452</v>
      </c>
      <c r="E1973" s="13" t="s">
        <v>229</v>
      </c>
      <c r="F1973" s="15">
        <v>7</v>
      </c>
      <c r="G1973" s="15">
        <v>3450</v>
      </c>
      <c r="H1973" s="15">
        <v>4</v>
      </c>
      <c r="I1973" s="15">
        <v>23184</v>
      </c>
      <c r="J1973" s="13" t="s">
        <v>87</v>
      </c>
      <c r="K1973" s="13" t="s">
        <v>99</v>
      </c>
      <c r="L1973">
        <f>IF(COUNTIF(A$2:A1973, A1973)=1, IF(COUNTIF(A$2:A$2001, A1973)&gt;1, 1, 0), 0)</f>
        <v>0</v>
      </c>
      <c r="M1973" t="b">
        <f>VLOOKUP(D1973, Products!A$2:F$61, 6, FALSE)</f>
        <v>1</v>
      </c>
      <c r="N1973" t="str">
        <f>VLOOKUP(D1973, Products!A$2:C$61, 3, FALSE)</f>
        <v>Apparel</v>
      </c>
      <c r="O1973" t="str">
        <f>VLOOKUP(C1973, Customers!A$2:E$301, 5, FALSE)</f>
        <v>Retail</v>
      </c>
      <c r="P1973">
        <f>VLOOKUP(C1973, Customers!A$2:C$301, 3, FALSE)</f>
        <v>41</v>
      </c>
      <c r="Q1973" t="str">
        <f>VLOOKUP(E1973, Sales_Reps!A$2:C$31, 3, FALSE)</f>
        <v>West</v>
      </c>
      <c r="R1973">
        <f>VLOOKUP(D1973, Products!A$2:D$61, 4, FALSE)</f>
        <v>1748</v>
      </c>
    </row>
    <row r="1974" spans="1:18" x14ac:dyDescent="0.3">
      <c r="A1974" s="13" t="s">
        <v>2473</v>
      </c>
      <c r="B1974" s="14">
        <v>45311</v>
      </c>
      <c r="C1974" s="13" t="s">
        <v>244</v>
      </c>
      <c r="D1974" s="13" t="s">
        <v>355</v>
      </c>
      <c r="E1974" s="13" t="s">
        <v>121</v>
      </c>
      <c r="F1974" s="15">
        <v>6</v>
      </c>
      <c r="G1974" s="15">
        <v>2510</v>
      </c>
      <c r="H1974" s="15">
        <v>12.7</v>
      </c>
      <c r="I1974" s="15">
        <v>13147.38</v>
      </c>
      <c r="J1974" s="13" t="s">
        <v>87</v>
      </c>
      <c r="K1974" s="13" t="s">
        <v>94</v>
      </c>
      <c r="L1974">
        <f>IF(COUNTIF(A$2:A1974, A1974)=1, IF(COUNTIF(A$2:A$2001, A1974)&gt;1, 1, 0), 0)</f>
        <v>0</v>
      </c>
      <c r="M1974" t="b">
        <f>VLOOKUP(D1974, Products!A$2:F$61, 6, FALSE)</f>
        <v>0</v>
      </c>
      <c r="N1974" t="str">
        <f>VLOOKUP(D1974, Products!A$2:C$61, 3, FALSE)</f>
        <v>Apparel</v>
      </c>
      <c r="O1974" t="str">
        <f>VLOOKUP(C1974, Customers!A$2:E$301, 5, FALSE)</f>
        <v>Corporate</v>
      </c>
      <c r="P1974">
        <f>VLOOKUP(C1974, Customers!A$2:C$301, 3, FALSE)</f>
        <v>52</v>
      </c>
      <c r="Q1974" t="str">
        <f>VLOOKUP(E1974, Sales_Reps!A$2:C$31, 3, FALSE)</f>
        <v>East</v>
      </c>
      <c r="R1974">
        <f>VLOOKUP(D1974, Products!A$2:D$61, 4, FALSE)</f>
        <v>1075</v>
      </c>
    </row>
    <row r="1975" spans="1:18" x14ac:dyDescent="0.3">
      <c r="A1975" s="13" t="s">
        <v>2474</v>
      </c>
      <c r="B1975" s="14">
        <v>45560</v>
      </c>
      <c r="C1975" s="13" t="s">
        <v>109</v>
      </c>
      <c r="D1975" s="13" t="s">
        <v>147</v>
      </c>
      <c r="E1975" s="13" t="s">
        <v>343</v>
      </c>
      <c r="F1975" s="15">
        <v>6</v>
      </c>
      <c r="G1975" s="15">
        <v>190</v>
      </c>
      <c r="H1975" s="15">
        <v>20</v>
      </c>
      <c r="I1975" s="15">
        <v>912</v>
      </c>
      <c r="J1975" s="13" t="s">
        <v>140</v>
      </c>
      <c r="K1975" s="13" t="s">
        <v>112</v>
      </c>
      <c r="L1975">
        <f>IF(COUNTIF(A$2:A1975, A1975)=1, IF(COUNTIF(A$2:A$2001, A1975)&gt;1, 1, 0), 0)</f>
        <v>0</v>
      </c>
      <c r="M1975" t="b">
        <f>VLOOKUP(D1975, Products!A$2:F$61, 6, FALSE)</f>
        <v>1</v>
      </c>
      <c r="N1975" t="str">
        <f>VLOOKUP(D1975, Products!A$2:C$61, 3, FALSE)</f>
        <v>Sports</v>
      </c>
      <c r="O1975" t="str">
        <f>VLOOKUP(C1975, Customers!A$2:E$301, 5, FALSE)</f>
        <v>Retail</v>
      </c>
      <c r="P1975">
        <f>VLOOKUP(C1975, Customers!A$2:C$301, 3, FALSE)</f>
        <v>36</v>
      </c>
      <c r="Q1975" t="str">
        <f>VLOOKUP(E1975, Sales_Reps!A$2:C$31, 3, FALSE)</f>
        <v>West</v>
      </c>
      <c r="R1975">
        <f>VLOOKUP(D1975, Products!A$2:D$61, 4, FALSE)</f>
        <v>147</v>
      </c>
    </row>
    <row r="1976" spans="1:18" x14ac:dyDescent="0.3">
      <c r="A1976" s="13" t="s">
        <v>2475</v>
      </c>
      <c r="B1976" s="14">
        <v>45529</v>
      </c>
      <c r="C1976" s="13" t="s">
        <v>1231</v>
      </c>
      <c r="D1976" s="13" t="s">
        <v>176</v>
      </c>
      <c r="E1976" s="13" t="s">
        <v>229</v>
      </c>
      <c r="F1976" s="15">
        <v>10</v>
      </c>
      <c r="G1976" s="15">
        <v>1650</v>
      </c>
      <c r="H1976" s="15">
        <v>21.5</v>
      </c>
      <c r="I1976" s="15">
        <v>12952.5</v>
      </c>
      <c r="J1976" s="13" t="s">
        <v>87</v>
      </c>
      <c r="K1976" s="13" t="s">
        <v>88</v>
      </c>
      <c r="L1976">
        <f>IF(COUNTIF(A$2:A1976, A1976)=1, IF(COUNTIF(A$2:A$2001, A1976)&gt;1, 1, 0), 0)</f>
        <v>0</v>
      </c>
      <c r="M1976" t="b">
        <f>VLOOKUP(D1976, Products!A$2:F$61, 6, FALSE)</f>
        <v>1</v>
      </c>
      <c r="N1976" t="str">
        <f>VLOOKUP(D1976, Products!A$2:C$61, 3, FALSE)</f>
        <v>Beauty</v>
      </c>
      <c r="O1976" t="str">
        <f>VLOOKUP(C1976, Customers!A$2:E$301, 5, FALSE)</f>
        <v>Retail</v>
      </c>
      <c r="P1976">
        <f>VLOOKUP(C1976, Customers!A$2:C$301, 3, FALSE)</f>
        <v>42</v>
      </c>
      <c r="Q1976" t="str">
        <f>VLOOKUP(E1976, Sales_Reps!A$2:C$31, 3, FALSE)</f>
        <v>West</v>
      </c>
      <c r="R1976">
        <f>VLOOKUP(D1976, Products!A$2:D$61, 4, FALSE)</f>
        <v>1222</v>
      </c>
    </row>
    <row r="1977" spans="1:18" x14ac:dyDescent="0.3">
      <c r="A1977" s="13" t="s">
        <v>2476</v>
      </c>
      <c r="B1977" s="14">
        <v>45344</v>
      </c>
      <c r="C1977" s="13" t="s">
        <v>119</v>
      </c>
      <c r="D1977" s="13" t="s">
        <v>195</v>
      </c>
      <c r="E1977" s="13" t="s">
        <v>204</v>
      </c>
      <c r="F1977" s="15">
        <v>4</v>
      </c>
      <c r="G1977" s="15">
        <v>2860</v>
      </c>
      <c r="H1977" s="15">
        <v>15.2</v>
      </c>
      <c r="I1977" s="15">
        <v>9701.1200000000008</v>
      </c>
      <c r="J1977" s="13" t="s">
        <v>87</v>
      </c>
      <c r="K1977" s="13" t="s">
        <v>117</v>
      </c>
      <c r="L1977">
        <f>IF(COUNTIF(A$2:A1977, A1977)=1, IF(COUNTIF(A$2:A$2001, A1977)&gt;1, 1, 0), 0)</f>
        <v>0</v>
      </c>
      <c r="M1977" t="b">
        <f>VLOOKUP(D1977, Products!A$2:F$61, 6, FALSE)</f>
        <v>1</v>
      </c>
      <c r="N1977" t="str">
        <f>VLOOKUP(D1977, Products!A$2:C$61, 3, FALSE)</f>
        <v>Sports</v>
      </c>
      <c r="O1977" t="str">
        <f>VLOOKUP(C1977, Customers!A$2:E$301, 5, FALSE)</f>
        <v>Corporate</v>
      </c>
      <c r="P1977">
        <f>VLOOKUP(C1977, Customers!A$2:C$301, 3, FALSE)</f>
        <v>57</v>
      </c>
      <c r="Q1977" t="str">
        <f>VLOOKUP(E1977, Sales_Reps!A$2:C$31, 3, FALSE)</f>
        <v>South</v>
      </c>
      <c r="R1977">
        <f>VLOOKUP(D1977, Products!A$2:D$61, 4, FALSE)</f>
        <v>2028</v>
      </c>
    </row>
    <row r="1978" spans="1:18" x14ac:dyDescent="0.3">
      <c r="A1978" s="13" t="s">
        <v>2477</v>
      </c>
      <c r="B1978" s="14">
        <v>45589</v>
      </c>
      <c r="C1978" s="13" t="s">
        <v>945</v>
      </c>
      <c r="D1978" s="13" t="s">
        <v>97</v>
      </c>
      <c r="E1978" s="13" t="s">
        <v>128</v>
      </c>
      <c r="F1978" s="15">
        <v>3</v>
      </c>
      <c r="G1978" s="15">
        <v>470</v>
      </c>
      <c r="H1978" s="15">
        <v>14.2</v>
      </c>
      <c r="I1978" s="15">
        <v>1209.78</v>
      </c>
      <c r="J1978" s="13" t="s">
        <v>87</v>
      </c>
      <c r="K1978" s="13" t="s">
        <v>88</v>
      </c>
      <c r="L1978">
        <f>IF(COUNTIF(A$2:A1978, A1978)=1, IF(COUNTIF(A$2:A$2001, A1978)&gt;1, 1, 0), 0)</f>
        <v>0</v>
      </c>
      <c r="M1978" t="b">
        <f>VLOOKUP(D1978, Products!A$2:F$61, 6, FALSE)</f>
        <v>0</v>
      </c>
      <c r="N1978" t="str">
        <f>VLOOKUP(D1978, Products!A$2:C$61, 3, FALSE)</f>
        <v>Sports</v>
      </c>
      <c r="O1978" t="str">
        <f>VLOOKUP(C1978, Customers!A$2:E$301, 5, FALSE)</f>
        <v>Retail</v>
      </c>
      <c r="P1978">
        <f>VLOOKUP(C1978, Customers!A$2:C$301, 3, FALSE)</f>
        <v>54</v>
      </c>
      <c r="Q1978" t="str">
        <f>VLOOKUP(E1978, Sales_Reps!A$2:C$31, 3, FALSE)</f>
        <v>West</v>
      </c>
      <c r="R1978">
        <f>VLOOKUP(D1978, Products!A$2:D$61, 4, FALSE)</f>
        <v>302</v>
      </c>
    </row>
    <row r="1979" spans="1:18" x14ac:dyDescent="0.3">
      <c r="A1979" s="13" t="s">
        <v>2478</v>
      </c>
      <c r="B1979" s="14">
        <v>45469</v>
      </c>
      <c r="C1979" s="13" t="s">
        <v>943</v>
      </c>
      <c r="D1979" s="13" t="s">
        <v>195</v>
      </c>
      <c r="E1979" s="13" t="s">
        <v>170</v>
      </c>
      <c r="F1979" s="15">
        <v>2</v>
      </c>
      <c r="G1979" s="15">
        <v>2860</v>
      </c>
      <c r="H1979" s="15">
        <v>17.899999999999999</v>
      </c>
      <c r="I1979" s="15">
        <v>4696.12</v>
      </c>
      <c r="J1979" s="13" t="s">
        <v>87</v>
      </c>
      <c r="K1979" s="13" t="s">
        <v>133</v>
      </c>
      <c r="L1979">
        <f>IF(COUNTIF(A$2:A1979, A1979)=1, IF(COUNTIF(A$2:A$2001, A1979)&gt;1, 1, 0), 0)</f>
        <v>0</v>
      </c>
      <c r="M1979" t="b">
        <f>VLOOKUP(D1979, Products!A$2:F$61, 6, FALSE)</f>
        <v>1</v>
      </c>
      <c r="N1979" t="str">
        <f>VLOOKUP(D1979, Products!A$2:C$61, 3, FALSE)</f>
        <v>Sports</v>
      </c>
      <c r="O1979" t="str">
        <f>VLOOKUP(C1979, Customers!A$2:E$301, 5, FALSE)</f>
        <v>Corporate</v>
      </c>
      <c r="P1979">
        <f>VLOOKUP(C1979, Customers!A$2:C$301, 3, FALSE)</f>
        <v>54</v>
      </c>
      <c r="Q1979" t="str">
        <f>VLOOKUP(E1979, Sales_Reps!A$2:C$31, 3, FALSE)</f>
        <v>West</v>
      </c>
      <c r="R1979">
        <f>VLOOKUP(D1979, Products!A$2:D$61, 4, FALSE)</f>
        <v>2028</v>
      </c>
    </row>
    <row r="1980" spans="1:18" x14ac:dyDescent="0.3">
      <c r="A1980" s="13" t="s">
        <v>2479</v>
      </c>
      <c r="B1980" s="14">
        <v>45407</v>
      </c>
      <c r="C1980" s="13" t="s">
        <v>1350</v>
      </c>
      <c r="D1980" s="13" t="s">
        <v>167</v>
      </c>
      <c r="E1980" s="13" t="s">
        <v>303</v>
      </c>
      <c r="F1980" s="15">
        <v>2</v>
      </c>
      <c r="G1980" s="15">
        <v>2480</v>
      </c>
      <c r="H1980" s="15">
        <v>11.5</v>
      </c>
      <c r="I1980" s="15">
        <v>4389.6000000000004</v>
      </c>
      <c r="J1980" s="13" t="s">
        <v>140</v>
      </c>
      <c r="K1980" s="13" t="s">
        <v>112</v>
      </c>
      <c r="L1980">
        <f>IF(COUNTIF(A$2:A1980, A1980)=1, IF(COUNTIF(A$2:A$2001, A1980)&gt;1, 1, 0), 0)</f>
        <v>0</v>
      </c>
      <c r="M1980" t="b">
        <f>VLOOKUP(D1980, Products!A$2:F$61, 6, FALSE)</f>
        <v>1</v>
      </c>
      <c r="N1980" t="str">
        <f>VLOOKUP(D1980, Products!A$2:C$61, 3, FALSE)</f>
        <v>Apparel</v>
      </c>
      <c r="O1980" t="str">
        <f>VLOOKUP(C1980, Customers!A$2:E$301, 5, FALSE)</f>
        <v>Retail</v>
      </c>
      <c r="P1980">
        <f>VLOOKUP(C1980, Customers!A$2:C$301, 3, FALSE)</f>
        <v>38</v>
      </c>
      <c r="Q1980" t="str">
        <f>VLOOKUP(E1980, Sales_Reps!A$2:C$31, 3, FALSE)</f>
        <v>East</v>
      </c>
      <c r="R1980">
        <f>VLOOKUP(D1980, Products!A$2:D$61, 4, FALSE)</f>
        <v>1173</v>
      </c>
    </row>
    <row r="1981" spans="1:18" x14ac:dyDescent="0.3">
      <c r="A1981" s="13" t="s">
        <v>2480</v>
      </c>
      <c r="B1981" s="14">
        <v>45635</v>
      </c>
      <c r="C1981" s="13" t="s">
        <v>1006</v>
      </c>
      <c r="D1981" s="13" t="s">
        <v>295</v>
      </c>
      <c r="E1981" s="13" t="s">
        <v>103</v>
      </c>
      <c r="F1981" s="15">
        <v>10</v>
      </c>
      <c r="G1981" s="15">
        <v>2030</v>
      </c>
      <c r="H1981" s="15">
        <v>29.2</v>
      </c>
      <c r="I1981" s="15">
        <v>14372.4</v>
      </c>
      <c r="J1981" s="13" t="s">
        <v>87</v>
      </c>
      <c r="K1981" s="13" t="s">
        <v>117</v>
      </c>
      <c r="L1981">
        <f>IF(COUNTIF(A$2:A1981, A1981)=1, IF(COUNTIF(A$2:A$2001, A1981)&gt;1, 1, 0), 0)</f>
        <v>0</v>
      </c>
      <c r="M1981" t="b">
        <f>VLOOKUP(D1981, Products!A$2:F$61, 6, FALSE)</f>
        <v>1</v>
      </c>
      <c r="N1981" t="str">
        <f>VLOOKUP(D1981, Products!A$2:C$61, 3, FALSE)</f>
        <v>Home</v>
      </c>
      <c r="O1981" t="str">
        <f>VLOOKUP(C1981, Customers!A$2:E$301, 5, FALSE)</f>
        <v>SMB</v>
      </c>
      <c r="P1981">
        <f>VLOOKUP(C1981, Customers!A$2:C$301, 3, FALSE)</f>
        <v>44</v>
      </c>
      <c r="Q1981" t="str">
        <f>VLOOKUP(E1981, Sales_Reps!A$2:C$31, 3, FALSE)</f>
        <v>North</v>
      </c>
      <c r="R1981">
        <f>VLOOKUP(D1981, Products!A$2:D$61, 4, FALSE)</f>
        <v>1143</v>
      </c>
    </row>
    <row r="1982" spans="1:18" x14ac:dyDescent="0.3">
      <c r="A1982" s="13" t="s">
        <v>2481</v>
      </c>
      <c r="B1982" s="14">
        <v>45489</v>
      </c>
      <c r="C1982" s="13" t="s">
        <v>194</v>
      </c>
      <c r="D1982" s="13" t="s">
        <v>157</v>
      </c>
      <c r="E1982" s="13" t="s">
        <v>325</v>
      </c>
      <c r="F1982" s="15">
        <v>6</v>
      </c>
      <c r="G1982" s="15">
        <v>3450</v>
      </c>
      <c r="H1982" s="15">
        <v>3.5</v>
      </c>
      <c r="I1982" s="15">
        <v>19975.5</v>
      </c>
      <c r="J1982" s="13" t="s">
        <v>144</v>
      </c>
      <c r="K1982" s="13" t="s">
        <v>88</v>
      </c>
      <c r="L1982">
        <f>IF(COUNTIF(A$2:A1982, A1982)=1, IF(COUNTIF(A$2:A$2001, A1982)&gt;1, 1, 0), 0)</f>
        <v>0</v>
      </c>
      <c r="M1982" t="b">
        <f>VLOOKUP(D1982, Products!A$2:F$61, 6, FALSE)</f>
        <v>1</v>
      </c>
      <c r="N1982" t="str">
        <f>VLOOKUP(D1982, Products!A$2:C$61, 3, FALSE)</f>
        <v>Beauty</v>
      </c>
      <c r="O1982" t="str">
        <f>VLOOKUP(C1982, Customers!A$2:E$301, 5, FALSE)</f>
        <v>SMB</v>
      </c>
      <c r="P1982">
        <f>VLOOKUP(C1982, Customers!A$2:C$301, 3, FALSE)</f>
        <v>44</v>
      </c>
      <c r="Q1982" t="str">
        <f>VLOOKUP(E1982, Sales_Reps!A$2:C$31, 3, FALSE)</f>
        <v>South</v>
      </c>
      <c r="R1982">
        <f>VLOOKUP(D1982, Products!A$2:D$61, 4, FALSE)</f>
        <v>2420</v>
      </c>
    </row>
    <row r="1983" spans="1:18" x14ac:dyDescent="0.3">
      <c r="A1983" s="13" t="s">
        <v>2482</v>
      </c>
      <c r="B1983" s="14">
        <v>45356</v>
      </c>
      <c r="C1983" s="13" t="s">
        <v>602</v>
      </c>
      <c r="D1983" s="13" t="s">
        <v>120</v>
      </c>
      <c r="E1983" s="13" t="s">
        <v>273</v>
      </c>
      <c r="F1983" s="15">
        <v>10</v>
      </c>
      <c r="G1983" s="15">
        <v>1430</v>
      </c>
      <c r="H1983" s="15">
        <v>3.5</v>
      </c>
      <c r="I1983" s="15">
        <v>13799.5</v>
      </c>
      <c r="J1983" s="13" t="s">
        <v>87</v>
      </c>
      <c r="K1983" s="13" t="s">
        <v>94</v>
      </c>
      <c r="L1983">
        <f>IF(COUNTIF(A$2:A1983, A1983)=1, IF(COUNTIF(A$2:A$2001, A1983)&gt;1, 1, 0), 0)</f>
        <v>0</v>
      </c>
      <c r="M1983" t="b">
        <f>VLOOKUP(D1983, Products!A$2:F$61, 6, FALSE)</f>
        <v>1</v>
      </c>
      <c r="N1983" t="str">
        <f>VLOOKUP(D1983, Products!A$2:C$61, 3, FALSE)</f>
        <v>Electronics</v>
      </c>
      <c r="O1983" t="str">
        <f>VLOOKUP(C1983, Customers!A$2:E$301, 5, FALSE)</f>
        <v>Retail</v>
      </c>
      <c r="P1983">
        <f>VLOOKUP(C1983, Customers!A$2:C$301, 3, FALSE)</f>
        <v>61</v>
      </c>
      <c r="Q1983" t="str">
        <f>VLOOKUP(E1983, Sales_Reps!A$2:C$31, 3, FALSE)</f>
        <v>South</v>
      </c>
      <c r="R1983">
        <f>VLOOKUP(D1983, Products!A$2:D$61, 4, FALSE)</f>
        <v>861</v>
      </c>
    </row>
    <row r="1984" spans="1:18" x14ac:dyDescent="0.3">
      <c r="A1984" s="13" t="s">
        <v>2483</v>
      </c>
      <c r="B1984" s="14">
        <v>45422</v>
      </c>
      <c r="C1984" s="13" t="s">
        <v>585</v>
      </c>
      <c r="D1984" s="13" t="s">
        <v>91</v>
      </c>
      <c r="E1984" s="13" t="s">
        <v>238</v>
      </c>
      <c r="F1984" s="15">
        <v>1</v>
      </c>
      <c r="G1984" s="15">
        <v>820</v>
      </c>
      <c r="H1984" s="15">
        <v>14.5</v>
      </c>
      <c r="I1984" s="15">
        <v>701.1</v>
      </c>
      <c r="J1984" s="13" t="s">
        <v>140</v>
      </c>
      <c r="K1984" s="13" t="s">
        <v>94</v>
      </c>
      <c r="L1984">
        <f>IF(COUNTIF(A$2:A1984, A1984)=1, IF(COUNTIF(A$2:A$2001, A1984)&gt;1, 1, 0), 0)</f>
        <v>0</v>
      </c>
      <c r="M1984" t="b">
        <f>VLOOKUP(D1984, Products!A$2:F$61, 6, FALSE)</f>
        <v>1</v>
      </c>
      <c r="N1984" t="str">
        <f>VLOOKUP(D1984, Products!A$2:C$61, 3, FALSE)</f>
        <v>Apparel</v>
      </c>
      <c r="O1984" t="str">
        <f>VLOOKUP(C1984, Customers!A$2:E$301, 5, FALSE)</f>
        <v>Retail</v>
      </c>
      <c r="P1984">
        <f>VLOOKUP(C1984, Customers!A$2:C$301, 3, FALSE)</f>
        <v>26</v>
      </c>
      <c r="Q1984" t="str">
        <f>VLOOKUP(E1984, Sales_Reps!A$2:C$31, 3, FALSE)</f>
        <v>East</v>
      </c>
      <c r="R1984">
        <f>VLOOKUP(D1984, Products!A$2:D$61, 4, FALSE)</f>
        <v>391</v>
      </c>
    </row>
    <row r="1985" spans="1:18" x14ac:dyDescent="0.3">
      <c r="A1985" s="13" t="s">
        <v>2484</v>
      </c>
      <c r="B1985" s="14">
        <v>45333</v>
      </c>
      <c r="C1985" s="13" t="s">
        <v>1038</v>
      </c>
      <c r="D1985" s="13" t="s">
        <v>184</v>
      </c>
      <c r="E1985" s="13" t="s">
        <v>154</v>
      </c>
      <c r="F1985" s="15">
        <v>5</v>
      </c>
      <c r="G1985" s="15">
        <v>4880</v>
      </c>
      <c r="H1985" s="15">
        <v>1.8</v>
      </c>
      <c r="I1985" s="15">
        <v>23960.799999999999</v>
      </c>
      <c r="J1985" s="13" t="s">
        <v>87</v>
      </c>
      <c r="K1985" s="13" t="s">
        <v>117</v>
      </c>
      <c r="L1985">
        <f>IF(COUNTIF(A$2:A1985, A1985)=1, IF(COUNTIF(A$2:A$2001, A1985)&gt;1, 1, 0), 0)</f>
        <v>0</v>
      </c>
      <c r="M1985" t="b">
        <f>VLOOKUP(D1985, Products!A$2:F$61, 6, FALSE)</f>
        <v>1</v>
      </c>
      <c r="N1985" t="str">
        <f>VLOOKUP(D1985, Products!A$2:C$61, 3, FALSE)</f>
        <v>Beauty</v>
      </c>
      <c r="O1985" t="str">
        <f>VLOOKUP(C1985, Customers!A$2:E$301, 5, FALSE)</f>
        <v>Corporate</v>
      </c>
      <c r="P1985">
        <f>VLOOKUP(C1985, Customers!A$2:C$301, 3, FALSE)</f>
        <v>55</v>
      </c>
      <c r="Q1985" t="str">
        <f>VLOOKUP(E1985, Sales_Reps!A$2:C$31, 3, FALSE)</f>
        <v>East</v>
      </c>
      <c r="R1985">
        <f>VLOOKUP(D1985, Products!A$2:D$61, 4, FALSE)</f>
        <v>2768</v>
      </c>
    </row>
    <row r="1986" spans="1:18" x14ac:dyDescent="0.3">
      <c r="A1986" s="13" t="s">
        <v>2485</v>
      </c>
      <c r="B1986" s="14">
        <v>45385</v>
      </c>
      <c r="C1986" s="13" t="s">
        <v>109</v>
      </c>
      <c r="D1986" s="13" t="s">
        <v>179</v>
      </c>
      <c r="E1986" s="13" t="s">
        <v>346</v>
      </c>
      <c r="F1986" s="15">
        <v>8</v>
      </c>
      <c r="G1986" s="15">
        <v>3350</v>
      </c>
      <c r="H1986" s="15">
        <v>26.3</v>
      </c>
      <c r="I1986" s="15">
        <v>19751.599999999999</v>
      </c>
      <c r="J1986" s="13" t="s">
        <v>140</v>
      </c>
      <c r="K1986" s="13" t="s">
        <v>112</v>
      </c>
      <c r="L1986">
        <f>IF(COUNTIF(A$2:A1986, A1986)=1, IF(COUNTIF(A$2:A$2001, A1986)&gt;1, 1, 0), 0)</f>
        <v>0</v>
      </c>
      <c r="M1986" t="b">
        <f>VLOOKUP(D1986, Products!A$2:F$61, 6, FALSE)</f>
        <v>1</v>
      </c>
      <c r="N1986" t="str">
        <f>VLOOKUP(D1986, Products!A$2:C$61, 3, FALSE)</f>
        <v>Beauty</v>
      </c>
      <c r="O1986" t="str">
        <f>VLOOKUP(C1986, Customers!A$2:E$301, 5, FALSE)</f>
        <v>Retail</v>
      </c>
      <c r="P1986">
        <f>VLOOKUP(C1986, Customers!A$2:C$301, 3, FALSE)</f>
        <v>36</v>
      </c>
      <c r="Q1986" t="str">
        <f>VLOOKUP(E1986, Sales_Reps!A$2:C$31, 3, FALSE)</f>
        <v>South</v>
      </c>
      <c r="R1986">
        <f>VLOOKUP(D1986, Products!A$2:D$61, 4, FALSE)</f>
        <v>1728</v>
      </c>
    </row>
    <row r="1987" spans="1:18" x14ac:dyDescent="0.3">
      <c r="A1987" s="13" t="s">
        <v>2486</v>
      </c>
      <c r="B1987" s="14">
        <v>45298</v>
      </c>
      <c r="C1987" s="13" t="s">
        <v>166</v>
      </c>
      <c r="D1987" s="13" t="s">
        <v>167</v>
      </c>
      <c r="E1987" s="13" t="s">
        <v>285</v>
      </c>
      <c r="F1987" s="15">
        <v>9</v>
      </c>
      <c r="G1987" s="15">
        <v>2480</v>
      </c>
      <c r="H1987" s="15">
        <v>24.3</v>
      </c>
      <c r="I1987" s="15">
        <v>16896.240000000002</v>
      </c>
      <c r="J1987" s="13" t="s">
        <v>87</v>
      </c>
      <c r="K1987" s="13" t="s">
        <v>133</v>
      </c>
      <c r="L1987">
        <f>IF(COUNTIF(A$2:A1987, A1987)=1, IF(COUNTIF(A$2:A$2001, A1987)&gt;1, 1, 0), 0)</f>
        <v>0</v>
      </c>
      <c r="M1987" t="b">
        <f>VLOOKUP(D1987, Products!A$2:F$61, 6, FALSE)</f>
        <v>1</v>
      </c>
      <c r="N1987" t="str">
        <f>VLOOKUP(D1987, Products!A$2:C$61, 3, FALSE)</f>
        <v>Apparel</v>
      </c>
      <c r="O1987" t="str">
        <f>VLOOKUP(C1987, Customers!A$2:E$301, 5, FALSE)</f>
        <v>Retail</v>
      </c>
      <c r="P1987">
        <f>VLOOKUP(C1987, Customers!A$2:C$301, 3, FALSE)</f>
        <v>32</v>
      </c>
      <c r="Q1987" t="str">
        <f>VLOOKUP(E1987, Sales_Reps!A$2:C$31, 3, FALSE)</f>
        <v>East</v>
      </c>
      <c r="R1987">
        <f>VLOOKUP(D1987, Products!A$2:D$61, 4, FALSE)</f>
        <v>1173</v>
      </c>
    </row>
    <row r="1988" spans="1:18" x14ac:dyDescent="0.3">
      <c r="A1988" s="13" t="s">
        <v>2487</v>
      </c>
      <c r="B1988" s="14">
        <v>45500</v>
      </c>
      <c r="C1988" s="13" t="s">
        <v>231</v>
      </c>
      <c r="D1988" s="13" t="s">
        <v>270</v>
      </c>
      <c r="E1988" s="13" t="s">
        <v>116</v>
      </c>
      <c r="F1988" s="15">
        <v>9</v>
      </c>
      <c r="G1988" s="15">
        <v>4610</v>
      </c>
      <c r="H1988" s="15">
        <v>10</v>
      </c>
      <c r="I1988" s="15">
        <v>37341</v>
      </c>
      <c r="J1988" s="13" t="s">
        <v>87</v>
      </c>
      <c r="K1988" s="13" t="s">
        <v>117</v>
      </c>
      <c r="L1988">
        <f>IF(COUNTIF(A$2:A1988, A1988)=1, IF(COUNTIF(A$2:A$2001, A1988)&gt;1, 1, 0), 0)</f>
        <v>0</v>
      </c>
      <c r="M1988" t="b">
        <f>VLOOKUP(D1988, Products!A$2:F$61, 6, FALSE)</f>
        <v>1</v>
      </c>
      <c r="N1988" t="str">
        <f>VLOOKUP(D1988, Products!A$2:C$61, 3, FALSE)</f>
        <v>Home</v>
      </c>
      <c r="O1988" t="str">
        <f>VLOOKUP(C1988, Customers!A$2:E$301, 5, FALSE)</f>
        <v>SMB</v>
      </c>
      <c r="P1988">
        <f>VLOOKUP(C1988, Customers!A$2:C$301, 3, FALSE)</f>
        <v>64</v>
      </c>
      <c r="Q1988" t="str">
        <f>VLOOKUP(E1988, Sales_Reps!A$2:C$31, 3, FALSE)</f>
        <v>West</v>
      </c>
      <c r="R1988">
        <f>VLOOKUP(D1988, Products!A$2:D$61, 4, FALSE)</f>
        <v>1850</v>
      </c>
    </row>
    <row r="1989" spans="1:18" x14ac:dyDescent="0.3">
      <c r="A1989" s="13" t="s">
        <v>2488</v>
      </c>
      <c r="B1989" s="14">
        <v>45409</v>
      </c>
      <c r="C1989" s="13" t="s">
        <v>1051</v>
      </c>
      <c r="D1989" s="13" t="s">
        <v>234</v>
      </c>
      <c r="E1989" s="13" t="s">
        <v>139</v>
      </c>
      <c r="F1989" s="15">
        <v>1</v>
      </c>
      <c r="G1989" s="15">
        <v>3780</v>
      </c>
      <c r="H1989" s="15">
        <v>2.2000000000000002</v>
      </c>
      <c r="I1989" s="15">
        <v>3696.84</v>
      </c>
      <c r="J1989" s="13" t="s">
        <v>87</v>
      </c>
      <c r="K1989" s="13" t="s">
        <v>112</v>
      </c>
      <c r="L1989">
        <f>IF(COUNTIF(A$2:A1989, A1989)=1, IF(COUNTIF(A$2:A$2001, A1989)&gt;1, 1, 0), 0)</f>
        <v>0</v>
      </c>
      <c r="M1989" t="b">
        <f>VLOOKUP(D1989, Products!A$2:F$61, 6, FALSE)</f>
        <v>1</v>
      </c>
      <c r="N1989" t="str">
        <f>VLOOKUP(D1989, Products!A$2:C$61, 3, FALSE)</f>
        <v>Grocery</v>
      </c>
      <c r="O1989" t="str">
        <f>VLOOKUP(C1989, Customers!A$2:E$301, 5, FALSE)</f>
        <v>Retail</v>
      </c>
      <c r="P1989">
        <f>VLOOKUP(C1989, Customers!A$2:C$301, 3, FALSE)</f>
        <v>54</v>
      </c>
      <c r="Q1989" t="str">
        <f>VLOOKUP(E1989, Sales_Reps!A$2:C$31, 3, FALSE)</f>
        <v>North</v>
      </c>
      <c r="R1989">
        <f>VLOOKUP(D1989, Products!A$2:D$61, 4, FALSE)</f>
        <v>2436</v>
      </c>
    </row>
    <row r="1990" spans="1:18" x14ac:dyDescent="0.3">
      <c r="A1990" s="13" t="s">
        <v>2489</v>
      </c>
      <c r="B1990" s="14">
        <v>45401</v>
      </c>
      <c r="C1990" s="13" t="s">
        <v>705</v>
      </c>
      <c r="D1990" s="13" t="s">
        <v>276</v>
      </c>
      <c r="E1990" s="13" t="s">
        <v>201</v>
      </c>
      <c r="F1990" s="15">
        <v>3</v>
      </c>
      <c r="G1990" s="15">
        <v>3020</v>
      </c>
      <c r="H1990" s="15">
        <v>21.4</v>
      </c>
      <c r="I1990" s="15">
        <v>7121.16</v>
      </c>
      <c r="J1990" s="13" t="s">
        <v>140</v>
      </c>
      <c r="K1990" s="13" t="s">
        <v>99</v>
      </c>
      <c r="L1990">
        <f>IF(COUNTIF(A$2:A1990, A1990)=1, IF(COUNTIF(A$2:A$2001, A1990)&gt;1, 1, 0), 0)</f>
        <v>0</v>
      </c>
      <c r="M1990" t="b">
        <f>VLOOKUP(D1990, Products!A$2:F$61, 6, FALSE)</f>
        <v>1</v>
      </c>
      <c r="N1990" t="str">
        <f>VLOOKUP(D1990, Products!A$2:C$61, 3, FALSE)</f>
        <v>Beauty</v>
      </c>
      <c r="O1990" t="str">
        <f>VLOOKUP(C1990, Customers!A$2:E$301, 5, FALSE)</f>
        <v>Retail</v>
      </c>
      <c r="P1990">
        <f>VLOOKUP(C1990, Customers!A$2:C$301, 3, FALSE)</f>
        <v>53</v>
      </c>
      <c r="Q1990" t="str">
        <f>VLOOKUP(E1990, Sales_Reps!A$2:C$31, 3, FALSE)</f>
        <v>West</v>
      </c>
      <c r="R1990">
        <f>VLOOKUP(D1990, Products!A$2:D$61, 4, FALSE)</f>
        <v>1626</v>
      </c>
    </row>
    <row r="1991" spans="1:18" x14ac:dyDescent="0.3">
      <c r="A1991" s="13" t="s">
        <v>2490</v>
      </c>
      <c r="B1991" s="14">
        <v>45645</v>
      </c>
      <c r="C1991" s="13" t="s">
        <v>166</v>
      </c>
      <c r="D1991" s="13" t="s">
        <v>502</v>
      </c>
      <c r="E1991" s="13" t="s">
        <v>103</v>
      </c>
      <c r="F1991" s="15">
        <v>10</v>
      </c>
      <c r="G1991" s="15">
        <v>1090</v>
      </c>
      <c r="H1991" s="15">
        <v>29.2</v>
      </c>
      <c r="I1991" s="15">
        <v>7717.2</v>
      </c>
      <c r="J1991" s="13" t="s">
        <v>140</v>
      </c>
      <c r="K1991" s="13" t="s">
        <v>133</v>
      </c>
      <c r="L1991">
        <f>IF(COUNTIF(A$2:A1991, A1991)=1, IF(COUNTIF(A$2:A$2001, A1991)&gt;1, 1, 0), 0)</f>
        <v>0</v>
      </c>
      <c r="M1991" t="b">
        <f>VLOOKUP(D1991, Products!A$2:F$61, 6, FALSE)</f>
        <v>1</v>
      </c>
      <c r="N1991" t="str">
        <f>VLOOKUP(D1991, Products!A$2:C$61, 3, FALSE)</f>
        <v>Home</v>
      </c>
      <c r="O1991" t="str">
        <f>VLOOKUP(C1991, Customers!A$2:E$301, 5, FALSE)</f>
        <v>Retail</v>
      </c>
      <c r="P1991">
        <f>VLOOKUP(C1991, Customers!A$2:C$301, 3, FALSE)</f>
        <v>32</v>
      </c>
      <c r="Q1991" t="str">
        <f>VLOOKUP(E1991, Sales_Reps!A$2:C$31, 3, FALSE)</f>
        <v>North</v>
      </c>
      <c r="R1991">
        <f>VLOOKUP(D1991, Products!A$2:D$61, 4, FALSE)</f>
        <v>464</v>
      </c>
    </row>
    <row r="1992" spans="1:18" x14ac:dyDescent="0.3">
      <c r="A1992" s="13" t="s">
        <v>2491</v>
      </c>
      <c r="B1992" s="14">
        <v>45616</v>
      </c>
      <c r="C1992" s="13" t="s">
        <v>1104</v>
      </c>
      <c r="D1992" s="13" t="s">
        <v>191</v>
      </c>
      <c r="E1992" s="13" t="s">
        <v>252</v>
      </c>
      <c r="F1992" s="15">
        <v>5</v>
      </c>
      <c r="G1992" s="15">
        <v>5100</v>
      </c>
      <c r="H1992" s="15">
        <v>28.4</v>
      </c>
      <c r="I1992" s="15">
        <v>18258</v>
      </c>
      <c r="J1992" s="13" t="s">
        <v>87</v>
      </c>
      <c r="K1992" s="13" t="s">
        <v>117</v>
      </c>
      <c r="L1992">
        <f>IF(COUNTIF(A$2:A1992, A1992)=1, IF(COUNTIF(A$2:A$2001, A1992)&gt;1, 1, 0), 0)</f>
        <v>0</v>
      </c>
      <c r="M1992" t="b">
        <f>VLOOKUP(D1992, Products!A$2:F$61, 6, FALSE)</f>
        <v>1</v>
      </c>
      <c r="N1992" t="str">
        <f>VLOOKUP(D1992, Products!A$2:C$61, 3, FALSE)</f>
        <v>Beauty</v>
      </c>
      <c r="O1992" t="str">
        <f>VLOOKUP(C1992, Customers!A$2:E$301, 5, FALSE)</f>
        <v>Corporate</v>
      </c>
      <c r="P1992">
        <f>VLOOKUP(C1992, Customers!A$2:C$301, 3, FALSE)</f>
        <v>31</v>
      </c>
      <c r="Q1992" t="str">
        <f>VLOOKUP(E1992, Sales_Reps!A$2:C$31, 3, FALSE)</f>
        <v>South</v>
      </c>
      <c r="R1992">
        <f>VLOOKUP(D1992, Products!A$2:D$61, 4, FALSE)</f>
        <v>2237</v>
      </c>
    </row>
    <row r="1993" spans="1:18" x14ac:dyDescent="0.3">
      <c r="A1993" s="13" t="s">
        <v>2492</v>
      </c>
      <c r="B1993" s="14">
        <v>45352</v>
      </c>
      <c r="C1993" s="13" t="s">
        <v>582</v>
      </c>
      <c r="D1993" s="13" t="s">
        <v>184</v>
      </c>
      <c r="E1993" s="13" t="s">
        <v>107</v>
      </c>
      <c r="F1993" s="15">
        <v>6</v>
      </c>
      <c r="G1993" s="15">
        <v>4880</v>
      </c>
      <c r="H1993" s="15">
        <v>16.8</v>
      </c>
      <c r="I1993" s="15">
        <v>24360.959999999999</v>
      </c>
      <c r="J1993" s="13" t="s">
        <v>87</v>
      </c>
      <c r="K1993" s="13" t="s">
        <v>94</v>
      </c>
      <c r="L1993">
        <f>IF(COUNTIF(A$2:A1993, A1993)=1, IF(COUNTIF(A$2:A$2001, A1993)&gt;1, 1, 0), 0)</f>
        <v>0</v>
      </c>
      <c r="M1993" t="b">
        <f>VLOOKUP(D1993, Products!A$2:F$61, 6, FALSE)</f>
        <v>1</v>
      </c>
      <c r="N1993" t="str">
        <f>VLOOKUP(D1993, Products!A$2:C$61, 3, FALSE)</f>
        <v>Beauty</v>
      </c>
      <c r="O1993" t="str">
        <f>VLOOKUP(C1993, Customers!A$2:E$301, 5, FALSE)</f>
        <v>SMB</v>
      </c>
      <c r="P1993">
        <f>VLOOKUP(C1993, Customers!A$2:C$301, 3, FALSE)</f>
        <v>59</v>
      </c>
      <c r="Q1993" t="str">
        <f>VLOOKUP(E1993, Sales_Reps!A$2:C$31, 3, FALSE)</f>
        <v>North</v>
      </c>
      <c r="R1993">
        <f>VLOOKUP(D1993, Products!A$2:D$61, 4, FALSE)</f>
        <v>2768</v>
      </c>
    </row>
    <row r="1994" spans="1:18" x14ac:dyDescent="0.3">
      <c r="A1994" s="13" t="s">
        <v>2493</v>
      </c>
      <c r="B1994" s="14">
        <v>45451</v>
      </c>
      <c r="C1994" s="13" t="s">
        <v>697</v>
      </c>
      <c r="D1994" s="13" t="s">
        <v>364</v>
      </c>
      <c r="E1994" s="13" t="s">
        <v>343</v>
      </c>
      <c r="F1994" s="15">
        <v>1</v>
      </c>
      <c r="G1994" s="15">
        <v>5330</v>
      </c>
      <c r="H1994" s="15">
        <v>27.5</v>
      </c>
      <c r="I1994" s="15">
        <v>3864.25</v>
      </c>
      <c r="J1994" s="13" t="s">
        <v>87</v>
      </c>
      <c r="K1994" s="13" t="s">
        <v>133</v>
      </c>
      <c r="L1994">
        <f>IF(COUNTIF(A$2:A1994, A1994)=1, IF(COUNTIF(A$2:A$2001, A1994)&gt;1, 1, 0), 0)</f>
        <v>0</v>
      </c>
      <c r="M1994" t="b">
        <f>VLOOKUP(D1994, Products!A$2:F$61, 6, FALSE)</f>
        <v>1</v>
      </c>
      <c r="N1994" t="str">
        <f>VLOOKUP(D1994, Products!A$2:C$61, 3, FALSE)</f>
        <v>Electronics</v>
      </c>
      <c r="O1994" t="str">
        <f>VLOOKUP(C1994, Customers!A$2:E$301, 5, FALSE)</f>
        <v>Retail</v>
      </c>
      <c r="P1994">
        <f>VLOOKUP(C1994, Customers!A$2:C$301, 3, FALSE)</f>
        <v>65</v>
      </c>
      <c r="Q1994" t="str">
        <f>VLOOKUP(E1994, Sales_Reps!A$2:C$31, 3, FALSE)</f>
        <v>West</v>
      </c>
      <c r="R1994">
        <f>VLOOKUP(D1994, Products!A$2:D$61, 4, FALSE)</f>
        <v>2405</v>
      </c>
    </row>
    <row r="1995" spans="1:18" x14ac:dyDescent="0.3">
      <c r="A1995" s="13" t="s">
        <v>2494</v>
      </c>
      <c r="B1995" s="14">
        <v>45477</v>
      </c>
      <c r="C1995" s="13" t="s">
        <v>142</v>
      </c>
      <c r="D1995" s="13" t="s">
        <v>295</v>
      </c>
      <c r="E1995" s="13" t="s">
        <v>229</v>
      </c>
      <c r="F1995" s="15">
        <v>7</v>
      </c>
      <c r="G1995" s="15">
        <v>2030</v>
      </c>
      <c r="H1995" s="15">
        <v>5.3</v>
      </c>
      <c r="I1995" s="15">
        <v>13456.87</v>
      </c>
      <c r="J1995" s="13" t="s">
        <v>140</v>
      </c>
      <c r="K1995" s="13" t="s">
        <v>88</v>
      </c>
      <c r="L1995">
        <f>IF(COUNTIF(A$2:A1995, A1995)=1, IF(COUNTIF(A$2:A$2001, A1995)&gt;1, 1, 0), 0)</f>
        <v>0</v>
      </c>
      <c r="M1995" t="b">
        <f>VLOOKUP(D1995, Products!A$2:F$61, 6, FALSE)</f>
        <v>1</v>
      </c>
      <c r="N1995" t="str">
        <f>VLOOKUP(D1995, Products!A$2:C$61, 3, FALSE)</f>
        <v>Home</v>
      </c>
      <c r="O1995" t="str">
        <f>VLOOKUP(C1995, Customers!A$2:E$301, 5, FALSE)</f>
        <v>SMB</v>
      </c>
      <c r="P1995">
        <f>VLOOKUP(C1995, Customers!A$2:C$301, 3, FALSE)</f>
        <v>39</v>
      </c>
      <c r="Q1995" t="str">
        <f>VLOOKUP(E1995, Sales_Reps!A$2:C$31, 3, FALSE)</f>
        <v>West</v>
      </c>
      <c r="R1995">
        <f>VLOOKUP(D1995, Products!A$2:D$61, 4, FALSE)</f>
        <v>1143</v>
      </c>
    </row>
    <row r="1996" spans="1:18" x14ac:dyDescent="0.3">
      <c r="A1996" s="13" t="s">
        <v>2495</v>
      </c>
      <c r="B1996" s="14">
        <v>45360</v>
      </c>
      <c r="C1996" s="13" t="s">
        <v>123</v>
      </c>
      <c r="D1996" s="13" t="s">
        <v>179</v>
      </c>
      <c r="E1996" s="13" t="s">
        <v>116</v>
      </c>
      <c r="F1996" s="15">
        <v>7</v>
      </c>
      <c r="G1996" s="15">
        <v>3350</v>
      </c>
      <c r="H1996" s="15">
        <v>0.4</v>
      </c>
      <c r="I1996" s="15">
        <v>23356.2</v>
      </c>
      <c r="J1996" s="13" t="s">
        <v>87</v>
      </c>
      <c r="K1996" s="13" t="s">
        <v>117</v>
      </c>
      <c r="L1996">
        <f>IF(COUNTIF(A$2:A1996, A1996)=1, IF(COUNTIF(A$2:A$2001, A1996)&gt;1, 1, 0), 0)</f>
        <v>0</v>
      </c>
      <c r="M1996" t="b">
        <f>VLOOKUP(D1996, Products!A$2:F$61, 6, FALSE)</f>
        <v>1</v>
      </c>
      <c r="N1996" t="str">
        <f>VLOOKUP(D1996, Products!A$2:C$61, 3, FALSE)</f>
        <v>Beauty</v>
      </c>
      <c r="O1996" t="str">
        <f>VLOOKUP(C1996, Customers!A$2:E$301, 5, FALSE)</f>
        <v>Retail</v>
      </c>
      <c r="P1996">
        <f>VLOOKUP(C1996, Customers!A$2:C$301, 3, FALSE)</f>
        <v>42</v>
      </c>
      <c r="Q1996" t="str">
        <f>VLOOKUP(E1996, Sales_Reps!A$2:C$31, 3, FALSE)</f>
        <v>West</v>
      </c>
      <c r="R1996">
        <f>VLOOKUP(D1996, Products!A$2:D$61, 4, FALSE)</f>
        <v>1728</v>
      </c>
    </row>
    <row r="1997" spans="1:18" x14ac:dyDescent="0.3">
      <c r="A1997" s="13" t="s">
        <v>2496</v>
      </c>
      <c r="B1997" s="14">
        <v>45292</v>
      </c>
      <c r="C1997" s="13" t="s">
        <v>163</v>
      </c>
      <c r="D1997" s="13" t="s">
        <v>226</v>
      </c>
      <c r="E1997" s="13" t="s">
        <v>188</v>
      </c>
      <c r="F1997" s="15">
        <v>6</v>
      </c>
      <c r="G1997" s="15">
        <v>3730</v>
      </c>
      <c r="H1997" s="15">
        <v>13.8</v>
      </c>
      <c r="I1997" s="15">
        <v>19291.560000000001</v>
      </c>
      <c r="J1997" s="13" t="s">
        <v>87</v>
      </c>
      <c r="K1997" s="13" t="s">
        <v>94</v>
      </c>
      <c r="L1997">
        <f>IF(COUNTIF(A$2:A1997, A1997)=1, IF(COUNTIF(A$2:A$2001, A1997)&gt;1, 1, 0), 0)</f>
        <v>0</v>
      </c>
      <c r="M1997" t="b">
        <f>VLOOKUP(D1997, Products!A$2:F$61, 6, FALSE)</f>
        <v>1</v>
      </c>
      <c r="N1997" t="str">
        <f>VLOOKUP(D1997, Products!A$2:C$61, 3, FALSE)</f>
        <v>Home</v>
      </c>
      <c r="O1997" t="str">
        <f>VLOOKUP(C1997, Customers!A$2:E$301, 5, FALSE)</f>
        <v>Retail</v>
      </c>
      <c r="P1997">
        <f>VLOOKUP(C1997, Customers!A$2:C$301, 3, FALSE)</f>
        <v>49</v>
      </c>
      <c r="Q1997" t="str">
        <f>VLOOKUP(E1997, Sales_Reps!A$2:C$31, 3, FALSE)</f>
        <v>South</v>
      </c>
      <c r="R1997">
        <f>VLOOKUP(D1997, Products!A$2:D$61, 4, FALSE)</f>
        <v>2135</v>
      </c>
    </row>
    <row r="1998" spans="1:18" x14ac:dyDescent="0.3">
      <c r="A1998" s="13" t="s">
        <v>2497</v>
      </c>
      <c r="B1998" s="14">
        <v>45585</v>
      </c>
      <c r="C1998" s="13" t="s">
        <v>563</v>
      </c>
      <c r="D1998" s="13" t="s">
        <v>408</v>
      </c>
      <c r="E1998" s="13" t="s">
        <v>238</v>
      </c>
      <c r="F1998" s="15">
        <v>6</v>
      </c>
      <c r="G1998" s="15">
        <v>3970</v>
      </c>
      <c r="H1998" s="15">
        <v>5.8</v>
      </c>
      <c r="I1998" s="15">
        <v>22438.44</v>
      </c>
      <c r="J1998" s="13" t="s">
        <v>93</v>
      </c>
      <c r="K1998" s="13" t="s">
        <v>88</v>
      </c>
      <c r="L1998">
        <f>IF(COUNTIF(A$2:A1998, A1998)=1, IF(COUNTIF(A$2:A$2001, A1998)&gt;1, 1, 0), 0)</f>
        <v>0</v>
      </c>
      <c r="M1998" t="b">
        <f>VLOOKUP(D1998, Products!A$2:F$61, 6, FALSE)</f>
        <v>1</v>
      </c>
      <c r="N1998" t="str">
        <f>VLOOKUP(D1998, Products!A$2:C$61, 3, FALSE)</f>
        <v>Electronics</v>
      </c>
      <c r="O1998" t="str">
        <f>VLOOKUP(C1998, Customers!A$2:E$301, 5, FALSE)</f>
        <v>SMB</v>
      </c>
      <c r="P1998">
        <f>VLOOKUP(C1998, Customers!A$2:C$301, 3, FALSE)</f>
        <v>24</v>
      </c>
      <c r="Q1998" t="str">
        <f>VLOOKUP(E1998, Sales_Reps!A$2:C$31, 3, FALSE)</f>
        <v>East</v>
      </c>
      <c r="R1998">
        <f>VLOOKUP(D1998, Products!A$2:D$61, 4, FALSE)</f>
        <v>2865</v>
      </c>
    </row>
    <row r="1999" spans="1:18" x14ac:dyDescent="0.3">
      <c r="A1999" s="13" t="s">
        <v>2498</v>
      </c>
      <c r="B1999" s="14">
        <v>45592</v>
      </c>
      <c r="C1999" s="13" t="s">
        <v>757</v>
      </c>
      <c r="D1999" s="13" t="s">
        <v>338</v>
      </c>
      <c r="E1999" s="13" t="s">
        <v>273</v>
      </c>
      <c r="F1999" s="15">
        <v>4</v>
      </c>
      <c r="G1999" s="15">
        <v>2210</v>
      </c>
      <c r="H1999" s="15">
        <v>18.2</v>
      </c>
      <c r="I1999" s="15">
        <v>7231.12</v>
      </c>
      <c r="J1999" s="13" t="s">
        <v>93</v>
      </c>
      <c r="K1999" s="13" t="s">
        <v>117</v>
      </c>
      <c r="L1999">
        <f>IF(COUNTIF(A$2:A1999, A1999)=1, IF(COUNTIF(A$2:A$2001, A1999)&gt;1, 1, 0), 0)</f>
        <v>0</v>
      </c>
      <c r="M1999" t="b">
        <f>VLOOKUP(D1999, Products!A$2:F$61, 6, FALSE)</f>
        <v>1</v>
      </c>
      <c r="N1999" t="str">
        <f>VLOOKUP(D1999, Products!A$2:C$61, 3, FALSE)</f>
        <v>Grocery</v>
      </c>
      <c r="O1999" t="str">
        <f>VLOOKUP(C1999, Customers!A$2:E$301, 5, FALSE)</f>
        <v>Corporate</v>
      </c>
      <c r="P1999">
        <f>VLOOKUP(C1999, Customers!A$2:C$301, 3, FALSE)</f>
        <v>43</v>
      </c>
      <c r="Q1999" t="str">
        <f>VLOOKUP(E1999, Sales_Reps!A$2:C$31, 3, FALSE)</f>
        <v>South</v>
      </c>
      <c r="R1999">
        <f>VLOOKUP(D1999, Products!A$2:D$61, 4, FALSE)</f>
        <v>1010</v>
      </c>
    </row>
    <row r="2000" spans="1:18" x14ac:dyDescent="0.3">
      <c r="A2000" s="13" t="s">
        <v>2499</v>
      </c>
      <c r="B2000" s="14">
        <v>45370</v>
      </c>
      <c r="C2000" s="13" t="s">
        <v>638</v>
      </c>
      <c r="D2000" s="13" t="s">
        <v>360</v>
      </c>
      <c r="E2000" s="13" t="s">
        <v>107</v>
      </c>
      <c r="F2000" s="15">
        <v>6</v>
      </c>
      <c r="G2000" s="15">
        <v>5410</v>
      </c>
      <c r="H2000" s="15">
        <v>15.5</v>
      </c>
      <c r="I2000" s="15">
        <v>27428.7</v>
      </c>
      <c r="J2000" s="13" t="s">
        <v>87</v>
      </c>
      <c r="K2000" s="13" t="s">
        <v>99</v>
      </c>
      <c r="L2000">
        <f>IF(COUNTIF(A$2:A2000, A2000)=1, IF(COUNTIF(A$2:A$2001, A2000)&gt;1, 1, 0), 0)</f>
        <v>0</v>
      </c>
      <c r="M2000" t="b">
        <f>VLOOKUP(D2000, Products!A$2:F$61, 6, FALSE)</f>
        <v>1</v>
      </c>
      <c r="N2000" t="str">
        <f>VLOOKUP(D2000, Products!A$2:C$61, 3, FALSE)</f>
        <v>Sports</v>
      </c>
      <c r="O2000" t="str">
        <f>VLOOKUP(C2000, Customers!A$2:E$301, 5, FALSE)</f>
        <v>Retail</v>
      </c>
      <c r="P2000">
        <f>VLOOKUP(C2000, Customers!A$2:C$301, 3, FALSE)</f>
        <v>43</v>
      </c>
      <c r="Q2000" t="str">
        <f>VLOOKUP(E2000, Sales_Reps!A$2:C$31, 3, FALSE)</f>
        <v>North</v>
      </c>
      <c r="R2000">
        <f>VLOOKUP(D2000, Products!A$2:D$61, 4, FALSE)</f>
        <v>2265</v>
      </c>
    </row>
    <row r="2001" spans="1:18" x14ac:dyDescent="0.3">
      <c r="A2001" s="13" t="s">
        <v>2500</v>
      </c>
      <c r="B2001" s="14">
        <v>45325</v>
      </c>
      <c r="C2001" s="13" t="s">
        <v>635</v>
      </c>
      <c r="D2001" s="13" t="s">
        <v>443</v>
      </c>
      <c r="E2001" s="13" t="s">
        <v>154</v>
      </c>
      <c r="F2001" s="15">
        <v>6</v>
      </c>
      <c r="G2001" s="15">
        <v>5080</v>
      </c>
      <c r="H2001" s="15">
        <v>28.1</v>
      </c>
      <c r="I2001" s="15">
        <v>21915.119999999999</v>
      </c>
      <c r="J2001" s="13" t="s">
        <v>87</v>
      </c>
      <c r="K2001" s="13" t="s">
        <v>99</v>
      </c>
      <c r="L2001">
        <f>IF(COUNTIF(A$2:A2001, A2001)=1, IF(COUNTIF(A$2:A$2001, A2001)&gt;1, 1, 0), 0)</f>
        <v>0</v>
      </c>
      <c r="M2001" t="b">
        <f>VLOOKUP(D2001, Products!A$2:F$61, 6, FALSE)</f>
        <v>1</v>
      </c>
      <c r="N2001" t="str">
        <f>VLOOKUP(D2001, Products!A$2:C$61, 3, FALSE)</f>
        <v>Home</v>
      </c>
      <c r="O2001" t="str">
        <f>VLOOKUP(C2001, Customers!A$2:E$301, 5, FALSE)</f>
        <v>Retail</v>
      </c>
      <c r="P2001">
        <f>VLOOKUP(C2001, Customers!A$2:C$301, 3, FALSE)</f>
        <v>49</v>
      </c>
      <c r="Q2001" t="str">
        <f>VLOOKUP(E2001, Sales_Reps!A$2:C$31, 3, FALSE)</f>
        <v>East</v>
      </c>
      <c r="R2001">
        <f>VLOOKUP(D2001, Products!A$2:D$61, 4, FALSE)</f>
        <v>2459</v>
      </c>
    </row>
  </sheetData>
  <pageMargins left="0.75" right="0.75" top="1" bottom="1" header="0.5" footer="0.5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  <pageSetUpPr fitToPage="1"/>
  </sheetPr>
  <dimension ref="A1:F3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9" customWidth="1"/>
    <col min="3" max="3" width="5" customWidth="1"/>
    <col min="4" max="5" width="11" customWidth="1"/>
    <col min="6" max="6" width="13" customWidth="1"/>
  </cols>
  <sheetData>
    <row r="1" spans="1:6" x14ac:dyDescent="0.3">
      <c r="A1" s="5" t="s">
        <v>74</v>
      </c>
      <c r="B1" s="5" t="s">
        <v>2501</v>
      </c>
      <c r="C1" s="5" t="s">
        <v>2502</v>
      </c>
      <c r="D1" s="5" t="s">
        <v>2503</v>
      </c>
      <c r="E1" s="5" t="s">
        <v>2504</v>
      </c>
      <c r="F1" s="5" t="s">
        <v>2505</v>
      </c>
    </row>
    <row r="2" spans="1:6" x14ac:dyDescent="0.3">
      <c r="A2" s="13" t="s">
        <v>738</v>
      </c>
      <c r="B2" s="13" t="s">
        <v>2506</v>
      </c>
      <c r="C2" s="15">
        <v>36</v>
      </c>
      <c r="D2" s="13" t="s">
        <v>88</v>
      </c>
      <c r="E2" s="13" t="s">
        <v>2507</v>
      </c>
      <c r="F2" s="14">
        <v>44819</v>
      </c>
    </row>
    <row r="3" spans="1:6" x14ac:dyDescent="0.3">
      <c r="A3" s="13" t="s">
        <v>768</v>
      </c>
      <c r="B3" s="13" t="s">
        <v>2508</v>
      </c>
      <c r="C3" s="15">
        <v>42</v>
      </c>
      <c r="D3" s="13" t="s">
        <v>88</v>
      </c>
      <c r="E3" s="13" t="s">
        <v>2509</v>
      </c>
      <c r="F3" s="14">
        <v>44984</v>
      </c>
    </row>
    <row r="4" spans="1:6" x14ac:dyDescent="0.3">
      <c r="A4" s="13" t="s">
        <v>707</v>
      </c>
      <c r="B4" s="13" t="s">
        <v>2510</v>
      </c>
      <c r="C4" s="15">
        <v>33</v>
      </c>
      <c r="D4" s="13" t="s">
        <v>112</v>
      </c>
      <c r="E4" s="13" t="s">
        <v>2507</v>
      </c>
      <c r="F4" s="14">
        <v>44059</v>
      </c>
    </row>
    <row r="5" spans="1:6" x14ac:dyDescent="0.3">
      <c r="A5" s="13" t="s">
        <v>705</v>
      </c>
      <c r="B5" s="13" t="s">
        <v>2511</v>
      </c>
      <c r="C5" s="15">
        <v>53</v>
      </c>
      <c r="D5" s="13" t="s">
        <v>2512</v>
      </c>
      <c r="E5" s="13" t="s">
        <v>2507</v>
      </c>
      <c r="F5" s="14">
        <v>44054</v>
      </c>
    </row>
    <row r="6" spans="1:6" x14ac:dyDescent="0.3">
      <c r="A6" s="13" t="s">
        <v>986</v>
      </c>
      <c r="B6" s="13" t="s">
        <v>2513</v>
      </c>
      <c r="C6" s="15">
        <v>52</v>
      </c>
      <c r="D6" s="13" t="s">
        <v>94</v>
      </c>
      <c r="E6" s="13" t="s">
        <v>2509</v>
      </c>
      <c r="F6" s="14">
        <v>45037</v>
      </c>
    </row>
    <row r="7" spans="1:6" x14ac:dyDescent="0.3">
      <c r="A7" s="13" t="s">
        <v>194</v>
      </c>
      <c r="B7" s="13" t="s">
        <v>2514</v>
      </c>
      <c r="C7" s="15">
        <v>44</v>
      </c>
      <c r="D7" s="13" t="s">
        <v>88</v>
      </c>
      <c r="E7" s="13" t="s">
        <v>2515</v>
      </c>
      <c r="F7" s="14">
        <v>44302</v>
      </c>
    </row>
    <row r="8" spans="1:6" x14ac:dyDescent="0.3">
      <c r="A8" s="13" t="s">
        <v>870</v>
      </c>
      <c r="B8" s="13" t="s">
        <v>2516</v>
      </c>
      <c r="C8" s="15">
        <v>47</v>
      </c>
      <c r="D8" s="13" t="s">
        <v>117</v>
      </c>
      <c r="E8" s="13" t="s">
        <v>2507</v>
      </c>
      <c r="F8" s="14">
        <v>44498</v>
      </c>
    </row>
    <row r="9" spans="1:6" x14ac:dyDescent="0.3">
      <c r="A9" s="13" t="s">
        <v>142</v>
      </c>
      <c r="B9" s="13" t="s">
        <v>2517</v>
      </c>
      <c r="C9" s="15">
        <v>39</v>
      </c>
      <c r="D9" s="13" t="s">
        <v>88</v>
      </c>
      <c r="E9" s="13" t="s">
        <v>2515</v>
      </c>
      <c r="F9" s="14">
        <v>45162</v>
      </c>
    </row>
    <row r="10" spans="1:6" x14ac:dyDescent="0.3">
      <c r="A10" s="13" t="s">
        <v>465</v>
      </c>
      <c r="B10" s="13" t="s">
        <v>2518</v>
      </c>
      <c r="C10" s="15">
        <v>61</v>
      </c>
      <c r="D10" s="13" t="s">
        <v>112</v>
      </c>
      <c r="E10" s="13" t="s">
        <v>2507</v>
      </c>
      <c r="F10" s="14">
        <v>44343</v>
      </c>
    </row>
    <row r="11" spans="1:6" x14ac:dyDescent="0.3">
      <c r="A11" s="13" t="s">
        <v>565</v>
      </c>
      <c r="B11" s="13" t="s">
        <v>2519</v>
      </c>
      <c r="C11" s="15">
        <v>61</v>
      </c>
      <c r="D11" s="13" t="s">
        <v>112</v>
      </c>
      <c r="E11" s="13" t="s">
        <v>2515</v>
      </c>
      <c r="F11" s="14">
        <v>44975</v>
      </c>
    </row>
    <row r="12" spans="1:6" x14ac:dyDescent="0.3">
      <c r="A12" s="13" t="s">
        <v>662</v>
      </c>
      <c r="B12" s="13" t="s">
        <v>2520</v>
      </c>
      <c r="C12" s="15">
        <v>41</v>
      </c>
      <c r="D12" s="13" t="s">
        <v>94</v>
      </c>
      <c r="E12" s="13" t="s">
        <v>2509</v>
      </c>
      <c r="F12" s="14">
        <v>44821</v>
      </c>
    </row>
    <row r="13" spans="1:6" x14ac:dyDescent="0.3">
      <c r="A13" s="13" t="s">
        <v>373</v>
      </c>
      <c r="B13" s="13" t="s">
        <v>2521</v>
      </c>
      <c r="C13" s="15">
        <v>43</v>
      </c>
      <c r="D13" s="13" t="s">
        <v>88</v>
      </c>
      <c r="E13" s="13" t="s">
        <v>2507</v>
      </c>
      <c r="F13" s="14">
        <v>44718</v>
      </c>
    </row>
    <row r="14" spans="1:6" x14ac:dyDescent="0.3">
      <c r="A14" s="13" t="s">
        <v>210</v>
      </c>
      <c r="B14" s="13" t="s">
        <v>2522</v>
      </c>
      <c r="C14" s="15">
        <v>41</v>
      </c>
      <c r="D14" s="13" t="s">
        <v>99</v>
      </c>
      <c r="E14" s="13" t="s">
        <v>2507</v>
      </c>
      <c r="F14" s="14">
        <v>45018</v>
      </c>
    </row>
    <row r="15" spans="1:6" x14ac:dyDescent="0.3">
      <c r="A15" s="13" t="s">
        <v>1664</v>
      </c>
      <c r="B15" s="13" t="s">
        <v>2523</v>
      </c>
      <c r="C15" s="15">
        <v>48</v>
      </c>
      <c r="D15" s="13" t="s">
        <v>117</v>
      </c>
      <c r="E15" s="13" t="s">
        <v>2507</v>
      </c>
      <c r="F15" s="14">
        <v>45225</v>
      </c>
    </row>
    <row r="16" spans="1:6" x14ac:dyDescent="0.3">
      <c r="A16" s="13" t="s">
        <v>1529</v>
      </c>
      <c r="B16" s="13" t="s">
        <v>2524</v>
      </c>
      <c r="C16" s="15">
        <v>31</v>
      </c>
      <c r="D16" s="13" t="s">
        <v>94</v>
      </c>
      <c r="E16" s="13" t="s">
        <v>2507</v>
      </c>
      <c r="F16" s="14">
        <v>44654</v>
      </c>
    </row>
    <row r="17" spans="1:6" x14ac:dyDescent="0.3">
      <c r="A17" s="13" t="s">
        <v>725</v>
      </c>
      <c r="B17" s="13" t="s">
        <v>2525</v>
      </c>
      <c r="C17" s="15">
        <v>26</v>
      </c>
      <c r="D17" s="13" t="s">
        <v>99</v>
      </c>
      <c r="E17" s="13" t="s">
        <v>2515</v>
      </c>
      <c r="F17" s="14">
        <v>45196</v>
      </c>
    </row>
    <row r="18" spans="1:6" x14ac:dyDescent="0.3">
      <c r="A18" s="13" t="s">
        <v>868</v>
      </c>
      <c r="B18" s="13" t="s">
        <v>2526</v>
      </c>
      <c r="C18" s="15">
        <v>38</v>
      </c>
      <c r="D18" s="13" t="s">
        <v>99</v>
      </c>
      <c r="E18" s="13" t="s">
        <v>2515</v>
      </c>
      <c r="F18" s="14">
        <v>44752</v>
      </c>
    </row>
    <row r="19" spans="1:6" x14ac:dyDescent="0.3">
      <c r="A19" s="13" t="s">
        <v>390</v>
      </c>
      <c r="B19" s="13" t="s">
        <v>2527</v>
      </c>
      <c r="C19" s="15">
        <v>54</v>
      </c>
      <c r="D19" s="13" t="s">
        <v>88</v>
      </c>
      <c r="E19" s="13" t="s">
        <v>2515</v>
      </c>
      <c r="F19" s="14">
        <v>43968</v>
      </c>
    </row>
    <row r="20" spans="1:6" x14ac:dyDescent="0.3">
      <c r="A20" s="13" t="s">
        <v>795</v>
      </c>
      <c r="B20" s="13" t="s">
        <v>2528</v>
      </c>
      <c r="C20" s="15">
        <v>22</v>
      </c>
      <c r="D20" s="13" t="s">
        <v>94</v>
      </c>
      <c r="E20" s="13" t="s">
        <v>2507</v>
      </c>
      <c r="F20" s="14">
        <v>44375</v>
      </c>
    </row>
    <row r="21" spans="1:6" x14ac:dyDescent="0.3">
      <c r="A21" s="13" t="s">
        <v>312</v>
      </c>
      <c r="B21" s="13" t="s">
        <v>2529</v>
      </c>
      <c r="C21" s="15">
        <v>46</v>
      </c>
      <c r="D21" s="13" t="s">
        <v>133</v>
      </c>
      <c r="E21" s="13" t="s">
        <v>2507</v>
      </c>
      <c r="F21" s="14">
        <v>43835</v>
      </c>
    </row>
    <row r="22" spans="1:6" x14ac:dyDescent="0.3">
      <c r="A22" s="13" t="s">
        <v>1250</v>
      </c>
      <c r="B22" s="13" t="s">
        <v>2513</v>
      </c>
      <c r="C22" s="15">
        <v>44</v>
      </c>
      <c r="D22" s="13" t="s">
        <v>88</v>
      </c>
      <c r="E22" s="13" t="s">
        <v>2507</v>
      </c>
      <c r="F22" s="14">
        <v>44130</v>
      </c>
    </row>
    <row r="23" spans="1:6" x14ac:dyDescent="0.3">
      <c r="A23" s="13" t="s">
        <v>1038</v>
      </c>
      <c r="B23" s="13" t="s">
        <v>2530</v>
      </c>
      <c r="C23" s="15">
        <v>55</v>
      </c>
      <c r="D23" s="13" t="s">
        <v>117</v>
      </c>
      <c r="E23" s="13" t="s">
        <v>2509</v>
      </c>
      <c r="F23" s="14">
        <v>44787</v>
      </c>
    </row>
    <row r="24" spans="1:6" x14ac:dyDescent="0.3">
      <c r="A24" s="13" t="s">
        <v>1294</v>
      </c>
      <c r="B24" s="13" t="s">
        <v>2531</v>
      </c>
      <c r="C24" s="15">
        <v>43</v>
      </c>
      <c r="D24" s="13" t="s">
        <v>94</v>
      </c>
      <c r="E24" s="13" t="s">
        <v>2515</v>
      </c>
      <c r="F24" s="14">
        <v>44403</v>
      </c>
    </row>
    <row r="25" spans="1:6" x14ac:dyDescent="0.3">
      <c r="A25" s="13" t="s">
        <v>425</v>
      </c>
      <c r="B25" s="13" t="s">
        <v>2532</v>
      </c>
      <c r="C25" s="15">
        <v>64</v>
      </c>
      <c r="D25" s="13" t="s">
        <v>2092</v>
      </c>
      <c r="E25" s="13" t="s">
        <v>2515</v>
      </c>
      <c r="F25" s="14">
        <v>44495</v>
      </c>
    </row>
    <row r="26" spans="1:6" x14ac:dyDescent="0.3">
      <c r="A26" s="13" t="s">
        <v>385</v>
      </c>
      <c r="B26" s="13" t="s">
        <v>2533</v>
      </c>
      <c r="C26" s="15">
        <v>23</v>
      </c>
      <c r="D26" s="13" t="s">
        <v>117</v>
      </c>
      <c r="E26" s="13" t="s">
        <v>2507</v>
      </c>
      <c r="F26" s="14">
        <v>44536</v>
      </c>
    </row>
    <row r="27" spans="1:6" x14ac:dyDescent="0.3">
      <c r="A27" s="13" t="s">
        <v>559</v>
      </c>
      <c r="B27" s="13" t="s">
        <v>2534</v>
      </c>
      <c r="C27" s="15">
        <v>62</v>
      </c>
      <c r="D27" s="13" t="s">
        <v>88</v>
      </c>
      <c r="E27" s="13" t="s">
        <v>2507</v>
      </c>
      <c r="F27" s="14">
        <v>43898</v>
      </c>
    </row>
    <row r="28" spans="1:6" x14ac:dyDescent="0.3">
      <c r="A28" s="13" t="s">
        <v>482</v>
      </c>
      <c r="B28" s="13" t="s">
        <v>2535</v>
      </c>
      <c r="C28" s="15">
        <v>52</v>
      </c>
      <c r="D28" s="13" t="s">
        <v>133</v>
      </c>
      <c r="E28" s="13" t="s">
        <v>2509</v>
      </c>
      <c r="F28" s="14">
        <v>45201</v>
      </c>
    </row>
    <row r="29" spans="1:6" x14ac:dyDescent="0.3">
      <c r="A29" s="13" t="s">
        <v>403</v>
      </c>
      <c r="B29" s="13" t="s">
        <v>2536</v>
      </c>
      <c r="C29" s="15">
        <v>59</v>
      </c>
      <c r="D29" s="13" t="s">
        <v>117</v>
      </c>
      <c r="E29" s="13" t="s">
        <v>2507</v>
      </c>
      <c r="F29" s="14">
        <v>44686</v>
      </c>
    </row>
    <row r="30" spans="1:6" x14ac:dyDescent="0.3">
      <c r="A30" s="13" t="s">
        <v>1875</v>
      </c>
      <c r="B30" s="13" t="s">
        <v>2537</v>
      </c>
      <c r="C30" s="15">
        <v>54</v>
      </c>
      <c r="D30" s="13" t="s">
        <v>94</v>
      </c>
      <c r="E30" s="13" t="s">
        <v>2509</v>
      </c>
      <c r="F30" s="14">
        <v>44930</v>
      </c>
    </row>
    <row r="31" spans="1:6" x14ac:dyDescent="0.3">
      <c r="A31" s="13" t="s">
        <v>757</v>
      </c>
      <c r="B31" s="13" t="s">
        <v>2538</v>
      </c>
      <c r="C31" s="15">
        <v>43</v>
      </c>
      <c r="D31" s="13" t="s">
        <v>117</v>
      </c>
      <c r="E31" s="13" t="s">
        <v>2509</v>
      </c>
      <c r="F31" s="14">
        <v>44151</v>
      </c>
    </row>
    <row r="32" spans="1:6" x14ac:dyDescent="0.3">
      <c r="A32" s="13" t="s">
        <v>263</v>
      </c>
      <c r="B32" s="13" t="s">
        <v>2539</v>
      </c>
      <c r="C32" s="15">
        <v>53</v>
      </c>
      <c r="D32" s="13" t="s">
        <v>133</v>
      </c>
      <c r="E32" s="13" t="s">
        <v>2507</v>
      </c>
      <c r="F32" s="14">
        <v>44599</v>
      </c>
    </row>
    <row r="33" spans="1:6" x14ac:dyDescent="0.3">
      <c r="A33" s="13" t="s">
        <v>324</v>
      </c>
      <c r="B33" s="13" t="s">
        <v>2540</v>
      </c>
      <c r="C33" s="15">
        <v>28</v>
      </c>
      <c r="D33" s="13" t="s">
        <v>133</v>
      </c>
      <c r="E33" s="13" t="s">
        <v>2507</v>
      </c>
      <c r="F33" s="14">
        <v>43908</v>
      </c>
    </row>
    <row r="34" spans="1:6" x14ac:dyDescent="0.3">
      <c r="A34" s="13" t="s">
        <v>291</v>
      </c>
      <c r="B34" s="13" t="s">
        <v>2541</v>
      </c>
      <c r="C34" s="15">
        <v>35</v>
      </c>
      <c r="D34" s="13" t="s">
        <v>99</v>
      </c>
      <c r="E34" s="13" t="s">
        <v>2507</v>
      </c>
      <c r="F34" s="14">
        <v>44830</v>
      </c>
    </row>
    <row r="35" spans="1:6" x14ac:dyDescent="0.3">
      <c r="A35" s="13" t="s">
        <v>968</v>
      </c>
      <c r="B35" s="13" t="s">
        <v>2542</v>
      </c>
      <c r="C35" s="15">
        <v>47</v>
      </c>
      <c r="D35" s="13" t="s">
        <v>99</v>
      </c>
      <c r="E35" s="13" t="s">
        <v>2507</v>
      </c>
      <c r="F35" s="14">
        <v>44182</v>
      </c>
    </row>
    <row r="36" spans="1:6" x14ac:dyDescent="0.3">
      <c r="A36" s="13" t="s">
        <v>199</v>
      </c>
      <c r="B36" s="13" t="s">
        <v>2543</v>
      </c>
      <c r="C36" s="15">
        <v>53</v>
      </c>
      <c r="D36" s="13" t="s">
        <v>133</v>
      </c>
      <c r="E36" s="13" t="s">
        <v>2507</v>
      </c>
      <c r="F36" s="14">
        <v>44532</v>
      </c>
    </row>
    <row r="37" spans="1:6" x14ac:dyDescent="0.3">
      <c r="A37" s="13" t="s">
        <v>673</v>
      </c>
      <c r="B37" s="13" t="s">
        <v>2544</v>
      </c>
      <c r="C37" s="15">
        <v>35</v>
      </c>
      <c r="D37" s="13" t="s">
        <v>112</v>
      </c>
      <c r="E37" s="13" t="s">
        <v>2507</v>
      </c>
      <c r="F37" s="14">
        <v>44617</v>
      </c>
    </row>
    <row r="38" spans="1:6" x14ac:dyDescent="0.3">
      <c r="A38" s="13" t="s">
        <v>835</v>
      </c>
      <c r="B38" s="13" t="s">
        <v>2545</v>
      </c>
      <c r="C38" s="15">
        <v>52</v>
      </c>
      <c r="D38" s="13" t="s">
        <v>117</v>
      </c>
      <c r="E38" s="13" t="s">
        <v>2507</v>
      </c>
      <c r="F38" s="14">
        <v>44468</v>
      </c>
    </row>
    <row r="39" spans="1:6" x14ac:dyDescent="0.3">
      <c r="A39" s="13" t="s">
        <v>874</v>
      </c>
      <c r="B39" s="13" t="s">
        <v>2546</v>
      </c>
      <c r="C39" s="15">
        <v>57</v>
      </c>
      <c r="D39" s="13" t="s">
        <v>112</v>
      </c>
      <c r="E39" s="13" t="s">
        <v>2507</v>
      </c>
      <c r="F39" s="14">
        <v>43843</v>
      </c>
    </row>
    <row r="40" spans="1:6" x14ac:dyDescent="0.3">
      <c r="A40" s="13" t="s">
        <v>837</v>
      </c>
      <c r="B40" s="13" t="s">
        <v>2547</v>
      </c>
      <c r="C40" s="15">
        <v>37</v>
      </c>
      <c r="D40" s="13" t="s">
        <v>117</v>
      </c>
      <c r="E40" s="13" t="s">
        <v>2507</v>
      </c>
      <c r="F40" s="14">
        <v>43989</v>
      </c>
    </row>
    <row r="41" spans="1:6" x14ac:dyDescent="0.3">
      <c r="A41" s="13" t="s">
        <v>284</v>
      </c>
      <c r="B41" s="13" t="s">
        <v>2548</v>
      </c>
      <c r="C41" s="15">
        <v>28</v>
      </c>
      <c r="D41" s="13" t="s">
        <v>94</v>
      </c>
      <c r="E41" s="13" t="s">
        <v>2507</v>
      </c>
      <c r="F41" s="14">
        <v>44625</v>
      </c>
    </row>
    <row r="42" spans="1:6" x14ac:dyDescent="0.3">
      <c r="A42" s="13" t="s">
        <v>510</v>
      </c>
      <c r="B42" s="13" t="s">
        <v>2549</v>
      </c>
      <c r="C42" s="15">
        <v>26</v>
      </c>
      <c r="D42" s="13" t="s">
        <v>117</v>
      </c>
      <c r="E42" s="13" t="s">
        <v>2515</v>
      </c>
      <c r="F42" s="14">
        <v>43895</v>
      </c>
    </row>
    <row r="43" spans="1:6" x14ac:dyDescent="0.3">
      <c r="A43" s="13" t="s">
        <v>340</v>
      </c>
      <c r="B43" s="13" t="s">
        <v>2550</v>
      </c>
      <c r="C43" s="15">
        <v>25</v>
      </c>
      <c r="D43" s="13" t="s">
        <v>88</v>
      </c>
      <c r="E43" s="13" t="s">
        <v>2507</v>
      </c>
      <c r="F43" s="14">
        <v>43843</v>
      </c>
    </row>
    <row r="44" spans="1:6" x14ac:dyDescent="0.3">
      <c r="A44" s="13" t="s">
        <v>512</v>
      </c>
      <c r="B44" s="13" t="s">
        <v>2551</v>
      </c>
      <c r="C44" s="15">
        <v>61</v>
      </c>
      <c r="D44" s="13" t="s">
        <v>133</v>
      </c>
      <c r="E44" s="13" t="s">
        <v>2507</v>
      </c>
      <c r="F44" s="14">
        <v>44553</v>
      </c>
    </row>
    <row r="45" spans="1:6" x14ac:dyDescent="0.3">
      <c r="A45" s="13" t="s">
        <v>741</v>
      </c>
      <c r="B45" s="13" t="s">
        <v>2552</v>
      </c>
      <c r="C45" s="15">
        <v>29</v>
      </c>
      <c r="D45" s="13" t="s">
        <v>133</v>
      </c>
      <c r="E45" s="13" t="s">
        <v>2515</v>
      </c>
      <c r="F45" s="14">
        <v>45084</v>
      </c>
    </row>
    <row r="46" spans="1:6" x14ac:dyDescent="0.3">
      <c r="A46" s="13" t="s">
        <v>802</v>
      </c>
      <c r="B46" s="13" t="s">
        <v>2553</v>
      </c>
      <c r="C46" s="15">
        <v>39</v>
      </c>
      <c r="D46" s="13" t="s">
        <v>94</v>
      </c>
      <c r="E46" s="13" t="s">
        <v>2515</v>
      </c>
      <c r="F46" s="14">
        <v>45156</v>
      </c>
    </row>
    <row r="47" spans="1:6" x14ac:dyDescent="0.3">
      <c r="A47" s="13" t="s">
        <v>1003</v>
      </c>
      <c r="B47" s="13" t="s">
        <v>2554</v>
      </c>
      <c r="C47" s="15">
        <v>45</v>
      </c>
      <c r="D47" s="13" t="s">
        <v>99</v>
      </c>
      <c r="E47" s="13" t="s">
        <v>2515</v>
      </c>
      <c r="F47" s="14">
        <v>45144</v>
      </c>
    </row>
    <row r="48" spans="1:6" x14ac:dyDescent="0.3">
      <c r="A48" s="13" t="s">
        <v>518</v>
      </c>
      <c r="B48" s="13" t="s">
        <v>2555</v>
      </c>
      <c r="C48" s="15">
        <v>49</v>
      </c>
      <c r="D48" s="13" t="s">
        <v>88</v>
      </c>
      <c r="E48" s="13" t="s">
        <v>2507</v>
      </c>
      <c r="F48" s="14">
        <v>44066</v>
      </c>
    </row>
    <row r="49" spans="1:6" x14ac:dyDescent="0.3">
      <c r="A49" s="13" t="s">
        <v>490</v>
      </c>
      <c r="B49" s="13" t="s">
        <v>2556</v>
      </c>
      <c r="C49" s="15">
        <v>59</v>
      </c>
      <c r="D49" s="13" t="s">
        <v>99</v>
      </c>
      <c r="E49" s="13" t="s">
        <v>2507</v>
      </c>
      <c r="F49" s="14">
        <v>44479</v>
      </c>
    </row>
    <row r="50" spans="1:6" x14ac:dyDescent="0.3">
      <c r="A50" s="13" t="s">
        <v>1358</v>
      </c>
      <c r="B50" s="13" t="s">
        <v>2557</v>
      </c>
      <c r="C50" s="15">
        <v>42</v>
      </c>
      <c r="D50" s="13" t="s">
        <v>112</v>
      </c>
      <c r="E50" s="13" t="s">
        <v>2509</v>
      </c>
      <c r="F50" s="14">
        <v>45116</v>
      </c>
    </row>
    <row r="51" spans="1:6" x14ac:dyDescent="0.3">
      <c r="A51" s="13" t="s">
        <v>555</v>
      </c>
      <c r="B51" s="13" t="s">
        <v>2558</v>
      </c>
      <c r="C51" s="15">
        <v>37</v>
      </c>
      <c r="D51" s="13" t="s">
        <v>112</v>
      </c>
      <c r="E51" s="13" t="s">
        <v>2507</v>
      </c>
      <c r="F51" s="14">
        <v>43967</v>
      </c>
    </row>
    <row r="52" spans="1:6" x14ac:dyDescent="0.3">
      <c r="A52" s="13" t="s">
        <v>308</v>
      </c>
      <c r="B52" s="13" t="s">
        <v>2559</v>
      </c>
      <c r="C52" s="15">
        <v>54</v>
      </c>
      <c r="D52" s="13" t="s">
        <v>88</v>
      </c>
      <c r="E52" s="13" t="s">
        <v>2515</v>
      </c>
      <c r="F52" s="14">
        <v>44613</v>
      </c>
    </row>
    <row r="53" spans="1:6" x14ac:dyDescent="0.3">
      <c r="A53" s="13" t="s">
        <v>146</v>
      </c>
      <c r="B53" s="13" t="s">
        <v>2560</v>
      </c>
      <c r="C53" s="15">
        <v>38</v>
      </c>
      <c r="D53" s="13" t="s">
        <v>88</v>
      </c>
      <c r="E53" s="13" t="s">
        <v>2507</v>
      </c>
      <c r="F53" s="14">
        <v>44209</v>
      </c>
    </row>
    <row r="54" spans="1:6" x14ac:dyDescent="0.3">
      <c r="A54" s="13" t="s">
        <v>223</v>
      </c>
      <c r="B54" s="13" t="s">
        <v>2561</v>
      </c>
      <c r="C54" s="15">
        <v>53</v>
      </c>
      <c r="D54" s="13" t="s">
        <v>99</v>
      </c>
      <c r="E54" s="13" t="s">
        <v>2507</v>
      </c>
      <c r="F54" s="14">
        <v>44288</v>
      </c>
    </row>
    <row r="55" spans="1:6" x14ac:dyDescent="0.3">
      <c r="A55" s="13" t="s">
        <v>872</v>
      </c>
      <c r="B55" s="13" t="s">
        <v>2562</v>
      </c>
      <c r="C55" s="15">
        <v>62</v>
      </c>
      <c r="D55" s="13" t="s">
        <v>112</v>
      </c>
      <c r="E55" s="13" t="s">
        <v>2509</v>
      </c>
      <c r="F55" s="14">
        <v>44482</v>
      </c>
    </row>
    <row r="56" spans="1:6" x14ac:dyDescent="0.3">
      <c r="A56" s="13" t="s">
        <v>604</v>
      </c>
      <c r="B56" s="13" t="s">
        <v>2563</v>
      </c>
      <c r="C56" s="15">
        <v>34</v>
      </c>
      <c r="D56" s="13" t="s">
        <v>117</v>
      </c>
      <c r="E56" s="13" t="s">
        <v>2507</v>
      </c>
      <c r="F56" s="14">
        <v>44753</v>
      </c>
    </row>
    <row r="57" spans="1:6" x14ac:dyDescent="0.3">
      <c r="A57" s="13" t="s">
        <v>153</v>
      </c>
      <c r="B57" s="13" t="s">
        <v>2506</v>
      </c>
      <c r="C57" s="15">
        <v>46</v>
      </c>
      <c r="D57" s="13" t="s">
        <v>117</v>
      </c>
      <c r="E57" s="13" t="s">
        <v>2515</v>
      </c>
      <c r="F57" s="14">
        <v>45202</v>
      </c>
    </row>
    <row r="58" spans="1:6" x14ac:dyDescent="0.3">
      <c r="A58" s="13" t="s">
        <v>770</v>
      </c>
      <c r="B58" s="13" t="s">
        <v>2564</v>
      </c>
      <c r="C58" s="15">
        <v>35</v>
      </c>
      <c r="D58" s="13" t="s">
        <v>88</v>
      </c>
      <c r="E58" s="13" t="s">
        <v>2507</v>
      </c>
      <c r="F58" s="14">
        <v>43917</v>
      </c>
    </row>
    <row r="59" spans="1:6" x14ac:dyDescent="0.3">
      <c r="A59" s="13" t="s">
        <v>1016</v>
      </c>
      <c r="B59" s="13" t="s">
        <v>2565</v>
      </c>
      <c r="C59" s="15">
        <v>49</v>
      </c>
      <c r="D59" s="13" t="s">
        <v>117</v>
      </c>
      <c r="E59" s="13" t="s">
        <v>2515</v>
      </c>
      <c r="F59" s="14">
        <v>44471</v>
      </c>
    </row>
    <row r="60" spans="1:6" x14ac:dyDescent="0.3">
      <c r="A60" s="13" t="s">
        <v>487</v>
      </c>
      <c r="B60" s="13" t="s">
        <v>2566</v>
      </c>
      <c r="C60" s="15">
        <v>29</v>
      </c>
      <c r="D60" s="13" t="s">
        <v>88</v>
      </c>
      <c r="E60" s="13" t="s">
        <v>2509</v>
      </c>
      <c r="F60" s="14">
        <v>44796</v>
      </c>
    </row>
    <row r="61" spans="1:6" x14ac:dyDescent="0.3">
      <c r="A61" s="13" t="s">
        <v>1172</v>
      </c>
      <c r="B61" s="13" t="s">
        <v>2567</v>
      </c>
      <c r="C61" s="15">
        <v>39</v>
      </c>
      <c r="D61" s="13" t="s">
        <v>88</v>
      </c>
      <c r="E61" s="13" t="s">
        <v>2507</v>
      </c>
      <c r="F61" s="14">
        <v>43897</v>
      </c>
    </row>
    <row r="62" spans="1:6" x14ac:dyDescent="0.3">
      <c r="A62" s="13" t="s">
        <v>744</v>
      </c>
      <c r="B62" s="13" t="s">
        <v>2568</v>
      </c>
      <c r="C62" s="15">
        <v>64</v>
      </c>
      <c r="D62" s="13" t="s">
        <v>133</v>
      </c>
      <c r="E62" s="13" t="s">
        <v>2507</v>
      </c>
      <c r="F62" s="14">
        <v>43971</v>
      </c>
    </row>
    <row r="63" spans="1:6" x14ac:dyDescent="0.3">
      <c r="A63" s="13" t="s">
        <v>735</v>
      </c>
      <c r="B63" s="13" t="s">
        <v>2569</v>
      </c>
      <c r="C63" s="15">
        <v>54</v>
      </c>
      <c r="D63" s="13" t="s">
        <v>88</v>
      </c>
      <c r="E63" s="13" t="s">
        <v>2507</v>
      </c>
      <c r="F63" s="14">
        <v>45016</v>
      </c>
    </row>
    <row r="64" spans="1:6" x14ac:dyDescent="0.3">
      <c r="A64" s="13" t="s">
        <v>1072</v>
      </c>
      <c r="B64" s="13" t="s">
        <v>2570</v>
      </c>
      <c r="C64" s="15">
        <v>53</v>
      </c>
      <c r="D64" s="13" t="s">
        <v>112</v>
      </c>
      <c r="E64" s="13" t="s">
        <v>2515</v>
      </c>
      <c r="F64" s="14">
        <v>44008</v>
      </c>
    </row>
    <row r="65" spans="1:6" x14ac:dyDescent="0.3">
      <c r="A65" s="13" t="s">
        <v>206</v>
      </c>
      <c r="B65" s="13" t="s">
        <v>2571</v>
      </c>
      <c r="C65" s="15">
        <v>40</v>
      </c>
      <c r="D65" s="13" t="s">
        <v>133</v>
      </c>
      <c r="E65" s="13" t="s">
        <v>2515</v>
      </c>
      <c r="F65" s="14">
        <v>45070</v>
      </c>
    </row>
    <row r="66" spans="1:6" x14ac:dyDescent="0.3">
      <c r="A66" s="13" t="s">
        <v>1180</v>
      </c>
      <c r="B66" s="13" t="s">
        <v>2572</v>
      </c>
      <c r="C66" s="15">
        <v>49</v>
      </c>
      <c r="D66" s="13" t="s">
        <v>94</v>
      </c>
      <c r="E66" s="13" t="s">
        <v>2509</v>
      </c>
      <c r="F66" s="14">
        <v>44543</v>
      </c>
    </row>
    <row r="67" spans="1:6" x14ac:dyDescent="0.3">
      <c r="A67" s="13" t="s">
        <v>714</v>
      </c>
      <c r="B67" s="13" t="s">
        <v>2573</v>
      </c>
      <c r="C67" s="15">
        <v>24</v>
      </c>
      <c r="D67" s="13" t="s">
        <v>99</v>
      </c>
      <c r="E67" s="13" t="s">
        <v>2507</v>
      </c>
      <c r="F67" s="14">
        <v>44851</v>
      </c>
    </row>
    <row r="68" spans="1:6" x14ac:dyDescent="0.3">
      <c r="A68" s="13" t="s">
        <v>474</v>
      </c>
      <c r="B68" s="13" t="s">
        <v>2574</v>
      </c>
      <c r="C68" s="15">
        <v>59</v>
      </c>
      <c r="D68" s="13" t="s">
        <v>99</v>
      </c>
      <c r="E68" s="13" t="s">
        <v>2515</v>
      </c>
      <c r="F68" s="14">
        <v>44020</v>
      </c>
    </row>
    <row r="69" spans="1:6" x14ac:dyDescent="0.3">
      <c r="A69" s="13" t="s">
        <v>533</v>
      </c>
      <c r="B69" s="13" t="s">
        <v>2575</v>
      </c>
      <c r="C69" s="15">
        <v>48</v>
      </c>
      <c r="D69" s="13" t="s">
        <v>99</v>
      </c>
      <c r="E69" s="13" t="s">
        <v>2515</v>
      </c>
      <c r="F69" s="14">
        <v>44553</v>
      </c>
    </row>
    <row r="70" spans="1:6" x14ac:dyDescent="0.3">
      <c r="A70" s="13" t="s">
        <v>217</v>
      </c>
      <c r="B70" s="13" t="s">
        <v>2576</v>
      </c>
      <c r="C70" s="15">
        <v>51</v>
      </c>
      <c r="D70" s="13" t="s">
        <v>94</v>
      </c>
      <c r="E70" s="13" t="s">
        <v>2507</v>
      </c>
      <c r="F70" s="14">
        <v>43906</v>
      </c>
    </row>
    <row r="71" spans="1:6" x14ac:dyDescent="0.3">
      <c r="A71" s="13" t="s">
        <v>371</v>
      </c>
      <c r="B71" s="13" t="s">
        <v>2577</v>
      </c>
      <c r="C71" s="15">
        <v>42</v>
      </c>
      <c r="D71" s="13" t="s">
        <v>112</v>
      </c>
      <c r="E71" s="13" t="s">
        <v>2507</v>
      </c>
      <c r="F71" s="14">
        <v>44568</v>
      </c>
    </row>
    <row r="72" spans="1:6" x14ac:dyDescent="0.3">
      <c r="A72" s="13" t="s">
        <v>101</v>
      </c>
      <c r="B72" s="13" t="s">
        <v>2578</v>
      </c>
      <c r="C72" s="15">
        <v>46</v>
      </c>
      <c r="D72" s="13" t="s">
        <v>99</v>
      </c>
      <c r="E72" s="13" t="s">
        <v>2509</v>
      </c>
      <c r="F72" s="14">
        <v>44574</v>
      </c>
    </row>
    <row r="73" spans="1:6" x14ac:dyDescent="0.3">
      <c r="A73" s="13" t="s">
        <v>878</v>
      </c>
      <c r="B73" s="13" t="s">
        <v>2579</v>
      </c>
      <c r="C73" s="15">
        <v>62</v>
      </c>
      <c r="D73" s="13" t="s">
        <v>112</v>
      </c>
      <c r="E73" s="13" t="s">
        <v>2509</v>
      </c>
      <c r="F73" s="14">
        <v>44301</v>
      </c>
    </row>
    <row r="74" spans="1:6" x14ac:dyDescent="0.3">
      <c r="A74" s="13" t="s">
        <v>580</v>
      </c>
      <c r="B74" s="13" t="s">
        <v>2580</v>
      </c>
      <c r="C74" s="15">
        <v>40</v>
      </c>
      <c r="D74" s="13" t="s">
        <v>88</v>
      </c>
      <c r="E74" s="13" t="s">
        <v>2509</v>
      </c>
      <c r="F74" s="14">
        <v>45190</v>
      </c>
    </row>
    <row r="75" spans="1:6" x14ac:dyDescent="0.3">
      <c r="A75" s="13" t="s">
        <v>779</v>
      </c>
      <c r="B75" s="13" t="s">
        <v>2581</v>
      </c>
      <c r="C75" s="15">
        <v>27</v>
      </c>
      <c r="D75" s="13" t="s">
        <v>117</v>
      </c>
      <c r="E75" s="13" t="s">
        <v>2507</v>
      </c>
      <c r="F75" s="14">
        <v>45100</v>
      </c>
    </row>
    <row r="76" spans="1:6" x14ac:dyDescent="0.3">
      <c r="A76" s="13" t="s">
        <v>524</v>
      </c>
      <c r="B76" s="13" t="s">
        <v>2582</v>
      </c>
      <c r="C76" s="15">
        <v>55</v>
      </c>
      <c r="D76" s="13" t="s">
        <v>112</v>
      </c>
      <c r="E76" s="13" t="s">
        <v>2509</v>
      </c>
      <c r="F76" s="14">
        <v>43973</v>
      </c>
    </row>
    <row r="77" spans="1:6" x14ac:dyDescent="0.3">
      <c r="A77" s="13" t="s">
        <v>1350</v>
      </c>
      <c r="B77" s="13" t="s">
        <v>2583</v>
      </c>
      <c r="C77" s="15">
        <v>38</v>
      </c>
      <c r="D77" s="13" t="s">
        <v>112</v>
      </c>
      <c r="E77" s="13" t="s">
        <v>2507</v>
      </c>
      <c r="F77" s="14">
        <v>43964</v>
      </c>
    </row>
    <row r="78" spans="1:6" x14ac:dyDescent="0.3">
      <c r="A78" s="13" t="s">
        <v>537</v>
      </c>
      <c r="B78" s="13" t="s">
        <v>2584</v>
      </c>
      <c r="C78" s="15">
        <v>48</v>
      </c>
      <c r="D78" s="13" t="s">
        <v>133</v>
      </c>
      <c r="E78" s="13" t="s">
        <v>2515</v>
      </c>
      <c r="F78" s="14">
        <v>44443</v>
      </c>
    </row>
    <row r="79" spans="1:6" x14ac:dyDescent="0.3">
      <c r="A79" s="13" t="s">
        <v>322</v>
      </c>
      <c r="B79" s="13" t="s">
        <v>2585</v>
      </c>
      <c r="C79" s="15">
        <v>31</v>
      </c>
      <c r="D79" s="13" t="s">
        <v>99</v>
      </c>
      <c r="E79" s="13" t="s">
        <v>2507</v>
      </c>
      <c r="F79" s="14">
        <v>45133</v>
      </c>
    </row>
    <row r="80" spans="1:6" x14ac:dyDescent="0.3">
      <c r="A80" s="13" t="s">
        <v>551</v>
      </c>
      <c r="B80" s="13" t="s">
        <v>2586</v>
      </c>
      <c r="C80" s="15">
        <v>60</v>
      </c>
      <c r="D80" s="13" t="s">
        <v>112</v>
      </c>
      <c r="E80" s="13" t="s">
        <v>2509</v>
      </c>
      <c r="F80" s="14">
        <v>44271</v>
      </c>
    </row>
    <row r="81" spans="1:6" x14ac:dyDescent="0.3">
      <c r="A81" s="13" t="s">
        <v>440</v>
      </c>
      <c r="B81" s="13" t="s">
        <v>2587</v>
      </c>
      <c r="C81" s="15">
        <v>30</v>
      </c>
      <c r="D81" s="13" t="s">
        <v>88</v>
      </c>
      <c r="E81" s="13" t="s">
        <v>2515</v>
      </c>
      <c r="F81" s="14">
        <v>43901</v>
      </c>
    </row>
    <row r="82" spans="1:6" x14ac:dyDescent="0.3">
      <c r="A82" s="13" t="s">
        <v>366</v>
      </c>
      <c r="B82" s="13" t="s">
        <v>2588</v>
      </c>
      <c r="C82" s="15">
        <v>25</v>
      </c>
      <c r="D82" s="13" t="s">
        <v>112</v>
      </c>
      <c r="E82" s="13" t="s">
        <v>2507</v>
      </c>
      <c r="F82" s="14">
        <v>44331</v>
      </c>
    </row>
    <row r="83" spans="1:6" x14ac:dyDescent="0.3">
      <c r="A83" s="13" t="s">
        <v>320</v>
      </c>
      <c r="B83" s="13" t="s">
        <v>2589</v>
      </c>
      <c r="C83" s="15">
        <v>36</v>
      </c>
      <c r="D83" s="13" t="s">
        <v>133</v>
      </c>
      <c r="E83" s="13" t="s">
        <v>2515</v>
      </c>
      <c r="F83" s="14">
        <v>44152</v>
      </c>
    </row>
    <row r="84" spans="1:6" x14ac:dyDescent="0.3">
      <c r="A84" s="13" t="s">
        <v>1104</v>
      </c>
      <c r="B84" s="13" t="s">
        <v>2590</v>
      </c>
      <c r="C84" s="15">
        <v>31</v>
      </c>
      <c r="D84" s="13" t="s">
        <v>117</v>
      </c>
      <c r="E84" s="13" t="s">
        <v>2509</v>
      </c>
      <c r="F84" s="14">
        <v>44248</v>
      </c>
    </row>
    <row r="85" spans="1:6" x14ac:dyDescent="0.3">
      <c r="A85" s="13" t="s">
        <v>328</v>
      </c>
      <c r="B85" s="13" t="s">
        <v>2591</v>
      </c>
      <c r="C85" s="15">
        <v>28</v>
      </c>
      <c r="D85" s="13" t="s">
        <v>94</v>
      </c>
      <c r="E85" s="13" t="s">
        <v>2507</v>
      </c>
      <c r="F85" s="14">
        <v>44116</v>
      </c>
    </row>
    <row r="86" spans="1:6" x14ac:dyDescent="0.3">
      <c r="A86" s="13" t="s">
        <v>585</v>
      </c>
      <c r="B86" s="13" t="s">
        <v>2592</v>
      </c>
      <c r="C86" s="15">
        <v>26</v>
      </c>
      <c r="D86" s="13" t="s">
        <v>94</v>
      </c>
      <c r="E86" s="13" t="s">
        <v>2507</v>
      </c>
      <c r="F86" s="14">
        <v>45149</v>
      </c>
    </row>
    <row r="87" spans="1:6" x14ac:dyDescent="0.3">
      <c r="A87" s="13" t="s">
        <v>190</v>
      </c>
      <c r="B87" s="13" t="s">
        <v>2593</v>
      </c>
      <c r="C87" s="15">
        <v>56</v>
      </c>
      <c r="D87" s="13" t="s">
        <v>133</v>
      </c>
      <c r="E87" s="13" t="s">
        <v>2509</v>
      </c>
      <c r="F87" s="14">
        <v>45039</v>
      </c>
    </row>
    <row r="88" spans="1:6" x14ac:dyDescent="0.3">
      <c r="A88" s="13" t="s">
        <v>479</v>
      </c>
      <c r="B88" s="13" t="s">
        <v>2594</v>
      </c>
      <c r="C88" s="15">
        <v>49</v>
      </c>
      <c r="D88" s="13" t="s">
        <v>88</v>
      </c>
      <c r="E88" s="13" t="s">
        <v>2515</v>
      </c>
      <c r="F88" s="14">
        <v>44621</v>
      </c>
    </row>
    <row r="89" spans="1:6" x14ac:dyDescent="0.3">
      <c r="A89" s="13" t="s">
        <v>254</v>
      </c>
      <c r="B89" s="13" t="s">
        <v>2595</v>
      </c>
      <c r="C89" s="15">
        <v>24</v>
      </c>
      <c r="D89" s="13" t="s">
        <v>94</v>
      </c>
      <c r="E89" s="13" t="s">
        <v>2507</v>
      </c>
      <c r="F89" s="14">
        <v>44693</v>
      </c>
    </row>
    <row r="90" spans="1:6" x14ac:dyDescent="0.3">
      <c r="A90" s="13" t="s">
        <v>905</v>
      </c>
      <c r="B90" s="13" t="s">
        <v>2596</v>
      </c>
      <c r="C90" s="15">
        <v>43</v>
      </c>
      <c r="D90" s="13" t="s">
        <v>112</v>
      </c>
      <c r="E90" s="13" t="s">
        <v>2515</v>
      </c>
      <c r="F90" s="14">
        <v>44513</v>
      </c>
    </row>
    <row r="91" spans="1:6" x14ac:dyDescent="0.3">
      <c r="A91" s="13" t="s">
        <v>599</v>
      </c>
      <c r="B91" s="13" t="s">
        <v>2597</v>
      </c>
      <c r="C91" s="15">
        <v>26</v>
      </c>
      <c r="D91" s="13" t="s">
        <v>117</v>
      </c>
      <c r="E91" s="13" t="s">
        <v>2509</v>
      </c>
      <c r="F91" s="14">
        <v>44137</v>
      </c>
    </row>
    <row r="92" spans="1:6" x14ac:dyDescent="0.3">
      <c r="A92" s="13" t="s">
        <v>910</v>
      </c>
      <c r="B92" s="13" t="s">
        <v>2598</v>
      </c>
      <c r="C92" s="15">
        <v>55</v>
      </c>
      <c r="D92" s="13" t="s">
        <v>99</v>
      </c>
      <c r="E92" s="13" t="s">
        <v>2507</v>
      </c>
      <c r="F92" s="14">
        <v>45178</v>
      </c>
    </row>
    <row r="93" spans="1:6" x14ac:dyDescent="0.3">
      <c r="A93" s="13" t="s">
        <v>394</v>
      </c>
      <c r="B93" s="13" t="s">
        <v>2599</v>
      </c>
      <c r="C93" s="15">
        <v>28</v>
      </c>
      <c r="D93" s="13" t="s">
        <v>117</v>
      </c>
      <c r="E93" s="13" t="s">
        <v>2515</v>
      </c>
      <c r="F93" s="14">
        <v>44731</v>
      </c>
    </row>
    <row r="94" spans="1:6" x14ac:dyDescent="0.3">
      <c r="A94" s="13" t="s">
        <v>816</v>
      </c>
      <c r="B94" s="13" t="s">
        <v>2600</v>
      </c>
      <c r="C94" s="15">
        <v>36</v>
      </c>
      <c r="D94" s="13" t="s">
        <v>88</v>
      </c>
      <c r="E94" s="13" t="s">
        <v>2507</v>
      </c>
      <c r="F94" s="14">
        <v>44743</v>
      </c>
    </row>
    <row r="95" spans="1:6" x14ac:dyDescent="0.3">
      <c r="A95" s="13" t="s">
        <v>316</v>
      </c>
      <c r="B95" s="13" t="s">
        <v>2601</v>
      </c>
      <c r="C95" s="15">
        <v>60</v>
      </c>
      <c r="D95" s="13" t="s">
        <v>88</v>
      </c>
      <c r="E95" s="13" t="s">
        <v>2515</v>
      </c>
      <c r="F95" s="14">
        <v>44915</v>
      </c>
    </row>
    <row r="96" spans="1:6" x14ac:dyDescent="0.3">
      <c r="A96" s="13" t="s">
        <v>228</v>
      </c>
      <c r="B96" s="13" t="s">
        <v>2602</v>
      </c>
      <c r="C96" s="15">
        <v>54</v>
      </c>
      <c r="D96" s="13" t="s">
        <v>112</v>
      </c>
      <c r="E96" s="13" t="s">
        <v>2515</v>
      </c>
      <c r="F96" s="14">
        <v>44622</v>
      </c>
    </row>
    <row r="97" spans="1:6" x14ac:dyDescent="0.3">
      <c r="A97" s="13" t="s">
        <v>382</v>
      </c>
      <c r="B97" s="13" t="s">
        <v>2603</v>
      </c>
      <c r="C97" s="15">
        <v>27</v>
      </c>
      <c r="D97" s="13" t="s">
        <v>99</v>
      </c>
      <c r="E97" s="13" t="s">
        <v>2509</v>
      </c>
      <c r="F97" s="14">
        <v>44445</v>
      </c>
    </row>
    <row r="98" spans="1:6" x14ac:dyDescent="0.3">
      <c r="A98" s="13" t="s">
        <v>557</v>
      </c>
      <c r="B98" s="13" t="s">
        <v>2604</v>
      </c>
      <c r="C98" s="15">
        <v>65</v>
      </c>
      <c r="D98" s="13" t="s">
        <v>112</v>
      </c>
      <c r="E98" s="13" t="s">
        <v>2507</v>
      </c>
      <c r="F98" s="14">
        <v>43899</v>
      </c>
    </row>
    <row r="99" spans="1:6" x14ac:dyDescent="0.3">
      <c r="A99" s="13" t="s">
        <v>96</v>
      </c>
      <c r="B99" s="13" t="s">
        <v>2605</v>
      </c>
      <c r="C99" s="15">
        <v>52</v>
      </c>
      <c r="D99" s="13" t="s">
        <v>99</v>
      </c>
      <c r="E99" s="13" t="s">
        <v>2507</v>
      </c>
      <c r="F99" s="14">
        <v>44406</v>
      </c>
    </row>
    <row r="100" spans="1:6" x14ac:dyDescent="0.3">
      <c r="A100" s="13" t="s">
        <v>1724</v>
      </c>
      <c r="B100" s="13" t="s">
        <v>2606</v>
      </c>
      <c r="C100" s="15">
        <v>54</v>
      </c>
      <c r="D100" s="13" t="s">
        <v>117</v>
      </c>
      <c r="E100" s="13" t="s">
        <v>2515</v>
      </c>
      <c r="F100" s="14">
        <v>44938</v>
      </c>
    </row>
    <row r="101" spans="1:6" x14ac:dyDescent="0.3">
      <c r="A101" s="13" t="s">
        <v>1575</v>
      </c>
      <c r="B101" s="13" t="s">
        <v>2607</v>
      </c>
      <c r="C101" s="15">
        <v>60</v>
      </c>
      <c r="D101" s="13" t="s">
        <v>133</v>
      </c>
      <c r="E101" s="13" t="s">
        <v>2509</v>
      </c>
      <c r="F101" s="14">
        <v>45072</v>
      </c>
    </row>
    <row r="102" spans="1:6" x14ac:dyDescent="0.3">
      <c r="A102" s="13" t="s">
        <v>175</v>
      </c>
      <c r="B102" s="13" t="s">
        <v>2608</v>
      </c>
      <c r="C102" s="15">
        <v>40</v>
      </c>
      <c r="D102" s="13" t="s">
        <v>133</v>
      </c>
      <c r="E102" s="13" t="s">
        <v>2515</v>
      </c>
      <c r="F102" s="14">
        <v>44021</v>
      </c>
    </row>
    <row r="103" spans="1:6" x14ac:dyDescent="0.3">
      <c r="A103" s="13" t="s">
        <v>369</v>
      </c>
      <c r="B103" s="13" t="s">
        <v>2609</v>
      </c>
      <c r="C103" s="15">
        <v>62</v>
      </c>
      <c r="D103" s="13" t="s">
        <v>94</v>
      </c>
      <c r="E103" s="13" t="s">
        <v>2515</v>
      </c>
      <c r="F103" s="14">
        <v>45092</v>
      </c>
    </row>
    <row r="104" spans="1:6" x14ac:dyDescent="0.3">
      <c r="A104" s="13" t="s">
        <v>943</v>
      </c>
      <c r="B104" s="13" t="s">
        <v>2610</v>
      </c>
      <c r="C104" s="15">
        <v>54</v>
      </c>
      <c r="D104" s="13" t="s">
        <v>133</v>
      </c>
      <c r="E104" s="13" t="s">
        <v>2509</v>
      </c>
      <c r="F104" s="14">
        <v>45080</v>
      </c>
    </row>
    <row r="105" spans="1:6" x14ac:dyDescent="0.3">
      <c r="A105" s="13" t="s">
        <v>454</v>
      </c>
      <c r="B105" s="13" t="s">
        <v>2611</v>
      </c>
      <c r="C105" s="15">
        <v>43</v>
      </c>
      <c r="D105" s="13" t="s">
        <v>133</v>
      </c>
      <c r="E105" s="13" t="s">
        <v>2509</v>
      </c>
      <c r="F105" s="14">
        <v>44018</v>
      </c>
    </row>
    <row r="106" spans="1:6" x14ac:dyDescent="0.3">
      <c r="A106" s="13" t="s">
        <v>1308</v>
      </c>
      <c r="B106" s="13" t="s">
        <v>2612</v>
      </c>
      <c r="C106" s="15">
        <v>51</v>
      </c>
      <c r="D106" s="13" t="s">
        <v>94</v>
      </c>
      <c r="E106" s="13" t="s">
        <v>2515</v>
      </c>
      <c r="F106" s="14">
        <v>44060</v>
      </c>
    </row>
    <row r="107" spans="1:6" x14ac:dyDescent="0.3">
      <c r="A107" s="13" t="s">
        <v>413</v>
      </c>
      <c r="B107" s="13" t="s">
        <v>2613</v>
      </c>
      <c r="C107" s="15">
        <v>22</v>
      </c>
      <c r="D107" s="13" t="s">
        <v>88</v>
      </c>
      <c r="E107" s="13" t="s">
        <v>2507</v>
      </c>
      <c r="F107" s="14">
        <v>45192</v>
      </c>
    </row>
    <row r="108" spans="1:6" x14ac:dyDescent="0.3">
      <c r="A108" s="13" t="s">
        <v>172</v>
      </c>
      <c r="B108" s="13" t="s">
        <v>2614</v>
      </c>
      <c r="C108" s="15">
        <v>50</v>
      </c>
      <c r="D108" s="13" t="s">
        <v>88</v>
      </c>
      <c r="E108" s="13" t="s">
        <v>2507</v>
      </c>
      <c r="F108" s="14">
        <v>44007</v>
      </c>
    </row>
    <row r="109" spans="1:6" x14ac:dyDescent="0.3">
      <c r="A109" s="13" t="s">
        <v>331</v>
      </c>
      <c r="B109" s="13" t="s">
        <v>2615</v>
      </c>
      <c r="C109" s="15">
        <v>59</v>
      </c>
      <c r="D109" s="13" t="s">
        <v>117</v>
      </c>
      <c r="E109" s="13" t="s">
        <v>2509</v>
      </c>
      <c r="F109" s="14">
        <v>44382</v>
      </c>
    </row>
    <row r="110" spans="1:6" x14ac:dyDescent="0.3">
      <c r="A110" s="13" t="s">
        <v>1231</v>
      </c>
      <c r="B110" s="13" t="s">
        <v>2616</v>
      </c>
      <c r="C110" s="15">
        <v>42</v>
      </c>
      <c r="D110" s="13" t="s">
        <v>88</v>
      </c>
      <c r="E110" s="13" t="s">
        <v>2507</v>
      </c>
      <c r="F110" s="14">
        <v>44698</v>
      </c>
    </row>
    <row r="111" spans="1:6" x14ac:dyDescent="0.3">
      <c r="A111" s="13" t="s">
        <v>624</v>
      </c>
      <c r="B111" s="13" t="s">
        <v>2537</v>
      </c>
      <c r="C111" s="15">
        <v>31</v>
      </c>
      <c r="D111" s="13" t="s">
        <v>88</v>
      </c>
      <c r="E111" s="13" t="s">
        <v>2509</v>
      </c>
      <c r="F111" s="14">
        <v>44346</v>
      </c>
    </row>
    <row r="112" spans="1:6" x14ac:dyDescent="0.3">
      <c r="A112" s="13" t="s">
        <v>422</v>
      </c>
      <c r="B112" s="13" t="s">
        <v>2617</v>
      </c>
      <c r="C112" s="15">
        <v>64</v>
      </c>
      <c r="D112" s="13" t="s">
        <v>94</v>
      </c>
      <c r="E112" s="13" t="s">
        <v>2515</v>
      </c>
      <c r="F112" s="14">
        <v>44309</v>
      </c>
    </row>
    <row r="113" spans="1:6" x14ac:dyDescent="0.3">
      <c r="A113" s="13" t="s">
        <v>236</v>
      </c>
      <c r="B113" s="13" t="s">
        <v>2618</v>
      </c>
      <c r="C113" s="15">
        <v>64</v>
      </c>
      <c r="D113" s="13" t="s">
        <v>133</v>
      </c>
      <c r="E113" s="13" t="s">
        <v>2507</v>
      </c>
      <c r="F113" s="14">
        <v>44015</v>
      </c>
    </row>
    <row r="114" spans="1:6" x14ac:dyDescent="0.3">
      <c r="A114" s="13" t="s">
        <v>397</v>
      </c>
      <c r="B114" s="13" t="s">
        <v>2619</v>
      </c>
      <c r="C114" s="15">
        <v>30</v>
      </c>
      <c r="D114" s="13" t="s">
        <v>99</v>
      </c>
      <c r="E114" s="13" t="s">
        <v>2507</v>
      </c>
      <c r="F114" s="14">
        <v>44490</v>
      </c>
    </row>
    <row r="115" spans="1:6" x14ac:dyDescent="0.3">
      <c r="A115" s="13" t="s">
        <v>416</v>
      </c>
      <c r="B115" s="13" t="s">
        <v>2620</v>
      </c>
      <c r="C115" s="15">
        <v>42</v>
      </c>
      <c r="D115" s="13" t="s">
        <v>117</v>
      </c>
      <c r="E115" s="13" t="s">
        <v>2509</v>
      </c>
      <c r="F115" s="14">
        <v>44907</v>
      </c>
    </row>
    <row r="116" spans="1:6" x14ac:dyDescent="0.3">
      <c r="A116" s="13" t="s">
        <v>617</v>
      </c>
      <c r="B116" s="13" t="s">
        <v>2543</v>
      </c>
      <c r="C116" s="15">
        <v>65</v>
      </c>
      <c r="D116" s="13" t="s">
        <v>112</v>
      </c>
      <c r="E116" s="13" t="s">
        <v>2515</v>
      </c>
      <c r="F116" s="14">
        <v>44381</v>
      </c>
    </row>
    <row r="117" spans="1:6" x14ac:dyDescent="0.3">
      <c r="A117" s="13" t="s">
        <v>1623</v>
      </c>
      <c r="B117" s="13" t="s">
        <v>2621</v>
      </c>
      <c r="C117" s="15">
        <v>53</v>
      </c>
      <c r="D117" s="13" t="s">
        <v>2622</v>
      </c>
      <c r="E117" s="13" t="s">
        <v>2507</v>
      </c>
      <c r="F117" s="14">
        <v>44050</v>
      </c>
    </row>
    <row r="118" spans="1:6" x14ac:dyDescent="0.3">
      <c r="A118" s="13" t="s">
        <v>451</v>
      </c>
      <c r="B118" s="13" t="s">
        <v>2623</v>
      </c>
      <c r="C118" s="15">
        <v>34</v>
      </c>
      <c r="D118" s="13" t="s">
        <v>99</v>
      </c>
      <c r="E118" s="13" t="s">
        <v>2515</v>
      </c>
      <c r="F118" s="14">
        <v>44581</v>
      </c>
    </row>
    <row r="119" spans="1:6" x14ac:dyDescent="0.3">
      <c r="A119" s="13" t="s">
        <v>208</v>
      </c>
      <c r="B119" s="13" t="s">
        <v>2624</v>
      </c>
      <c r="C119" s="15">
        <v>26</v>
      </c>
      <c r="D119" s="13" t="s">
        <v>133</v>
      </c>
      <c r="E119" s="13" t="s">
        <v>2507</v>
      </c>
      <c r="F119" s="14">
        <v>44916</v>
      </c>
    </row>
    <row r="120" spans="1:6" x14ac:dyDescent="0.3">
      <c r="A120" s="13" t="s">
        <v>469</v>
      </c>
      <c r="B120" s="13" t="s">
        <v>2625</v>
      </c>
      <c r="C120" s="15">
        <v>43</v>
      </c>
      <c r="D120" s="13" t="s">
        <v>117</v>
      </c>
      <c r="E120" s="13" t="s">
        <v>2515</v>
      </c>
      <c r="F120" s="14">
        <v>44360</v>
      </c>
    </row>
    <row r="121" spans="1:6" x14ac:dyDescent="0.3">
      <c r="A121" s="13" t="s">
        <v>1234</v>
      </c>
      <c r="B121" s="13" t="s">
        <v>2626</v>
      </c>
      <c r="C121" s="15">
        <v>29</v>
      </c>
      <c r="D121" s="13" t="s">
        <v>112</v>
      </c>
      <c r="E121" s="13" t="s">
        <v>2507</v>
      </c>
      <c r="F121" s="14">
        <v>44871</v>
      </c>
    </row>
    <row r="122" spans="1:6" x14ac:dyDescent="0.3">
      <c r="A122" s="13" t="s">
        <v>522</v>
      </c>
      <c r="B122" s="13" t="s">
        <v>2627</v>
      </c>
      <c r="C122" s="15">
        <v>55</v>
      </c>
      <c r="D122" s="13" t="s">
        <v>99</v>
      </c>
      <c r="E122" s="13" t="s">
        <v>2515</v>
      </c>
      <c r="F122" s="14">
        <v>45119</v>
      </c>
    </row>
    <row r="123" spans="1:6" x14ac:dyDescent="0.3">
      <c r="A123" s="13" t="s">
        <v>1217</v>
      </c>
      <c r="B123" s="13" t="s">
        <v>2628</v>
      </c>
      <c r="C123" s="15">
        <v>44</v>
      </c>
      <c r="D123" s="13" t="s">
        <v>112</v>
      </c>
      <c r="E123" s="13" t="s">
        <v>2507</v>
      </c>
      <c r="F123" s="14">
        <v>44686</v>
      </c>
    </row>
    <row r="124" spans="1:6" x14ac:dyDescent="0.3">
      <c r="A124" s="13" t="s">
        <v>886</v>
      </c>
      <c r="B124" s="13" t="s">
        <v>2629</v>
      </c>
      <c r="C124" s="15">
        <v>44</v>
      </c>
      <c r="D124" s="13" t="s">
        <v>94</v>
      </c>
      <c r="E124" s="13" t="s">
        <v>2509</v>
      </c>
      <c r="F124" s="14">
        <v>44589</v>
      </c>
    </row>
    <row r="125" spans="1:6" x14ac:dyDescent="0.3">
      <c r="A125" s="13" t="s">
        <v>493</v>
      </c>
      <c r="B125" s="13" t="s">
        <v>2630</v>
      </c>
      <c r="C125" s="15">
        <v>57</v>
      </c>
      <c r="D125" s="13" t="s">
        <v>88</v>
      </c>
      <c r="E125" s="13" t="s">
        <v>2507</v>
      </c>
      <c r="F125" s="14">
        <v>44818</v>
      </c>
    </row>
    <row r="126" spans="1:6" x14ac:dyDescent="0.3">
      <c r="A126" s="13" t="s">
        <v>530</v>
      </c>
      <c r="B126" s="13" t="s">
        <v>2631</v>
      </c>
      <c r="C126" s="15">
        <v>45</v>
      </c>
      <c r="D126" s="13" t="s">
        <v>99</v>
      </c>
      <c r="E126" s="13" t="s">
        <v>2507</v>
      </c>
      <c r="F126" s="14">
        <v>44263</v>
      </c>
    </row>
    <row r="127" spans="1:6" x14ac:dyDescent="0.3">
      <c r="A127" s="13" t="s">
        <v>902</v>
      </c>
      <c r="B127" s="13" t="s">
        <v>2632</v>
      </c>
      <c r="C127" s="15">
        <v>37</v>
      </c>
      <c r="D127" s="13" t="s">
        <v>112</v>
      </c>
      <c r="E127" s="13" t="s">
        <v>2507</v>
      </c>
      <c r="F127" s="14">
        <v>44561</v>
      </c>
    </row>
    <row r="128" spans="1:6" x14ac:dyDescent="0.3">
      <c r="A128" s="13" t="s">
        <v>983</v>
      </c>
      <c r="B128" s="13" t="s">
        <v>2538</v>
      </c>
      <c r="C128" s="15">
        <v>36</v>
      </c>
      <c r="D128" s="13" t="s">
        <v>117</v>
      </c>
      <c r="E128" s="13" t="s">
        <v>2515</v>
      </c>
      <c r="F128" s="14">
        <v>45036</v>
      </c>
    </row>
    <row r="129" spans="1:6" x14ac:dyDescent="0.3">
      <c r="A129" s="13" t="s">
        <v>952</v>
      </c>
      <c r="B129" s="13" t="s">
        <v>2633</v>
      </c>
      <c r="C129" s="15">
        <v>35</v>
      </c>
      <c r="D129" s="13" t="s">
        <v>133</v>
      </c>
      <c r="E129" s="13" t="s">
        <v>2507</v>
      </c>
      <c r="F129" s="14">
        <v>44602</v>
      </c>
    </row>
    <row r="130" spans="1:6" x14ac:dyDescent="0.3">
      <c r="A130" s="13" t="s">
        <v>299</v>
      </c>
      <c r="B130" s="13" t="s">
        <v>2634</v>
      </c>
      <c r="C130" s="15">
        <v>29</v>
      </c>
      <c r="D130" s="13" t="s">
        <v>2635</v>
      </c>
      <c r="E130" s="13" t="s">
        <v>2507</v>
      </c>
      <c r="F130" s="14">
        <v>44930</v>
      </c>
    </row>
    <row r="131" spans="1:6" x14ac:dyDescent="0.3">
      <c r="A131" s="13" t="s">
        <v>841</v>
      </c>
      <c r="B131" s="13" t="s">
        <v>2636</v>
      </c>
      <c r="C131" s="15">
        <v>41</v>
      </c>
      <c r="D131" s="13" t="s">
        <v>117</v>
      </c>
      <c r="E131" s="13" t="s">
        <v>2509</v>
      </c>
      <c r="F131" s="14">
        <v>44897</v>
      </c>
    </row>
    <row r="132" spans="1:6" x14ac:dyDescent="0.3">
      <c r="A132" s="13" t="s">
        <v>359</v>
      </c>
      <c r="B132" s="13" t="s">
        <v>2637</v>
      </c>
      <c r="C132" s="15">
        <v>28</v>
      </c>
      <c r="D132" s="13" t="s">
        <v>2512</v>
      </c>
      <c r="E132" s="13" t="s">
        <v>2515</v>
      </c>
      <c r="F132" s="14">
        <v>44158</v>
      </c>
    </row>
    <row r="133" spans="1:6" x14ac:dyDescent="0.3">
      <c r="A133" s="13" t="s">
        <v>684</v>
      </c>
      <c r="B133" s="13" t="s">
        <v>2638</v>
      </c>
      <c r="C133" s="15">
        <v>41</v>
      </c>
      <c r="D133" s="13" t="s">
        <v>99</v>
      </c>
      <c r="E133" s="13" t="s">
        <v>2507</v>
      </c>
      <c r="F133" s="14">
        <v>44754</v>
      </c>
    </row>
    <row r="134" spans="1:6" x14ac:dyDescent="0.3">
      <c r="A134" s="13" t="s">
        <v>342</v>
      </c>
      <c r="B134" s="13" t="s">
        <v>2639</v>
      </c>
      <c r="C134" s="15">
        <v>26</v>
      </c>
      <c r="D134" s="13" t="s">
        <v>94</v>
      </c>
      <c r="E134" s="13" t="s">
        <v>2507</v>
      </c>
      <c r="F134" s="14">
        <v>43837</v>
      </c>
    </row>
    <row r="135" spans="1:6" x14ac:dyDescent="0.3">
      <c r="A135" s="13" t="s">
        <v>626</v>
      </c>
      <c r="B135" s="13" t="s">
        <v>2640</v>
      </c>
      <c r="C135" s="15">
        <v>40</v>
      </c>
      <c r="D135" s="13" t="s">
        <v>99</v>
      </c>
      <c r="E135" s="13" t="s">
        <v>2507</v>
      </c>
      <c r="F135" s="14">
        <v>45111</v>
      </c>
    </row>
    <row r="136" spans="1:6" x14ac:dyDescent="0.3">
      <c r="A136" s="13" t="s">
        <v>563</v>
      </c>
      <c r="B136" s="13" t="s">
        <v>2641</v>
      </c>
      <c r="C136" s="15">
        <v>24</v>
      </c>
      <c r="D136" s="13" t="s">
        <v>88</v>
      </c>
      <c r="E136" s="13" t="s">
        <v>2515</v>
      </c>
      <c r="F136" s="14">
        <v>44673</v>
      </c>
    </row>
    <row r="137" spans="1:6" x14ac:dyDescent="0.3">
      <c r="A137" s="13" t="s">
        <v>850</v>
      </c>
      <c r="B137" s="13" t="s">
        <v>2642</v>
      </c>
      <c r="C137" s="15">
        <v>26</v>
      </c>
      <c r="D137" s="13" t="s">
        <v>94</v>
      </c>
      <c r="E137" s="13" t="s">
        <v>2515</v>
      </c>
      <c r="F137" s="14">
        <v>44122</v>
      </c>
    </row>
    <row r="138" spans="1:6" x14ac:dyDescent="0.3">
      <c r="A138" s="13" t="s">
        <v>447</v>
      </c>
      <c r="B138" s="13" t="s">
        <v>2601</v>
      </c>
      <c r="C138" s="15">
        <v>41</v>
      </c>
      <c r="D138" s="13" t="s">
        <v>112</v>
      </c>
      <c r="E138" s="13" t="s">
        <v>2507</v>
      </c>
      <c r="F138" s="14">
        <v>44946</v>
      </c>
    </row>
    <row r="139" spans="1:6" x14ac:dyDescent="0.3">
      <c r="A139" s="13" t="s">
        <v>717</v>
      </c>
      <c r="B139" s="13" t="s">
        <v>2643</v>
      </c>
      <c r="C139" s="15">
        <v>24</v>
      </c>
      <c r="D139" s="13" t="s">
        <v>94</v>
      </c>
      <c r="E139" s="13" t="s">
        <v>2507</v>
      </c>
      <c r="F139" s="14">
        <v>43955</v>
      </c>
    </row>
    <row r="140" spans="1:6" x14ac:dyDescent="0.3">
      <c r="A140" s="13" t="s">
        <v>333</v>
      </c>
      <c r="B140" s="13" t="s">
        <v>2644</v>
      </c>
      <c r="C140" s="15">
        <v>65</v>
      </c>
      <c r="D140" s="13" t="s">
        <v>133</v>
      </c>
      <c r="E140" s="13" t="s">
        <v>2515</v>
      </c>
      <c r="F140" s="14">
        <v>43997</v>
      </c>
    </row>
    <row r="141" spans="1:6" x14ac:dyDescent="0.3">
      <c r="A141" s="13" t="s">
        <v>2053</v>
      </c>
      <c r="B141" s="13" t="s">
        <v>2645</v>
      </c>
      <c r="C141" s="15">
        <v>39</v>
      </c>
      <c r="D141" s="13" t="s">
        <v>133</v>
      </c>
      <c r="E141" s="13" t="s">
        <v>2515</v>
      </c>
      <c r="F141" s="14">
        <v>43854</v>
      </c>
    </row>
    <row r="142" spans="1:6" x14ac:dyDescent="0.3">
      <c r="A142" s="13" t="s">
        <v>628</v>
      </c>
      <c r="B142" s="13" t="s">
        <v>2646</v>
      </c>
      <c r="C142" s="15">
        <v>22</v>
      </c>
      <c r="D142" s="13" t="s">
        <v>133</v>
      </c>
      <c r="E142" s="13" t="s">
        <v>2509</v>
      </c>
      <c r="F142" s="14">
        <v>45069</v>
      </c>
    </row>
    <row r="143" spans="1:6" x14ac:dyDescent="0.3">
      <c r="A143" s="13" t="s">
        <v>178</v>
      </c>
      <c r="B143" s="13" t="s">
        <v>2589</v>
      </c>
      <c r="C143" s="15">
        <v>55</v>
      </c>
      <c r="D143" s="13" t="s">
        <v>2647</v>
      </c>
      <c r="E143" s="13" t="s">
        <v>2509</v>
      </c>
      <c r="F143" s="14">
        <v>44597</v>
      </c>
    </row>
    <row r="144" spans="1:6" x14ac:dyDescent="0.3">
      <c r="A144" s="13" t="s">
        <v>186</v>
      </c>
      <c r="B144" s="13" t="s">
        <v>2648</v>
      </c>
      <c r="C144" s="15">
        <v>52</v>
      </c>
      <c r="D144" s="13" t="s">
        <v>94</v>
      </c>
      <c r="E144" s="13" t="s">
        <v>2515</v>
      </c>
      <c r="F144" s="14">
        <v>44194</v>
      </c>
    </row>
    <row r="145" spans="1:6" x14ac:dyDescent="0.3">
      <c r="A145" s="13" t="s">
        <v>1065</v>
      </c>
      <c r="B145" s="13" t="s">
        <v>2649</v>
      </c>
      <c r="C145" s="15">
        <v>49</v>
      </c>
      <c r="D145" s="13" t="s">
        <v>94</v>
      </c>
      <c r="E145" s="13" t="s">
        <v>2507</v>
      </c>
      <c r="F145" s="14">
        <v>44931</v>
      </c>
    </row>
    <row r="146" spans="1:6" x14ac:dyDescent="0.3">
      <c r="A146" s="13" t="s">
        <v>376</v>
      </c>
      <c r="B146" s="13" t="s">
        <v>2650</v>
      </c>
      <c r="C146" s="15">
        <v>44</v>
      </c>
      <c r="D146" s="13" t="s">
        <v>117</v>
      </c>
      <c r="E146" s="13" t="s">
        <v>2515</v>
      </c>
      <c r="F146" s="14">
        <v>44009</v>
      </c>
    </row>
    <row r="147" spans="1:6" x14ac:dyDescent="0.3">
      <c r="A147" s="13" t="s">
        <v>418</v>
      </c>
      <c r="B147" s="13" t="s">
        <v>2651</v>
      </c>
      <c r="C147" s="15">
        <v>22</v>
      </c>
      <c r="D147" s="13" t="s">
        <v>133</v>
      </c>
      <c r="E147" s="13" t="s">
        <v>2507</v>
      </c>
      <c r="F147" s="14">
        <v>44681</v>
      </c>
    </row>
    <row r="148" spans="1:6" x14ac:dyDescent="0.3">
      <c r="A148" s="13" t="s">
        <v>126</v>
      </c>
      <c r="B148" s="13" t="s">
        <v>2652</v>
      </c>
      <c r="C148" s="15">
        <v>56</v>
      </c>
      <c r="D148" s="13" t="s">
        <v>88</v>
      </c>
      <c r="E148" s="13" t="s">
        <v>2507</v>
      </c>
      <c r="F148" s="14">
        <v>44644</v>
      </c>
    </row>
    <row r="149" spans="1:6" x14ac:dyDescent="0.3">
      <c r="A149" s="13" t="s">
        <v>823</v>
      </c>
      <c r="B149" s="13" t="s">
        <v>2653</v>
      </c>
      <c r="C149" s="15">
        <v>32</v>
      </c>
      <c r="D149" s="13" t="s">
        <v>94</v>
      </c>
      <c r="E149" s="13" t="s">
        <v>2507</v>
      </c>
      <c r="F149" s="14">
        <v>44014</v>
      </c>
    </row>
    <row r="150" spans="1:6" x14ac:dyDescent="0.3">
      <c r="A150" s="13" t="s">
        <v>388</v>
      </c>
      <c r="B150" s="13" t="s">
        <v>2654</v>
      </c>
      <c r="C150" s="15">
        <v>44</v>
      </c>
      <c r="D150" s="13" t="s">
        <v>1821</v>
      </c>
      <c r="E150" s="13" t="s">
        <v>2507</v>
      </c>
      <c r="F150" s="14">
        <v>44390</v>
      </c>
    </row>
    <row r="151" spans="1:6" x14ac:dyDescent="0.3">
      <c r="A151" s="13" t="s">
        <v>407</v>
      </c>
      <c r="B151" s="13" t="s">
        <v>2644</v>
      </c>
      <c r="C151" s="15">
        <v>53</v>
      </c>
      <c r="D151" s="13" t="s">
        <v>88</v>
      </c>
      <c r="E151" s="13" t="s">
        <v>2515</v>
      </c>
      <c r="F151" s="14">
        <v>45208</v>
      </c>
    </row>
    <row r="152" spans="1:6" x14ac:dyDescent="0.3">
      <c r="A152" s="13" t="s">
        <v>615</v>
      </c>
      <c r="B152" s="13" t="s">
        <v>2655</v>
      </c>
      <c r="C152" s="15">
        <v>53</v>
      </c>
      <c r="D152" s="13" t="s">
        <v>112</v>
      </c>
      <c r="E152" s="13" t="s">
        <v>2507</v>
      </c>
      <c r="F152" s="14">
        <v>43999</v>
      </c>
    </row>
    <row r="153" spans="1:6" x14ac:dyDescent="0.3">
      <c r="A153" s="13" t="s">
        <v>231</v>
      </c>
      <c r="B153" s="13" t="s">
        <v>2656</v>
      </c>
      <c r="C153" s="15">
        <v>64</v>
      </c>
      <c r="D153" s="13" t="s">
        <v>117</v>
      </c>
      <c r="E153" s="13" t="s">
        <v>2515</v>
      </c>
      <c r="F153" s="14">
        <v>44209</v>
      </c>
    </row>
    <row r="154" spans="1:6" x14ac:dyDescent="0.3">
      <c r="A154" s="13" t="s">
        <v>686</v>
      </c>
      <c r="B154" s="13" t="s">
        <v>2657</v>
      </c>
      <c r="C154" s="15">
        <v>35</v>
      </c>
      <c r="D154" s="13" t="s">
        <v>112</v>
      </c>
      <c r="E154" s="13" t="s">
        <v>2507</v>
      </c>
      <c r="F154" s="14">
        <v>44787</v>
      </c>
    </row>
    <row r="155" spans="1:6" x14ac:dyDescent="0.3">
      <c r="A155" s="13" t="s">
        <v>807</v>
      </c>
      <c r="B155" s="13" t="s">
        <v>2658</v>
      </c>
      <c r="C155" s="15">
        <v>36</v>
      </c>
      <c r="D155" s="13" t="s">
        <v>88</v>
      </c>
      <c r="E155" s="13" t="s">
        <v>2507</v>
      </c>
      <c r="F155" s="14">
        <v>44370</v>
      </c>
    </row>
    <row r="156" spans="1:6" x14ac:dyDescent="0.3">
      <c r="A156" s="13" t="s">
        <v>608</v>
      </c>
      <c r="B156" s="13" t="s">
        <v>2659</v>
      </c>
      <c r="C156" s="15">
        <v>40</v>
      </c>
      <c r="D156" s="13" t="s">
        <v>88</v>
      </c>
      <c r="E156" s="13" t="s">
        <v>2509</v>
      </c>
      <c r="F156" s="14">
        <v>44693</v>
      </c>
    </row>
    <row r="157" spans="1:6" x14ac:dyDescent="0.3">
      <c r="A157" s="13" t="s">
        <v>1036</v>
      </c>
      <c r="B157" s="13" t="s">
        <v>2660</v>
      </c>
      <c r="C157" s="15">
        <v>33</v>
      </c>
      <c r="D157" s="13" t="s">
        <v>112</v>
      </c>
      <c r="E157" s="13" t="s">
        <v>2507</v>
      </c>
      <c r="F157" s="14">
        <v>45229</v>
      </c>
    </row>
    <row r="158" spans="1:6" x14ac:dyDescent="0.3">
      <c r="A158" s="13" t="s">
        <v>703</v>
      </c>
      <c r="B158" s="13" t="s">
        <v>2661</v>
      </c>
      <c r="C158" s="15">
        <v>52</v>
      </c>
      <c r="D158" s="13" t="s">
        <v>88</v>
      </c>
      <c r="E158" s="13" t="s">
        <v>2509</v>
      </c>
      <c r="F158" s="14">
        <v>44896</v>
      </c>
    </row>
    <row r="159" spans="1:6" x14ac:dyDescent="0.3">
      <c r="A159" s="13" t="s">
        <v>1096</v>
      </c>
      <c r="B159" s="13" t="s">
        <v>2662</v>
      </c>
      <c r="C159" s="15">
        <v>42</v>
      </c>
      <c r="D159" s="13" t="s">
        <v>88</v>
      </c>
      <c r="E159" s="13" t="s">
        <v>2509</v>
      </c>
      <c r="F159" s="14">
        <v>44617</v>
      </c>
    </row>
    <row r="160" spans="1:6" x14ac:dyDescent="0.3">
      <c r="A160" s="13" t="s">
        <v>166</v>
      </c>
      <c r="B160" s="13" t="s">
        <v>2663</v>
      </c>
      <c r="C160" s="15">
        <v>32</v>
      </c>
      <c r="D160" s="13" t="s">
        <v>2635</v>
      </c>
      <c r="E160" s="13" t="s">
        <v>2507</v>
      </c>
      <c r="F160" s="14">
        <v>44432</v>
      </c>
    </row>
    <row r="161" spans="1:6" x14ac:dyDescent="0.3">
      <c r="A161" s="13" t="s">
        <v>655</v>
      </c>
      <c r="B161" s="13" t="s">
        <v>2664</v>
      </c>
      <c r="C161" s="15">
        <v>27</v>
      </c>
      <c r="D161" s="13" t="s">
        <v>133</v>
      </c>
      <c r="E161" s="13" t="s">
        <v>2507</v>
      </c>
      <c r="F161" s="14">
        <v>44481</v>
      </c>
    </row>
    <row r="162" spans="1:6" x14ac:dyDescent="0.3">
      <c r="A162" s="13" t="s">
        <v>289</v>
      </c>
      <c r="B162" s="13" t="s">
        <v>2665</v>
      </c>
      <c r="C162" s="15">
        <v>38</v>
      </c>
      <c r="D162" s="13" t="s">
        <v>94</v>
      </c>
      <c r="E162" s="13" t="s">
        <v>2507</v>
      </c>
      <c r="F162" s="14">
        <v>43880</v>
      </c>
    </row>
    <row r="163" spans="1:6" x14ac:dyDescent="0.3">
      <c r="A163" s="13" t="s">
        <v>520</v>
      </c>
      <c r="B163" s="13" t="s">
        <v>2666</v>
      </c>
      <c r="C163" s="15">
        <v>35</v>
      </c>
      <c r="D163" s="13" t="s">
        <v>112</v>
      </c>
      <c r="E163" s="13" t="s">
        <v>2509</v>
      </c>
      <c r="F163" s="14">
        <v>44741</v>
      </c>
    </row>
    <row r="164" spans="1:6" x14ac:dyDescent="0.3">
      <c r="A164" s="13" t="s">
        <v>485</v>
      </c>
      <c r="B164" s="13" t="s">
        <v>2533</v>
      </c>
      <c r="C164" s="15">
        <v>49</v>
      </c>
      <c r="D164" s="13" t="s">
        <v>88</v>
      </c>
      <c r="E164" s="13" t="s">
        <v>2507</v>
      </c>
      <c r="F164" s="14">
        <v>44971</v>
      </c>
    </row>
    <row r="165" spans="1:6" x14ac:dyDescent="0.3">
      <c r="A165" s="13" t="s">
        <v>353</v>
      </c>
      <c r="B165" s="13" t="s">
        <v>2518</v>
      </c>
      <c r="C165" s="15">
        <v>60</v>
      </c>
      <c r="D165" s="13" t="s">
        <v>94</v>
      </c>
      <c r="E165" s="13" t="s">
        <v>2507</v>
      </c>
      <c r="F165" s="14">
        <v>44739</v>
      </c>
    </row>
    <row r="166" spans="1:6" x14ac:dyDescent="0.3">
      <c r="A166" s="13" t="s">
        <v>457</v>
      </c>
      <c r="B166" s="13" t="s">
        <v>2552</v>
      </c>
      <c r="C166" s="15">
        <v>29</v>
      </c>
      <c r="D166" s="13" t="s">
        <v>88</v>
      </c>
      <c r="E166" s="13" t="s">
        <v>2507</v>
      </c>
      <c r="F166" s="14">
        <v>44046</v>
      </c>
    </row>
    <row r="167" spans="1:6" x14ac:dyDescent="0.3">
      <c r="A167" s="13" t="s">
        <v>669</v>
      </c>
      <c r="B167" s="13" t="s">
        <v>2667</v>
      </c>
      <c r="C167" s="15">
        <v>31</v>
      </c>
      <c r="D167" s="13" t="s">
        <v>133</v>
      </c>
      <c r="E167" s="13" t="s">
        <v>2507</v>
      </c>
      <c r="F167" s="14">
        <v>44331</v>
      </c>
    </row>
    <row r="168" spans="1:6" x14ac:dyDescent="0.3">
      <c r="A168" s="13" t="s">
        <v>638</v>
      </c>
      <c r="B168" s="13" t="s">
        <v>2668</v>
      </c>
      <c r="C168" s="15">
        <v>43</v>
      </c>
      <c r="D168" s="13" t="s">
        <v>99</v>
      </c>
      <c r="E168" s="13" t="s">
        <v>2507</v>
      </c>
      <c r="F168" s="14">
        <v>44891</v>
      </c>
    </row>
    <row r="169" spans="1:6" x14ac:dyDescent="0.3">
      <c r="A169" s="13" t="s">
        <v>281</v>
      </c>
      <c r="B169" s="13" t="s">
        <v>2669</v>
      </c>
      <c r="C169" s="15">
        <v>25</v>
      </c>
      <c r="D169" s="13" t="s">
        <v>88</v>
      </c>
      <c r="E169" s="13" t="s">
        <v>2507</v>
      </c>
      <c r="F169" s="14">
        <v>44406</v>
      </c>
    </row>
    <row r="170" spans="1:6" x14ac:dyDescent="0.3">
      <c r="A170" s="13" t="s">
        <v>610</v>
      </c>
      <c r="B170" s="13" t="s">
        <v>2670</v>
      </c>
      <c r="C170" s="15">
        <v>42</v>
      </c>
      <c r="D170" s="13" t="s">
        <v>117</v>
      </c>
      <c r="E170" s="13" t="s">
        <v>2515</v>
      </c>
      <c r="F170" s="14">
        <v>45072</v>
      </c>
    </row>
    <row r="171" spans="1:6" x14ac:dyDescent="0.3">
      <c r="A171" s="13" t="s">
        <v>350</v>
      </c>
      <c r="B171" s="13" t="s">
        <v>2671</v>
      </c>
      <c r="C171" s="15">
        <v>22</v>
      </c>
      <c r="D171" s="13" t="s">
        <v>112</v>
      </c>
      <c r="E171" s="13" t="s">
        <v>2515</v>
      </c>
      <c r="F171" s="14">
        <v>45110</v>
      </c>
    </row>
    <row r="172" spans="1:6" x14ac:dyDescent="0.3">
      <c r="A172" s="13" t="s">
        <v>589</v>
      </c>
      <c r="B172" s="13" t="s">
        <v>2672</v>
      </c>
      <c r="C172" s="15">
        <v>30</v>
      </c>
      <c r="D172" s="13" t="s">
        <v>94</v>
      </c>
      <c r="E172" s="13" t="s">
        <v>2509</v>
      </c>
      <c r="F172" s="14">
        <v>44540</v>
      </c>
    </row>
    <row r="173" spans="1:6" x14ac:dyDescent="0.3">
      <c r="A173" s="13" t="s">
        <v>442</v>
      </c>
      <c r="B173" s="13" t="s">
        <v>2673</v>
      </c>
      <c r="C173" s="15">
        <v>65</v>
      </c>
      <c r="D173" s="13" t="s">
        <v>88</v>
      </c>
      <c r="E173" s="13" t="s">
        <v>2507</v>
      </c>
      <c r="F173" s="14">
        <v>44918</v>
      </c>
    </row>
    <row r="174" spans="1:6" x14ac:dyDescent="0.3">
      <c r="A174" s="13" t="s">
        <v>553</v>
      </c>
      <c r="B174" s="13" t="s">
        <v>2674</v>
      </c>
      <c r="C174" s="15">
        <v>65</v>
      </c>
      <c r="D174" s="13" t="s">
        <v>112</v>
      </c>
      <c r="E174" s="13" t="s">
        <v>2507</v>
      </c>
      <c r="F174" s="14">
        <v>44342</v>
      </c>
    </row>
    <row r="175" spans="1:6" x14ac:dyDescent="0.3">
      <c r="A175" s="13" t="s">
        <v>945</v>
      </c>
      <c r="B175" s="13" t="s">
        <v>2675</v>
      </c>
      <c r="C175" s="15">
        <v>54</v>
      </c>
      <c r="D175" s="13" t="s">
        <v>88</v>
      </c>
      <c r="E175" s="13" t="s">
        <v>2507</v>
      </c>
      <c r="F175" s="14">
        <v>44609</v>
      </c>
    </row>
    <row r="176" spans="1:6" x14ac:dyDescent="0.3">
      <c r="A176" s="13" t="s">
        <v>266</v>
      </c>
      <c r="B176" s="13" t="s">
        <v>2676</v>
      </c>
      <c r="C176" s="15">
        <v>55</v>
      </c>
      <c r="D176" s="13" t="s">
        <v>99</v>
      </c>
      <c r="E176" s="13" t="s">
        <v>2509</v>
      </c>
      <c r="F176" s="14">
        <v>44423</v>
      </c>
    </row>
    <row r="177" spans="1:6" x14ac:dyDescent="0.3">
      <c r="A177" s="13" t="s">
        <v>250</v>
      </c>
      <c r="B177" s="13" t="s">
        <v>2677</v>
      </c>
      <c r="C177" s="15">
        <v>34</v>
      </c>
      <c r="D177" s="13" t="s">
        <v>117</v>
      </c>
      <c r="E177" s="13" t="s">
        <v>2515</v>
      </c>
      <c r="F177" s="14">
        <v>44091</v>
      </c>
    </row>
    <row r="178" spans="1:6" x14ac:dyDescent="0.3">
      <c r="A178" s="13" t="s">
        <v>212</v>
      </c>
      <c r="B178" s="13" t="s">
        <v>2604</v>
      </c>
      <c r="C178" s="15">
        <v>36</v>
      </c>
      <c r="D178" s="13" t="s">
        <v>112</v>
      </c>
      <c r="E178" s="13" t="s">
        <v>2515</v>
      </c>
      <c r="F178" s="14">
        <v>44589</v>
      </c>
    </row>
    <row r="179" spans="1:6" x14ac:dyDescent="0.3">
      <c r="A179" s="13" t="s">
        <v>544</v>
      </c>
      <c r="B179" s="13" t="s">
        <v>2678</v>
      </c>
      <c r="C179" s="15">
        <v>25</v>
      </c>
      <c r="D179" s="13" t="s">
        <v>133</v>
      </c>
      <c r="E179" s="13" t="s">
        <v>2507</v>
      </c>
      <c r="F179" s="14">
        <v>45164</v>
      </c>
    </row>
    <row r="180" spans="1:6" x14ac:dyDescent="0.3">
      <c r="A180" s="13" t="s">
        <v>1062</v>
      </c>
      <c r="B180" s="13" t="s">
        <v>2679</v>
      </c>
      <c r="C180" s="15">
        <v>54</v>
      </c>
      <c r="D180" s="13" t="s">
        <v>112</v>
      </c>
      <c r="E180" s="13" t="s">
        <v>2515</v>
      </c>
      <c r="F180" s="14">
        <v>44959</v>
      </c>
    </row>
    <row r="181" spans="1:6" x14ac:dyDescent="0.3">
      <c r="A181" s="13" t="s">
        <v>105</v>
      </c>
      <c r="B181" s="13" t="s">
        <v>2680</v>
      </c>
      <c r="C181" s="15">
        <v>36</v>
      </c>
      <c r="D181" s="13" t="s">
        <v>94</v>
      </c>
      <c r="E181" s="13" t="s">
        <v>2507</v>
      </c>
      <c r="F181" s="14">
        <v>45172</v>
      </c>
    </row>
    <row r="182" spans="1:6" x14ac:dyDescent="0.3">
      <c r="A182" s="13" t="s">
        <v>357</v>
      </c>
      <c r="B182" s="13" t="s">
        <v>2681</v>
      </c>
      <c r="C182" s="15">
        <v>38</v>
      </c>
      <c r="D182" s="13" t="s">
        <v>99</v>
      </c>
      <c r="E182" s="13" t="s">
        <v>2515</v>
      </c>
      <c r="F182" s="14">
        <v>44245</v>
      </c>
    </row>
    <row r="183" spans="1:6" x14ac:dyDescent="0.3">
      <c r="A183" s="13" t="s">
        <v>160</v>
      </c>
      <c r="B183" s="13" t="s">
        <v>2682</v>
      </c>
      <c r="C183" s="15">
        <v>54</v>
      </c>
      <c r="D183" s="13" t="s">
        <v>112</v>
      </c>
      <c r="E183" s="13" t="s">
        <v>2507</v>
      </c>
      <c r="F183" s="14">
        <v>43942</v>
      </c>
    </row>
    <row r="184" spans="1:6" x14ac:dyDescent="0.3">
      <c r="A184" s="13" t="s">
        <v>643</v>
      </c>
      <c r="B184" s="13" t="s">
        <v>2683</v>
      </c>
      <c r="C184" s="15">
        <v>27</v>
      </c>
      <c r="D184" s="13" t="s">
        <v>112</v>
      </c>
      <c r="E184" s="13" t="s">
        <v>2515</v>
      </c>
      <c r="F184" s="14">
        <v>43936</v>
      </c>
    </row>
    <row r="185" spans="1:6" x14ac:dyDescent="0.3">
      <c r="A185" s="13" t="s">
        <v>150</v>
      </c>
      <c r="B185" s="13" t="s">
        <v>2684</v>
      </c>
      <c r="C185" s="15">
        <v>63</v>
      </c>
      <c r="D185" s="13" t="s">
        <v>88</v>
      </c>
      <c r="E185" s="13" t="s">
        <v>2507</v>
      </c>
      <c r="F185" s="14">
        <v>44642</v>
      </c>
    </row>
    <row r="186" spans="1:6" x14ac:dyDescent="0.3">
      <c r="A186" s="13" t="s">
        <v>561</v>
      </c>
      <c r="B186" s="13" t="s">
        <v>2685</v>
      </c>
      <c r="C186" s="15">
        <v>43</v>
      </c>
      <c r="D186" s="13" t="s">
        <v>133</v>
      </c>
      <c r="E186" s="13" t="s">
        <v>2515</v>
      </c>
      <c r="F186" s="14">
        <v>44140</v>
      </c>
    </row>
    <row r="187" spans="1:6" x14ac:dyDescent="0.3">
      <c r="A187" s="13" t="s">
        <v>214</v>
      </c>
      <c r="B187" s="13" t="s">
        <v>2674</v>
      </c>
      <c r="C187" s="15">
        <v>42</v>
      </c>
      <c r="D187" s="13" t="s">
        <v>117</v>
      </c>
      <c r="E187" s="13" t="s">
        <v>2507</v>
      </c>
      <c r="F187" s="14">
        <v>45162</v>
      </c>
    </row>
    <row r="188" spans="1:6" x14ac:dyDescent="0.3">
      <c r="A188" s="13" t="s">
        <v>401</v>
      </c>
      <c r="B188" s="13" t="s">
        <v>2686</v>
      </c>
      <c r="C188" s="15">
        <v>51</v>
      </c>
      <c r="D188" s="13" t="s">
        <v>94</v>
      </c>
      <c r="E188" s="13" t="s">
        <v>2515</v>
      </c>
      <c r="F188" s="14">
        <v>43918</v>
      </c>
    </row>
    <row r="189" spans="1:6" x14ac:dyDescent="0.3">
      <c r="A189" s="13" t="s">
        <v>1261</v>
      </c>
      <c r="B189" s="13" t="s">
        <v>2687</v>
      </c>
      <c r="C189" s="15">
        <v>54</v>
      </c>
      <c r="D189" s="13" t="s">
        <v>117</v>
      </c>
      <c r="E189" s="13" t="s">
        <v>2507</v>
      </c>
      <c r="F189" s="14">
        <v>44476</v>
      </c>
    </row>
    <row r="190" spans="1:6" x14ac:dyDescent="0.3">
      <c r="A190" s="13" t="s">
        <v>301</v>
      </c>
      <c r="B190" s="13" t="s">
        <v>2688</v>
      </c>
      <c r="C190" s="15">
        <v>41</v>
      </c>
      <c r="D190" s="13" t="s">
        <v>94</v>
      </c>
      <c r="E190" s="13" t="s">
        <v>2507</v>
      </c>
      <c r="F190" s="14">
        <v>44392</v>
      </c>
    </row>
    <row r="191" spans="1:6" x14ac:dyDescent="0.3">
      <c r="A191" s="13" t="s">
        <v>828</v>
      </c>
      <c r="B191" s="13" t="s">
        <v>2689</v>
      </c>
      <c r="C191" s="15">
        <v>52</v>
      </c>
      <c r="D191" s="13" t="s">
        <v>133</v>
      </c>
      <c r="E191" s="13" t="s">
        <v>2507</v>
      </c>
      <c r="F191" s="14">
        <v>44668</v>
      </c>
    </row>
    <row r="192" spans="1:6" x14ac:dyDescent="0.3">
      <c r="A192" s="13" t="s">
        <v>294</v>
      </c>
      <c r="B192" s="13" t="s">
        <v>2690</v>
      </c>
      <c r="C192" s="15">
        <v>43</v>
      </c>
      <c r="D192" s="13" t="s">
        <v>133</v>
      </c>
      <c r="E192" s="13" t="s">
        <v>2515</v>
      </c>
      <c r="F192" s="14">
        <v>44080</v>
      </c>
    </row>
    <row r="193" spans="1:6" x14ac:dyDescent="0.3">
      <c r="A193" s="13" t="s">
        <v>429</v>
      </c>
      <c r="B193" s="13" t="s">
        <v>2691</v>
      </c>
      <c r="C193" s="15">
        <v>55</v>
      </c>
      <c r="D193" s="13" t="s">
        <v>117</v>
      </c>
      <c r="E193" s="13" t="s">
        <v>2507</v>
      </c>
      <c r="F193" s="14">
        <v>44663</v>
      </c>
    </row>
    <row r="194" spans="1:6" x14ac:dyDescent="0.3">
      <c r="A194" s="13" t="s">
        <v>310</v>
      </c>
      <c r="B194" s="13" t="s">
        <v>2692</v>
      </c>
      <c r="C194" s="15">
        <v>42</v>
      </c>
      <c r="D194" s="13" t="s">
        <v>117</v>
      </c>
      <c r="E194" s="13" t="s">
        <v>2507</v>
      </c>
      <c r="F194" s="14">
        <v>43886</v>
      </c>
    </row>
    <row r="195" spans="1:6" x14ac:dyDescent="0.3">
      <c r="A195" s="13" t="s">
        <v>258</v>
      </c>
      <c r="B195" s="13" t="s">
        <v>2543</v>
      </c>
      <c r="C195" s="15">
        <v>55</v>
      </c>
      <c r="D195" s="13" t="s">
        <v>99</v>
      </c>
      <c r="E195" s="13" t="s">
        <v>2515</v>
      </c>
      <c r="F195" s="14">
        <v>43869</v>
      </c>
    </row>
    <row r="196" spans="1:6" x14ac:dyDescent="0.3">
      <c r="A196" s="13" t="s">
        <v>921</v>
      </c>
      <c r="B196" s="13" t="s">
        <v>2693</v>
      </c>
      <c r="C196" s="15">
        <v>28</v>
      </c>
      <c r="D196" s="13" t="s">
        <v>117</v>
      </c>
      <c r="E196" s="13" t="s">
        <v>2507</v>
      </c>
      <c r="F196" s="14">
        <v>44056</v>
      </c>
    </row>
    <row r="197" spans="1:6" x14ac:dyDescent="0.3">
      <c r="A197" s="13" t="s">
        <v>680</v>
      </c>
      <c r="B197" s="13" t="s">
        <v>2694</v>
      </c>
      <c r="C197" s="15">
        <v>26</v>
      </c>
      <c r="D197" s="13" t="s">
        <v>94</v>
      </c>
      <c r="E197" s="13" t="s">
        <v>2507</v>
      </c>
      <c r="F197" s="14">
        <v>44738</v>
      </c>
    </row>
    <row r="198" spans="1:6" x14ac:dyDescent="0.3">
      <c r="A198" s="13" t="s">
        <v>463</v>
      </c>
      <c r="B198" s="13" t="s">
        <v>2695</v>
      </c>
      <c r="C198" s="15">
        <v>55</v>
      </c>
      <c r="D198" s="13" t="s">
        <v>117</v>
      </c>
      <c r="E198" s="13" t="s">
        <v>2507</v>
      </c>
      <c r="F198" s="14">
        <v>44715</v>
      </c>
    </row>
    <row r="199" spans="1:6" x14ac:dyDescent="0.3">
      <c r="A199" s="13" t="s">
        <v>621</v>
      </c>
      <c r="B199" s="13" t="s">
        <v>2696</v>
      </c>
      <c r="C199" s="15">
        <v>22</v>
      </c>
      <c r="D199" s="13" t="s">
        <v>94</v>
      </c>
      <c r="E199" s="13" t="s">
        <v>2509</v>
      </c>
      <c r="F199" s="14">
        <v>44907</v>
      </c>
    </row>
    <row r="200" spans="1:6" x14ac:dyDescent="0.3">
      <c r="A200" s="13" t="s">
        <v>966</v>
      </c>
      <c r="B200" s="13" t="s">
        <v>2697</v>
      </c>
      <c r="C200" s="15">
        <v>31</v>
      </c>
      <c r="D200" s="13" t="s">
        <v>133</v>
      </c>
      <c r="E200" s="13" t="s">
        <v>2515</v>
      </c>
      <c r="F200" s="14">
        <v>44821</v>
      </c>
    </row>
    <row r="201" spans="1:6" x14ac:dyDescent="0.3">
      <c r="A201" s="13" t="s">
        <v>305</v>
      </c>
      <c r="B201" s="13" t="s">
        <v>2641</v>
      </c>
      <c r="C201" s="15">
        <v>46</v>
      </c>
      <c r="D201" s="13" t="s">
        <v>2635</v>
      </c>
      <c r="E201" s="13" t="s">
        <v>2509</v>
      </c>
      <c r="F201" s="14">
        <v>44396</v>
      </c>
    </row>
    <row r="202" spans="1:6" x14ac:dyDescent="0.3">
      <c r="A202" s="13" t="s">
        <v>908</v>
      </c>
      <c r="B202" s="13" t="s">
        <v>2698</v>
      </c>
      <c r="C202" s="15">
        <v>31</v>
      </c>
      <c r="D202" s="13" t="s">
        <v>133</v>
      </c>
      <c r="E202" s="13" t="s">
        <v>2507</v>
      </c>
      <c r="F202" s="14">
        <v>44629</v>
      </c>
    </row>
    <row r="203" spans="1:6" x14ac:dyDescent="0.3">
      <c r="A203" s="13" t="s">
        <v>90</v>
      </c>
      <c r="B203" s="13" t="s">
        <v>2699</v>
      </c>
      <c r="C203" s="15">
        <v>39</v>
      </c>
      <c r="D203" s="13" t="s">
        <v>94</v>
      </c>
      <c r="E203" s="13" t="s">
        <v>2507</v>
      </c>
      <c r="F203" s="14">
        <v>44149</v>
      </c>
    </row>
    <row r="204" spans="1:6" x14ac:dyDescent="0.3">
      <c r="A204" s="13" t="s">
        <v>272</v>
      </c>
      <c r="B204" s="13" t="s">
        <v>2700</v>
      </c>
      <c r="C204" s="15">
        <v>55</v>
      </c>
      <c r="D204" s="13" t="s">
        <v>94</v>
      </c>
      <c r="E204" s="13" t="s">
        <v>2515</v>
      </c>
      <c r="F204" s="14">
        <v>44912</v>
      </c>
    </row>
    <row r="205" spans="1:6" x14ac:dyDescent="0.3">
      <c r="A205" s="13" t="s">
        <v>130</v>
      </c>
      <c r="B205" s="13" t="s">
        <v>2701</v>
      </c>
      <c r="C205" s="15">
        <v>60</v>
      </c>
      <c r="D205" s="13" t="s">
        <v>133</v>
      </c>
      <c r="E205" s="13" t="s">
        <v>2507</v>
      </c>
      <c r="F205" s="14">
        <v>44738</v>
      </c>
    </row>
    <row r="206" spans="1:6" x14ac:dyDescent="0.3">
      <c r="A206" s="13" t="s">
        <v>977</v>
      </c>
      <c r="B206" s="13" t="s">
        <v>2547</v>
      </c>
      <c r="C206" s="15">
        <v>29</v>
      </c>
      <c r="D206" s="13" t="s">
        <v>88</v>
      </c>
      <c r="E206" s="13" t="s">
        <v>2509</v>
      </c>
      <c r="F206" s="14">
        <v>45075</v>
      </c>
    </row>
    <row r="207" spans="1:6" x14ac:dyDescent="0.3">
      <c r="A207" s="13" t="s">
        <v>970</v>
      </c>
      <c r="B207" s="13" t="s">
        <v>2584</v>
      </c>
      <c r="C207" s="15">
        <v>40</v>
      </c>
      <c r="D207" s="13" t="s">
        <v>112</v>
      </c>
      <c r="E207" s="13" t="s">
        <v>2507</v>
      </c>
      <c r="F207" s="14">
        <v>45127</v>
      </c>
    </row>
    <row r="208" spans="1:6" x14ac:dyDescent="0.3">
      <c r="A208" s="13" t="s">
        <v>1890</v>
      </c>
      <c r="B208" s="13" t="s">
        <v>2702</v>
      </c>
      <c r="C208" s="15">
        <v>34</v>
      </c>
      <c r="D208" s="13" t="s">
        <v>133</v>
      </c>
      <c r="E208" s="13" t="s">
        <v>2515</v>
      </c>
      <c r="F208" s="14">
        <v>43954</v>
      </c>
    </row>
    <row r="209" spans="1:6" x14ac:dyDescent="0.3">
      <c r="A209" s="13" t="s">
        <v>336</v>
      </c>
      <c r="B209" s="13" t="s">
        <v>2703</v>
      </c>
      <c r="C209" s="15">
        <v>49</v>
      </c>
      <c r="D209" s="13" t="s">
        <v>112</v>
      </c>
      <c r="E209" s="13" t="s">
        <v>2507</v>
      </c>
      <c r="F209" s="14">
        <v>45082</v>
      </c>
    </row>
    <row r="210" spans="1:6" x14ac:dyDescent="0.3">
      <c r="A210" s="13" t="s">
        <v>785</v>
      </c>
      <c r="B210" s="13" t="s">
        <v>2704</v>
      </c>
      <c r="C210" s="15">
        <v>31</v>
      </c>
      <c r="D210" s="13" t="s">
        <v>88</v>
      </c>
      <c r="E210" s="13" t="s">
        <v>2507</v>
      </c>
      <c r="F210" s="14">
        <v>44258</v>
      </c>
    </row>
    <row r="211" spans="1:6" x14ac:dyDescent="0.3">
      <c r="A211" s="13" t="s">
        <v>427</v>
      </c>
      <c r="B211" s="13" t="s">
        <v>2705</v>
      </c>
      <c r="C211" s="15">
        <v>48</v>
      </c>
      <c r="D211" s="13" t="s">
        <v>88</v>
      </c>
      <c r="E211" s="13" t="s">
        <v>2509</v>
      </c>
      <c r="F211" s="14">
        <v>44968</v>
      </c>
    </row>
    <row r="212" spans="1:6" x14ac:dyDescent="0.3">
      <c r="A212" s="13" t="s">
        <v>1191</v>
      </c>
      <c r="B212" s="13" t="s">
        <v>2706</v>
      </c>
      <c r="C212" s="15">
        <v>36</v>
      </c>
      <c r="D212" s="13" t="s">
        <v>117</v>
      </c>
      <c r="E212" s="13" t="s">
        <v>2507</v>
      </c>
      <c r="F212" s="14">
        <v>44251</v>
      </c>
    </row>
    <row r="213" spans="1:6" x14ac:dyDescent="0.3">
      <c r="A213" s="13" t="s">
        <v>700</v>
      </c>
      <c r="B213" s="13" t="s">
        <v>2707</v>
      </c>
      <c r="C213" s="15">
        <v>46</v>
      </c>
      <c r="D213" s="13" t="s">
        <v>94</v>
      </c>
      <c r="E213" s="13" t="s">
        <v>2515</v>
      </c>
      <c r="F213" s="14">
        <v>44594</v>
      </c>
    </row>
    <row r="214" spans="1:6" x14ac:dyDescent="0.3">
      <c r="A214" s="13" t="s">
        <v>1055</v>
      </c>
      <c r="B214" s="13" t="s">
        <v>2543</v>
      </c>
      <c r="C214" s="15">
        <v>37</v>
      </c>
      <c r="D214" s="13" t="s">
        <v>112</v>
      </c>
      <c r="E214" s="13" t="s">
        <v>2507</v>
      </c>
      <c r="F214" s="14">
        <v>44431</v>
      </c>
    </row>
    <row r="215" spans="1:6" x14ac:dyDescent="0.3">
      <c r="A215" s="13" t="s">
        <v>882</v>
      </c>
      <c r="B215" s="13" t="s">
        <v>2708</v>
      </c>
      <c r="C215" s="15">
        <v>22</v>
      </c>
      <c r="D215" s="13" t="s">
        <v>112</v>
      </c>
      <c r="E215" s="13" t="s">
        <v>2507</v>
      </c>
      <c r="F215" s="14">
        <v>44453</v>
      </c>
    </row>
    <row r="216" spans="1:6" x14ac:dyDescent="0.3">
      <c r="A216" s="13" t="s">
        <v>762</v>
      </c>
      <c r="B216" s="13" t="s">
        <v>2709</v>
      </c>
      <c r="C216" s="15">
        <v>52</v>
      </c>
      <c r="D216" s="13" t="s">
        <v>133</v>
      </c>
      <c r="E216" s="13" t="s">
        <v>2507</v>
      </c>
      <c r="F216" s="14">
        <v>45105</v>
      </c>
    </row>
    <row r="217" spans="1:6" x14ac:dyDescent="0.3">
      <c r="A217" s="13" t="s">
        <v>392</v>
      </c>
      <c r="B217" s="13" t="s">
        <v>2710</v>
      </c>
      <c r="C217" s="15">
        <v>50</v>
      </c>
      <c r="D217" s="13" t="s">
        <v>112</v>
      </c>
      <c r="E217" s="13" t="s">
        <v>2507</v>
      </c>
      <c r="F217" s="14">
        <v>44204</v>
      </c>
    </row>
    <row r="218" spans="1:6" x14ac:dyDescent="0.3">
      <c r="A218" s="13" t="s">
        <v>856</v>
      </c>
      <c r="B218" s="13" t="s">
        <v>2711</v>
      </c>
      <c r="C218" s="15">
        <v>59</v>
      </c>
      <c r="D218" s="13" t="s">
        <v>88</v>
      </c>
      <c r="E218" s="13" t="s">
        <v>2515</v>
      </c>
      <c r="F218" s="14">
        <v>44877</v>
      </c>
    </row>
    <row r="219" spans="1:6" x14ac:dyDescent="0.3">
      <c r="A219" s="13" t="s">
        <v>597</v>
      </c>
      <c r="B219" s="13" t="s">
        <v>2712</v>
      </c>
      <c r="C219" s="15">
        <v>39</v>
      </c>
      <c r="D219" s="13" t="s">
        <v>112</v>
      </c>
      <c r="E219" s="13" t="s">
        <v>2507</v>
      </c>
      <c r="F219" s="14">
        <v>44849</v>
      </c>
    </row>
    <row r="220" spans="1:6" x14ac:dyDescent="0.3">
      <c r="A220" s="13" t="s">
        <v>345</v>
      </c>
      <c r="B220" s="13" t="s">
        <v>2713</v>
      </c>
      <c r="C220" s="15">
        <v>38</v>
      </c>
      <c r="D220" s="13" t="s">
        <v>94</v>
      </c>
      <c r="E220" s="13" t="s">
        <v>2509</v>
      </c>
      <c r="F220" s="14">
        <v>44321</v>
      </c>
    </row>
    <row r="221" spans="1:6" x14ac:dyDescent="0.3">
      <c r="A221" s="13" t="s">
        <v>1361</v>
      </c>
      <c r="B221" s="13" t="s">
        <v>2714</v>
      </c>
      <c r="C221" s="15">
        <v>34</v>
      </c>
      <c r="D221" s="13" t="s">
        <v>94</v>
      </c>
      <c r="E221" s="13" t="s">
        <v>2507</v>
      </c>
      <c r="F221" s="14">
        <v>43978</v>
      </c>
    </row>
    <row r="222" spans="1:6" x14ac:dyDescent="0.3">
      <c r="A222" s="13" t="s">
        <v>781</v>
      </c>
      <c r="B222" s="13" t="s">
        <v>2715</v>
      </c>
      <c r="C222" s="15">
        <v>29</v>
      </c>
      <c r="D222" s="13" t="s">
        <v>99</v>
      </c>
      <c r="E222" s="13" t="s">
        <v>2515</v>
      </c>
      <c r="F222" s="14">
        <v>44061</v>
      </c>
    </row>
    <row r="223" spans="1:6" x14ac:dyDescent="0.3">
      <c r="A223" s="13" t="s">
        <v>225</v>
      </c>
      <c r="B223" s="13" t="s">
        <v>2716</v>
      </c>
      <c r="C223" s="15">
        <v>37</v>
      </c>
      <c r="D223" s="13" t="s">
        <v>94</v>
      </c>
      <c r="E223" s="13" t="s">
        <v>2507</v>
      </c>
      <c r="F223" s="14">
        <v>43877</v>
      </c>
    </row>
    <row r="224" spans="1:6" x14ac:dyDescent="0.3">
      <c r="A224" s="13" t="s">
        <v>895</v>
      </c>
      <c r="B224" s="13" t="s">
        <v>2717</v>
      </c>
      <c r="C224" s="15">
        <v>46</v>
      </c>
      <c r="D224" s="13" t="s">
        <v>117</v>
      </c>
      <c r="E224" s="13" t="s">
        <v>2507</v>
      </c>
      <c r="F224" s="14">
        <v>44743</v>
      </c>
    </row>
    <row r="225" spans="1:6" x14ac:dyDescent="0.3">
      <c r="A225" s="13" t="s">
        <v>405</v>
      </c>
      <c r="B225" s="13" t="s">
        <v>2718</v>
      </c>
      <c r="C225" s="15">
        <v>24</v>
      </c>
      <c r="D225" s="13" t="s">
        <v>94</v>
      </c>
      <c r="E225" s="13" t="s">
        <v>2509</v>
      </c>
      <c r="F225" s="14">
        <v>44558</v>
      </c>
    </row>
    <row r="226" spans="1:6" x14ac:dyDescent="0.3">
      <c r="A226" s="13" t="s">
        <v>764</v>
      </c>
      <c r="B226" s="13" t="s">
        <v>2571</v>
      </c>
      <c r="C226" s="15">
        <v>26</v>
      </c>
      <c r="D226" s="13" t="s">
        <v>94</v>
      </c>
      <c r="E226" s="13" t="s">
        <v>2515</v>
      </c>
      <c r="F226" s="14">
        <v>44213</v>
      </c>
    </row>
    <row r="227" spans="1:6" x14ac:dyDescent="0.3">
      <c r="A227" s="13" t="s">
        <v>244</v>
      </c>
      <c r="B227" s="13" t="s">
        <v>2719</v>
      </c>
      <c r="C227" s="15">
        <v>52</v>
      </c>
      <c r="D227" s="13" t="s">
        <v>94</v>
      </c>
      <c r="E227" s="13" t="s">
        <v>2509</v>
      </c>
      <c r="F227" s="14">
        <v>44650</v>
      </c>
    </row>
    <row r="228" spans="1:6" x14ac:dyDescent="0.3">
      <c r="A228" s="13" t="s">
        <v>1006</v>
      </c>
      <c r="B228" s="13" t="s">
        <v>2603</v>
      </c>
      <c r="C228" s="15">
        <v>44</v>
      </c>
      <c r="D228" s="13" t="s">
        <v>117</v>
      </c>
      <c r="E228" s="13" t="s">
        <v>2515</v>
      </c>
      <c r="F228" s="14">
        <v>44121</v>
      </c>
    </row>
    <row r="229" spans="1:6" x14ac:dyDescent="0.3">
      <c r="A229" s="13" t="s">
        <v>460</v>
      </c>
      <c r="B229" s="13" t="s">
        <v>2720</v>
      </c>
      <c r="C229" s="15">
        <v>37</v>
      </c>
      <c r="D229" s="13" t="s">
        <v>88</v>
      </c>
      <c r="E229" s="13" t="s">
        <v>2509</v>
      </c>
      <c r="F229" s="14">
        <v>43952</v>
      </c>
    </row>
    <row r="230" spans="1:6" x14ac:dyDescent="0.3">
      <c r="A230" s="13" t="s">
        <v>1193</v>
      </c>
      <c r="B230" s="13" t="s">
        <v>2721</v>
      </c>
      <c r="C230" s="15">
        <v>25</v>
      </c>
      <c r="D230" s="13" t="s">
        <v>133</v>
      </c>
      <c r="E230" s="13" t="s">
        <v>2515</v>
      </c>
      <c r="F230" s="14">
        <v>44453</v>
      </c>
    </row>
    <row r="231" spans="1:6" x14ac:dyDescent="0.3">
      <c r="A231" s="13" t="s">
        <v>314</v>
      </c>
      <c r="B231" s="13" t="s">
        <v>2722</v>
      </c>
      <c r="C231" s="15">
        <v>33</v>
      </c>
      <c r="D231" s="13" t="s">
        <v>88</v>
      </c>
      <c r="E231" s="13" t="s">
        <v>2509</v>
      </c>
      <c r="F231" s="14">
        <v>43963</v>
      </c>
    </row>
    <row r="232" spans="1:6" x14ac:dyDescent="0.3">
      <c r="A232" s="13" t="s">
        <v>602</v>
      </c>
      <c r="B232" s="13" t="s">
        <v>2723</v>
      </c>
      <c r="C232" s="15">
        <v>61</v>
      </c>
      <c r="D232" s="13" t="s">
        <v>94</v>
      </c>
      <c r="E232" s="13" t="s">
        <v>2507</v>
      </c>
      <c r="F232" s="14">
        <v>45030</v>
      </c>
    </row>
    <row r="233" spans="1:6" x14ac:dyDescent="0.3">
      <c r="A233" s="13" t="s">
        <v>539</v>
      </c>
      <c r="B233" s="13" t="s">
        <v>2724</v>
      </c>
      <c r="C233" s="15">
        <v>38</v>
      </c>
      <c r="D233" s="13" t="s">
        <v>133</v>
      </c>
      <c r="E233" s="13" t="s">
        <v>2507</v>
      </c>
      <c r="F233" s="14">
        <v>44364</v>
      </c>
    </row>
    <row r="234" spans="1:6" x14ac:dyDescent="0.3">
      <c r="A234" s="13" t="s">
        <v>959</v>
      </c>
      <c r="B234" s="13" t="s">
        <v>2689</v>
      </c>
      <c r="C234" s="15">
        <v>65</v>
      </c>
      <c r="D234" s="13" t="s">
        <v>112</v>
      </c>
      <c r="E234" s="13" t="s">
        <v>2515</v>
      </c>
      <c r="F234" s="14">
        <v>43850</v>
      </c>
    </row>
    <row r="235" spans="1:6" x14ac:dyDescent="0.3">
      <c r="A235" s="13" t="s">
        <v>247</v>
      </c>
      <c r="B235" s="13" t="s">
        <v>2725</v>
      </c>
      <c r="C235" s="15">
        <v>34</v>
      </c>
      <c r="D235" s="13" t="s">
        <v>117</v>
      </c>
      <c r="E235" s="13" t="s">
        <v>2507</v>
      </c>
      <c r="F235" s="14">
        <v>44175</v>
      </c>
    </row>
    <row r="236" spans="1:6" x14ac:dyDescent="0.3">
      <c r="A236" s="13" t="s">
        <v>963</v>
      </c>
      <c r="B236" s="13" t="s">
        <v>2609</v>
      </c>
      <c r="C236" s="15">
        <v>31</v>
      </c>
      <c r="D236" s="13" t="s">
        <v>94</v>
      </c>
      <c r="E236" s="13" t="s">
        <v>2507</v>
      </c>
      <c r="F236" s="14">
        <v>43903</v>
      </c>
    </row>
    <row r="237" spans="1:6" x14ac:dyDescent="0.3">
      <c r="A237" s="13" t="s">
        <v>883</v>
      </c>
      <c r="B237" s="13" t="s">
        <v>2726</v>
      </c>
      <c r="C237" s="15">
        <v>28</v>
      </c>
      <c r="D237" s="13" t="s">
        <v>133</v>
      </c>
      <c r="E237" s="13" t="s">
        <v>2515</v>
      </c>
      <c r="F237" s="14">
        <v>43949</v>
      </c>
    </row>
    <row r="238" spans="1:6" x14ac:dyDescent="0.3">
      <c r="A238" s="13" t="s">
        <v>956</v>
      </c>
      <c r="B238" s="13" t="s">
        <v>2727</v>
      </c>
      <c r="C238" s="15">
        <v>49</v>
      </c>
      <c r="D238" s="13" t="s">
        <v>112</v>
      </c>
      <c r="E238" s="13" t="s">
        <v>2507</v>
      </c>
      <c r="F238" s="14">
        <v>44068</v>
      </c>
    </row>
    <row r="239" spans="1:6" x14ac:dyDescent="0.3">
      <c r="A239" s="13" t="s">
        <v>635</v>
      </c>
      <c r="B239" s="13" t="s">
        <v>2563</v>
      </c>
      <c r="C239" s="15">
        <v>49</v>
      </c>
      <c r="D239" s="13" t="s">
        <v>99</v>
      </c>
      <c r="E239" s="13" t="s">
        <v>2507</v>
      </c>
      <c r="F239" s="14">
        <v>44377</v>
      </c>
    </row>
    <row r="240" spans="1:6" x14ac:dyDescent="0.3">
      <c r="A240" s="13" t="s">
        <v>411</v>
      </c>
      <c r="B240" s="13" t="s">
        <v>2728</v>
      </c>
      <c r="C240" s="15">
        <v>61</v>
      </c>
      <c r="D240" s="13" t="s">
        <v>112</v>
      </c>
      <c r="E240" s="13" t="s">
        <v>2507</v>
      </c>
      <c r="F240" s="14">
        <v>43981</v>
      </c>
    </row>
    <row r="241" spans="1:6" x14ac:dyDescent="0.3">
      <c r="A241" s="13" t="s">
        <v>472</v>
      </c>
      <c r="B241" s="13" t="s">
        <v>2729</v>
      </c>
      <c r="C241" s="15">
        <v>35</v>
      </c>
      <c r="D241" s="13" t="s">
        <v>94</v>
      </c>
      <c r="E241" s="13" t="s">
        <v>2509</v>
      </c>
      <c r="F241" s="14">
        <v>44337</v>
      </c>
    </row>
    <row r="242" spans="1:6" x14ac:dyDescent="0.3">
      <c r="A242" s="13" t="s">
        <v>197</v>
      </c>
      <c r="B242" s="13" t="s">
        <v>2730</v>
      </c>
      <c r="C242" s="15">
        <v>47</v>
      </c>
      <c r="D242" s="13" t="s">
        <v>88</v>
      </c>
      <c r="E242" s="13" t="s">
        <v>2509</v>
      </c>
      <c r="F242" s="14">
        <v>44195</v>
      </c>
    </row>
    <row r="243" spans="1:6" x14ac:dyDescent="0.3">
      <c r="A243" s="13" t="s">
        <v>582</v>
      </c>
      <c r="B243" s="13" t="s">
        <v>2629</v>
      </c>
      <c r="C243" s="15">
        <v>59</v>
      </c>
      <c r="D243" s="13" t="s">
        <v>94</v>
      </c>
      <c r="E243" s="13" t="s">
        <v>2515</v>
      </c>
      <c r="F243" s="14">
        <v>44474</v>
      </c>
    </row>
    <row r="244" spans="1:6" x14ac:dyDescent="0.3">
      <c r="A244" s="13" t="s">
        <v>84</v>
      </c>
      <c r="B244" s="13" t="s">
        <v>2670</v>
      </c>
      <c r="C244" s="15">
        <v>44</v>
      </c>
      <c r="D244" s="13" t="s">
        <v>88</v>
      </c>
      <c r="E244" s="13" t="s">
        <v>2515</v>
      </c>
      <c r="F244" s="14">
        <v>43861</v>
      </c>
    </row>
    <row r="245" spans="1:6" x14ac:dyDescent="0.3">
      <c r="A245" s="13" t="s">
        <v>990</v>
      </c>
      <c r="B245" s="13" t="s">
        <v>2731</v>
      </c>
      <c r="C245" s="15">
        <v>61</v>
      </c>
      <c r="D245" s="13" t="s">
        <v>117</v>
      </c>
      <c r="E245" s="13" t="s">
        <v>2507</v>
      </c>
      <c r="F245" s="14">
        <v>44483</v>
      </c>
    </row>
    <row r="246" spans="1:6" x14ac:dyDescent="0.3">
      <c r="A246" s="13" t="s">
        <v>697</v>
      </c>
      <c r="B246" s="13" t="s">
        <v>2732</v>
      </c>
      <c r="C246" s="15">
        <v>65</v>
      </c>
      <c r="D246" s="13" t="s">
        <v>133</v>
      </c>
      <c r="E246" s="13" t="s">
        <v>2507</v>
      </c>
      <c r="F246" s="14">
        <v>44851</v>
      </c>
    </row>
    <row r="247" spans="1:6" x14ac:dyDescent="0.3">
      <c r="A247" s="13" t="s">
        <v>546</v>
      </c>
      <c r="B247" s="13" t="s">
        <v>2733</v>
      </c>
      <c r="C247" s="15">
        <v>29</v>
      </c>
      <c r="D247" s="13" t="s">
        <v>99</v>
      </c>
      <c r="E247" s="13" t="s">
        <v>2515</v>
      </c>
      <c r="F247" s="14">
        <v>44477</v>
      </c>
    </row>
    <row r="248" spans="1:6" x14ac:dyDescent="0.3">
      <c r="A248" s="13" t="s">
        <v>676</v>
      </c>
      <c r="B248" s="13" t="s">
        <v>2734</v>
      </c>
      <c r="C248" s="15">
        <v>35</v>
      </c>
      <c r="D248" s="13" t="s">
        <v>88</v>
      </c>
      <c r="E248" s="13" t="s">
        <v>2515</v>
      </c>
      <c r="F248" s="14">
        <v>43966</v>
      </c>
    </row>
    <row r="249" spans="1:6" x14ac:dyDescent="0.3">
      <c r="A249" s="13" t="s">
        <v>318</v>
      </c>
      <c r="B249" s="13" t="s">
        <v>2735</v>
      </c>
      <c r="C249" s="15">
        <v>57</v>
      </c>
      <c r="D249" s="13" t="s">
        <v>94</v>
      </c>
      <c r="E249" s="13" t="s">
        <v>2515</v>
      </c>
      <c r="F249" s="14">
        <v>44557</v>
      </c>
    </row>
    <row r="250" spans="1:6" x14ac:dyDescent="0.3">
      <c r="A250" s="13" t="s">
        <v>613</v>
      </c>
      <c r="B250" s="13" t="s">
        <v>2736</v>
      </c>
      <c r="C250" s="15">
        <v>44</v>
      </c>
      <c r="D250" s="13" t="s">
        <v>112</v>
      </c>
      <c r="E250" s="13" t="s">
        <v>2507</v>
      </c>
      <c r="F250" s="14">
        <v>43866</v>
      </c>
    </row>
    <row r="251" spans="1:6" x14ac:dyDescent="0.3">
      <c r="A251" s="13" t="s">
        <v>181</v>
      </c>
      <c r="B251" s="13" t="s">
        <v>2737</v>
      </c>
      <c r="C251" s="15">
        <v>31</v>
      </c>
      <c r="D251" s="13" t="s">
        <v>99</v>
      </c>
      <c r="E251" s="13" t="s">
        <v>2507</v>
      </c>
      <c r="F251" s="14">
        <v>44575</v>
      </c>
    </row>
    <row r="252" spans="1:6" x14ac:dyDescent="0.3">
      <c r="A252" s="13" t="s">
        <v>528</v>
      </c>
      <c r="B252" s="13" t="s">
        <v>2738</v>
      </c>
      <c r="C252" s="15">
        <v>44</v>
      </c>
      <c r="D252" s="13" t="s">
        <v>112</v>
      </c>
      <c r="E252" s="13" t="s">
        <v>2507</v>
      </c>
      <c r="F252" s="14">
        <v>45121</v>
      </c>
    </row>
    <row r="253" spans="1:6" x14ac:dyDescent="0.3">
      <c r="A253" s="13" t="s">
        <v>1000</v>
      </c>
      <c r="B253" s="13" t="s">
        <v>2739</v>
      </c>
      <c r="C253" s="15">
        <v>27</v>
      </c>
      <c r="D253" s="13" t="s">
        <v>117</v>
      </c>
      <c r="E253" s="13" t="s">
        <v>2507</v>
      </c>
      <c r="F253" s="14">
        <v>45004</v>
      </c>
    </row>
    <row r="254" spans="1:6" x14ac:dyDescent="0.3">
      <c r="A254" s="13" t="s">
        <v>399</v>
      </c>
      <c r="B254" s="13" t="s">
        <v>2740</v>
      </c>
      <c r="C254" s="15">
        <v>53</v>
      </c>
      <c r="D254" s="13" t="s">
        <v>99</v>
      </c>
      <c r="E254" s="13" t="s">
        <v>2515</v>
      </c>
      <c r="F254" s="14">
        <v>43892</v>
      </c>
    </row>
    <row r="255" spans="1:6" x14ac:dyDescent="0.3">
      <c r="A255" s="13" t="s">
        <v>900</v>
      </c>
      <c r="B255" s="13" t="s">
        <v>2741</v>
      </c>
      <c r="C255" s="15">
        <v>35</v>
      </c>
      <c r="D255" s="13" t="s">
        <v>117</v>
      </c>
      <c r="E255" s="13" t="s">
        <v>2507</v>
      </c>
      <c r="F255" s="14">
        <v>44000</v>
      </c>
    </row>
    <row r="256" spans="1:6" x14ac:dyDescent="0.3">
      <c r="A256" s="13" t="s">
        <v>362</v>
      </c>
      <c r="B256" s="13" t="s">
        <v>2528</v>
      </c>
      <c r="C256" s="15">
        <v>51</v>
      </c>
      <c r="D256" s="13" t="s">
        <v>94</v>
      </c>
      <c r="E256" s="13" t="s">
        <v>2509</v>
      </c>
      <c r="F256" s="14">
        <v>44458</v>
      </c>
    </row>
    <row r="257" spans="1:6" x14ac:dyDescent="0.3">
      <c r="A257" s="13" t="s">
        <v>689</v>
      </c>
      <c r="B257" s="13" t="s">
        <v>2742</v>
      </c>
      <c r="C257" s="15">
        <v>28</v>
      </c>
      <c r="D257" s="13" t="s">
        <v>133</v>
      </c>
      <c r="E257" s="13" t="s">
        <v>2507</v>
      </c>
      <c r="F257" s="14">
        <v>44694</v>
      </c>
    </row>
    <row r="258" spans="1:6" x14ac:dyDescent="0.3">
      <c r="A258" s="13" t="s">
        <v>1121</v>
      </c>
      <c r="B258" s="13" t="s">
        <v>2743</v>
      </c>
      <c r="C258" s="15">
        <v>46</v>
      </c>
      <c r="D258" s="13" t="s">
        <v>112</v>
      </c>
      <c r="E258" s="13" t="s">
        <v>2509</v>
      </c>
      <c r="F258" s="14">
        <v>43849</v>
      </c>
    </row>
    <row r="259" spans="1:6" x14ac:dyDescent="0.3">
      <c r="A259" s="13" t="s">
        <v>275</v>
      </c>
      <c r="B259" s="13" t="s">
        <v>2744</v>
      </c>
      <c r="C259" s="15">
        <v>44</v>
      </c>
      <c r="D259" s="13" t="s">
        <v>88</v>
      </c>
      <c r="E259" s="13" t="s">
        <v>2507</v>
      </c>
      <c r="F259" s="14">
        <v>43874</v>
      </c>
    </row>
    <row r="260" spans="1:6" x14ac:dyDescent="0.3">
      <c r="A260" s="13" t="s">
        <v>169</v>
      </c>
      <c r="B260" s="13" t="s">
        <v>2745</v>
      </c>
      <c r="C260" s="15">
        <v>34</v>
      </c>
      <c r="D260" s="13" t="s">
        <v>112</v>
      </c>
      <c r="E260" s="13" t="s">
        <v>2507</v>
      </c>
      <c r="F260" s="14">
        <v>44086</v>
      </c>
    </row>
    <row r="261" spans="1:6" x14ac:dyDescent="0.3">
      <c r="A261" s="13" t="s">
        <v>123</v>
      </c>
      <c r="B261" s="13" t="s">
        <v>2746</v>
      </c>
      <c r="C261" s="15">
        <v>42</v>
      </c>
      <c r="D261" s="13" t="s">
        <v>117</v>
      </c>
      <c r="E261" s="13" t="s">
        <v>2507</v>
      </c>
      <c r="F261" s="14">
        <v>44866</v>
      </c>
    </row>
    <row r="262" spans="1:6" x14ac:dyDescent="0.3">
      <c r="A262" s="13" t="s">
        <v>261</v>
      </c>
      <c r="B262" s="13" t="s">
        <v>2747</v>
      </c>
      <c r="C262" s="15">
        <v>54</v>
      </c>
      <c r="D262" s="13" t="s">
        <v>99</v>
      </c>
      <c r="E262" s="13" t="s">
        <v>2507</v>
      </c>
      <c r="F262" s="14">
        <v>43845</v>
      </c>
    </row>
    <row r="263" spans="1:6" x14ac:dyDescent="0.3">
      <c r="A263" s="13" t="s">
        <v>606</v>
      </c>
      <c r="B263" s="13" t="s">
        <v>2748</v>
      </c>
      <c r="C263" s="15">
        <v>52</v>
      </c>
      <c r="D263" s="13" t="s">
        <v>112</v>
      </c>
      <c r="E263" s="13" t="s">
        <v>2507</v>
      </c>
      <c r="F263" s="14">
        <v>44636</v>
      </c>
    </row>
    <row r="264" spans="1:6" x14ac:dyDescent="0.3">
      <c r="A264" s="13" t="s">
        <v>269</v>
      </c>
      <c r="B264" s="13" t="s">
        <v>2749</v>
      </c>
      <c r="C264" s="15">
        <v>40</v>
      </c>
      <c r="D264" s="13" t="s">
        <v>112</v>
      </c>
      <c r="E264" s="13" t="s">
        <v>2507</v>
      </c>
      <c r="F264" s="14">
        <v>44758</v>
      </c>
    </row>
    <row r="265" spans="1:6" x14ac:dyDescent="0.3">
      <c r="A265" s="13" t="s">
        <v>507</v>
      </c>
      <c r="B265" s="13" t="s">
        <v>2750</v>
      </c>
      <c r="C265" s="15">
        <v>59</v>
      </c>
      <c r="D265" s="13" t="s">
        <v>88</v>
      </c>
      <c r="E265" s="13" t="s">
        <v>2507</v>
      </c>
      <c r="F265" s="14">
        <v>45042</v>
      </c>
    </row>
    <row r="266" spans="1:6" x14ac:dyDescent="0.3">
      <c r="A266" s="13" t="s">
        <v>163</v>
      </c>
      <c r="B266" s="13" t="s">
        <v>2751</v>
      </c>
      <c r="C266" s="15">
        <v>49</v>
      </c>
      <c r="D266" s="13" t="s">
        <v>94</v>
      </c>
      <c r="E266" s="13" t="s">
        <v>2507</v>
      </c>
      <c r="F266" s="14">
        <v>44555</v>
      </c>
    </row>
    <row r="267" spans="1:6" x14ac:dyDescent="0.3">
      <c r="A267" s="13" t="s">
        <v>948</v>
      </c>
      <c r="B267" s="13" t="s">
        <v>2752</v>
      </c>
      <c r="C267" s="15">
        <v>65</v>
      </c>
      <c r="D267" s="13" t="s">
        <v>88</v>
      </c>
      <c r="E267" s="13" t="s">
        <v>2507</v>
      </c>
      <c r="F267" s="14">
        <v>44469</v>
      </c>
    </row>
    <row r="268" spans="1:6" x14ac:dyDescent="0.3">
      <c r="A268" s="13" t="s">
        <v>256</v>
      </c>
      <c r="B268" s="13" t="s">
        <v>2753</v>
      </c>
      <c r="C268" s="15">
        <v>27</v>
      </c>
      <c r="D268" s="13" t="s">
        <v>133</v>
      </c>
      <c r="E268" s="13" t="s">
        <v>2507</v>
      </c>
      <c r="F268" s="14">
        <v>44352</v>
      </c>
    </row>
    <row r="269" spans="1:6" x14ac:dyDescent="0.3">
      <c r="A269" s="13" t="s">
        <v>1628</v>
      </c>
      <c r="B269" s="13" t="s">
        <v>2754</v>
      </c>
      <c r="C269" s="15">
        <v>35</v>
      </c>
      <c r="D269" s="13" t="s">
        <v>94</v>
      </c>
      <c r="E269" s="13" t="s">
        <v>2507</v>
      </c>
      <c r="F269" s="14">
        <v>44991</v>
      </c>
    </row>
    <row r="270" spans="1:6" x14ac:dyDescent="0.3">
      <c r="A270" s="13" t="s">
        <v>720</v>
      </c>
      <c r="B270" s="13" t="s">
        <v>2755</v>
      </c>
      <c r="C270" s="15">
        <v>48</v>
      </c>
      <c r="D270" s="13" t="s">
        <v>88</v>
      </c>
      <c r="E270" s="13" t="s">
        <v>2507</v>
      </c>
      <c r="F270" s="14">
        <v>44429</v>
      </c>
    </row>
    <row r="271" spans="1:6" x14ac:dyDescent="0.3">
      <c r="A271" s="13" t="s">
        <v>759</v>
      </c>
      <c r="B271" s="13" t="s">
        <v>2756</v>
      </c>
      <c r="C271" s="15">
        <v>29</v>
      </c>
      <c r="D271" s="13" t="s">
        <v>117</v>
      </c>
      <c r="E271" s="13" t="s">
        <v>2507</v>
      </c>
      <c r="F271" s="14">
        <v>44410</v>
      </c>
    </row>
    <row r="272" spans="1:6" x14ac:dyDescent="0.3">
      <c r="A272" s="13" t="s">
        <v>567</v>
      </c>
      <c r="B272" s="13" t="s">
        <v>2601</v>
      </c>
      <c r="C272" s="15">
        <v>41</v>
      </c>
      <c r="D272" s="13" t="s">
        <v>117</v>
      </c>
      <c r="E272" s="13" t="s">
        <v>2509</v>
      </c>
      <c r="F272" s="14">
        <v>44441</v>
      </c>
    </row>
    <row r="273" spans="1:6" x14ac:dyDescent="0.3">
      <c r="A273" s="13" t="s">
        <v>1027</v>
      </c>
      <c r="B273" s="13" t="s">
        <v>2757</v>
      </c>
      <c r="C273" s="15">
        <v>47</v>
      </c>
      <c r="D273" s="13" t="s">
        <v>112</v>
      </c>
      <c r="E273" s="13" t="s">
        <v>2515</v>
      </c>
      <c r="F273" s="14">
        <v>44634</v>
      </c>
    </row>
    <row r="274" spans="1:6" x14ac:dyDescent="0.3">
      <c r="A274" s="13" t="s">
        <v>156</v>
      </c>
      <c r="B274" s="13" t="s">
        <v>2758</v>
      </c>
      <c r="C274" s="15">
        <v>32</v>
      </c>
      <c r="D274" s="13" t="s">
        <v>133</v>
      </c>
      <c r="E274" s="13" t="s">
        <v>2509</v>
      </c>
      <c r="F274" s="14">
        <v>44221</v>
      </c>
    </row>
    <row r="275" spans="1:6" x14ac:dyDescent="0.3">
      <c r="A275" s="13" t="s">
        <v>504</v>
      </c>
      <c r="B275" s="13" t="s">
        <v>2759</v>
      </c>
      <c r="C275" s="15">
        <v>36</v>
      </c>
      <c r="D275" s="13" t="s">
        <v>117</v>
      </c>
      <c r="E275" s="13" t="s">
        <v>2509</v>
      </c>
      <c r="F275" s="14">
        <v>44381</v>
      </c>
    </row>
    <row r="276" spans="1:6" x14ac:dyDescent="0.3">
      <c r="A276" s="13" t="s">
        <v>109</v>
      </c>
      <c r="B276" s="13" t="s">
        <v>2760</v>
      </c>
      <c r="C276" s="15">
        <v>36</v>
      </c>
      <c r="D276" s="13" t="s">
        <v>112</v>
      </c>
      <c r="E276" s="13" t="s">
        <v>2507</v>
      </c>
      <c r="F276" s="14">
        <v>45106</v>
      </c>
    </row>
    <row r="277" spans="1:6" x14ac:dyDescent="0.3">
      <c r="A277" s="13" t="s">
        <v>1499</v>
      </c>
      <c r="B277" s="13" t="s">
        <v>2555</v>
      </c>
      <c r="C277" s="15">
        <v>26</v>
      </c>
      <c r="D277" s="13" t="s">
        <v>94</v>
      </c>
      <c r="E277" s="13" t="s">
        <v>2507</v>
      </c>
      <c r="F277" s="14">
        <v>44272</v>
      </c>
    </row>
    <row r="278" spans="1:6" x14ac:dyDescent="0.3">
      <c r="A278" s="13" t="s">
        <v>541</v>
      </c>
      <c r="B278" s="13" t="s">
        <v>2572</v>
      </c>
      <c r="C278" s="15">
        <v>34</v>
      </c>
      <c r="D278" s="13" t="s">
        <v>94</v>
      </c>
      <c r="E278" s="13" t="s">
        <v>2509</v>
      </c>
      <c r="F278" s="14">
        <v>44958</v>
      </c>
    </row>
    <row r="279" spans="1:6" x14ac:dyDescent="0.3">
      <c r="A279" s="13" t="s">
        <v>1047</v>
      </c>
      <c r="B279" s="13" t="s">
        <v>2761</v>
      </c>
      <c r="C279" s="15">
        <v>41</v>
      </c>
      <c r="D279" s="13" t="s">
        <v>133</v>
      </c>
      <c r="E279" s="13" t="s">
        <v>2507</v>
      </c>
      <c r="F279" s="14">
        <v>43973</v>
      </c>
    </row>
    <row r="280" spans="1:6" x14ac:dyDescent="0.3">
      <c r="A280" s="13" t="s">
        <v>729</v>
      </c>
      <c r="B280" s="13" t="s">
        <v>2742</v>
      </c>
      <c r="C280" s="15">
        <v>56</v>
      </c>
      <c r="D280" s="13" t="s">
        <v>112</v>
      </c>
      <c r="E280" s="13" t="s">
        <v>2507</v>
      </c>
      <c r="F280" s="14">
        <v>44517</v>
      </c>
    </row>
    <row r="281" spans="1:6" x14ac:dyDescent="0.3">
      <c r="A281" s="13" t="s">
        <v>137</v>
      </c>
      <c r="B281" s="13" t="s">
        <v>2762</v>
      </c>
      <c r="C281" s="15">
        <v>27</v>
      </c>
      <c r="D281" s="13" t="s">
        <v>99</v>
      </c>
      <c r="E281" s="13" t="s">
        <v>2515</v>
      </c>
      <c r="F281" s="14">
        <v>45059</v>
      </c>
    </row>
    <row r="282" spans="1:6" x14ac:dyDescent="0.3">
      <c r="A282" s="13" t="s">
        <v>119</v>
      </c>
      <c r="B282" s="13" t="s">
        <v>2527</v>
      </c>
      <c r="C282" s="15">
        <v>57</v>
      </c>
      <c r="D282" s="13" t="s">
        <v>117</v>
      </c>
      <c r="E282" s="13" t="s">
        <v>2509</v>
      </c>
      <c r="F282" s="14">
        <v>44029</v>
      </c>
    </row>
    <row r="283" spans="1:6" x14ac:dyDescent="0.3">
      <c r="A283" s="13" t="s">
        <v>278</v>
      </c>
      <c r="B283" s="13" t="s">
        <v>2763</v>
      </c>
      <c r="C283" s="15">
        <v>29</v>
      </c>
      <c r="D283" s="13" t="s">
        <v>133</v>
      </c>
      <c r="E283" s="13" t="s">
        <v>2509</v>
      </c>
      <c r="F283" s="14">
        <v>44631</v>
      </c>
    </row>
    <row r="284" spans="1:6" x14ac:dyDescent="0.3">
      <c r="A284" s="13" t="s">
        <v>219</v>
      </c>
      <c r="B284" s="13" t="s">
        <v>2764</v>
      </c>
      <c r="C284" s="15">
        <v>50</v>
      </c>
      <c r="D284" s="13" t="s">
        <v>2512</v>
      </c>
      <c r="E284" s="13" t="s">
        <v>2515</v>
      </c>
      <c r="F284" s="14">
        <v>44869</v>
      </c>
    </row>
    <row r="285" spans="1:6" x14ac:dyDescent="0.3">
      <c r="A285" s="13" t="s">
        <v>501</v>
      </c>
      <c r="B285" s="13" t="s">
        <v>2765</v>
      </c>
      <c r="C285" s="15">
        <v>65</v>
      </c>
      <c r="D285" s="13" t="s">
        <v>133</v>
      </c>
      <c r="E285" s="13" t="s">
        <v>2515</v>
      </c>
      <c r="F285" s="14">
        <v>44047</v>
      </c>
    </row>
    <row r="286" spans="1:6" x14ac:dyDescent="0.3">
      <c r="A286" s="13" t="s">
        <v>592</v>
      </c>
      <c r="B286" s="13" t="s">
        <v>2766</v>
      </c>
      <c r="C286" s="15">
        <v>22</v>
      </c>
      <c r="D286" s="13" t="s">
        <v>133</v>
      </c>
      <c r="E286" s="13" t="s">
        <v>2507</v>
      </c>
      <c r="F286" s="14">
        <v>44593</v>
      </c>
    </row>
    <row r="287" spans="1:6" x14ac:dyDescent="0.3">
      <c r="A287" s="13" t="s">
        <v>1816</v>
      </c>
      <c r="B287" s="13" t="s">
        <v>2767</v>
      </c>
      <c r="C287" s="15">
        <v>62</v>
      </c>
      <c r="D287" s="13" t="s">
        <v>99</v>
      </c>
      <c r="E287" s="13" t="s">
        <v>2507</v>
      </c>
      <c r="F287" s="14">
        <v>44489</v>
      </c>
    </row>
    <row r="288" spans="1:6" x14ac:dyDescent="0.3">
      <c r="A288" s="13" t="s">
        <v>378</v>
      </c>
      <c r="B288" s="13" t="s">
        <v>2768</v>
      </c>
      <c r="C288" s="15">
        <v>53</v>
      </c>
      <c r="D288" s="13" t="s">
        <v>94</v>
      </c>
      <c r="E288" s="13" t="s">
        <v>2515</v>
      </c>
      <c r="F288" s="14">
        <v>44738</v>
      </c>
    </row>
    <row r="289" spans="1:6" x14ac:dyDescent="0.3">
      <c r="A289" s="13" t="s">
        <v>1534</v>
      </c>
      <c r="B289" s="13" t="s">
        <v>2769</v>
      </c>
      <c r="C289" s="15">
        <v>25</v>
      </c>
      <c r="D289" s="13" t="s">
        <v>133</v>
      </c>
      <c r="E289" s="13" t="s">
        <v>2509</v>
      </c>
      <c r="F289" s="14">
        <v>44450</v>
      </c>
    </row>
    <row r="290" spans="1:6" x14ac:dyDescent="0.3">
      <c r="A290" s="13" t="s">
        <v>1051</v>
      </c>
      <c r="B290" s="13" t="s">
        <v>2770</v>
      </c>
      <c r="C290" s="15">
        <v>54</v>
      </c>
      <c r="D290" s="13" t="s">
        <v>112</v>
      </c>
      <c r="E290" s="13" t="s">
        <v>2507</v>
      </c>
      <c r="F290" s="14">
        <v>44720</v>
      </c>
    </row>
    <row r="291" spans="1:6" x14ac:dyDescent="0.3">
      <c r="A291" s="13" t="s">
        <v>797</v>
      </c>
      <c r="B291" s="13" t="s">
        <v>2771</v>
      </c>
      <c r="C291" s="15">
        <v>63</v>
      </c>
      <c r="D291" s="13" t="s">
        <v>99</v>
      </c>
      <c r="E291" s="13" t="s">
        <v>2507</v>
      </c>
      <c r="F291" s="14">
        <v>44330</v>
      </c>
    </row>
    <row r="292" spans="1:6" x14ac:dyDescent="0.3">
      <c r="A292" s="13" t="s">
        <v>233</v>
      </c>
      <c r="B292" s="13" t="s">
        <v>2772</v>
      </c>
      <c r="C292" s="15">
        <v>29</v>
      </c>
      <c r="D292" s="13" t="s">
        <v>88</v>
      </c>
      <c r="E292" s="13" t="s">
        <v>2515</v>
      </c>
      <c r="F292" s="14">
        <v>43950</v>
      </c>
    </row>
    <row r="293" spans="1:6" x14ac:dyDescent="0.3">
      <c r="A293" s="13" t="s">
        <v>752</v>
      </c>
      <c r="B293" s="13" t="s">
        <v>2600</v>
      </c>
      <c r="C293" s="15">
        <v>32</v>
      </c>
      <c r="D293" s="13" t="s">
        <v>117</v>
      </c>
      <c r="E293" s="13" t="s">
        <v>2507</v>
      </c>
      <c r="F293" s="14">
        <v>43968</v>
      </c>
    </row>
    <row r="294" spans="1:6" x14ac:dyDescent="0.3">
      <c r="A294" s="13" t="s">
        <v>114</v>
      </c>
      <c r="B294" s="13" t="s">
        <v>2773</v>
      </c>
      <c r="C294" s="15">
        <v>27</v>
      </c>
      <c r="D294" s="13" t="s">
        <v>117</v>
      </c>
      <c r="E294" s="13" t="s">
        <v>2507</v>
      </c>
      <c r="F294" s="14">
        <v>44335</v>
      </c>
    </row>
    <row r="295" spans="1:6" x14ac:dyDescent="0.3">
      <c r="A295" s="13" t="s">
        <v>434</v>
      </c>
      <c r="B295" s="13" t="s">
        <v>2533</v>
      </c>
      <c r="C295" s="15">
        <v>31</v>
      </c>
      <c r="D295" s="13" t="s">
        <v>99</v>
      </c>
      <c r="E295" s="13" t="s">
        <v>2509</v>
      </c>
      <c r="F295" s="14">
        <v>43885</v>
      </c>
    </row>
    <row r="296" spans="1:6" x14ac:dyDescent="0.3">
      <c r="A296" s="13" t="s">
        <v>595</v>
      </c>
      <c r="B296" s="13" t="s">
        <v>2774</v>
      </c>
      <c r="C296" s="15">
        <v>48</v>
      </c>
      <c r="D296" s="13" t="s">
        <v>99</v>
      </c>
      <c r="E296" s="13" t="s">
        <v>2515</v>
      </c>
      <c r="F296" s="14">
        <v>43863</v>
      </c>
    </row>
    <row r="297" spans="1:6" x14ac:dyDescent="0.3">
      <c r="A297" s="13" t="s">
        <v>570</v>
      </c>
      <c r="B297" s="13" t="s">
        <v>2775</v>
      </c>
      <c r="C297" s="15">
        <v>47</v>
      </c>
      <c r="D297" s="13" t="s">
        <v>99</v>
      </c>
      <c r="E297" s="13" t="s">
        <v>2509</v>
      </c>
      <c r="F297" s="14">
        <v>44784</v>
      </c>
    </row>
    <row r="298" spans="1:6" x14ac:dyDescent="0.3">
      <c r="A298" s="13" t="s">
        <v>651</v>
      </c>
      <c r="B298" s="13" t="s">
        <v>2776</v>
      </c>
      <c r="C298" s="15">
        <v>50</v>
      </c>
      <c r="D298" s="13" t="s">
        <v>133</v>
      </c>
      <c r="E298" s="13" t="s">
        <v>2507</v>
      </c>
      <c r="F298" s="14">
        <v>44027</v>
      </c>
    </row>
    <row r="299" spans="1:6" x14ac:dyDescent="0.3">
      <c r="A299" s="13" t="s">
        <v>420</v>
      </c>
      <c r="B299" s="13" t="s">
        <v>2777</v>
      </c>
      <c r="C299" s="15">
        <v>44</v>
      </c>
      <c r="D299" s="13" t="s">
        <v>99</v>
      </c>
      <c r="E299" s="13" t="s">
        <v>2507</v>
      </c>
      <c r="F299" s="14">
        <v>43840</v>
      </c>
    </row>
    <row r="300" spans="1:6" x14ac:dyDescent="0.3">
      <c r="A300" s="13" t="s">
        <v>712</v>
      </c>
      <c r="B300" s="13" t="s">
        <v>2690</v>
      </c>
      <c r="C300" s="15">
        <v>51</v>
      </c>
      <c r="D300" s="13" t="s">
        <v>112</v>
      </c>
      <c r="E300" s="13" t="s">
        <v>2509</v>
      </c>
      <c r="F300" s="14">
        <v>44675</v>
      </c>
    </row>
    <row r="301" spans="1:6" x14ac:dyDescent="0.3">
      <c r="A301" s="13" t="s">
        <v>1297</v>
      </c>
      <c r="B301" s="13" t="s">
        <v>2778</v>
      </c>
      <c r="C301" s="15">
        <v>38</v>
      </c>
      <c r="D301" s="13" t="s">
        <v>112</v>
      </c>
      <c r="E301" s="13" t="s">
        <v>2507</v>
      </c>
      <c r="F301" s="14">
        <v>43932</v>
      </c>
    </row>
  </sheetData>
  <pageMargins left="0.75" right="0.75" top="1" bottom="1" header="0.5" footer="0.5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  <pageSetUpPr fitToPage="1"/>
  </sheetPr>
  <dimension ref="A1:G61"/>
  <sheetViews>
    <sheetView workbookViewId="0">
      <pane ySplit="1" topLeftCell="A2" activePane="bottomLeft" state="frozen"/>
      <selection pane="bottomLeft" activeCell="M55" sqref="M55"/>
    </sheetView>
  </sheetViews>
  <sheetFormatPr defaultRowHeight="14.4" x14ac:dyDescent="0.3"/>
  <cols>
    <col min="1" max="1" width="12" customWidth="1"/>
    <col min="2" max="2" width="22" customWidth="1"/>
    <col min="3" max="3" width="13" customWidth="1"/>
    <col min="4" max="4" width="11" customWidth="1"/>
    <col min="5" max="5" width="12" customWidth="1"/>
    <col min="6" max="6" width="11" customWidth="1"/>
  </cols>
  <sheetData>
    <row r="1" spans="1:7" x14ac:dyDescent="0.3">
      <c r="A1" s="5" t="s">
        <v>75</v>
      </c>
      <c r="B1" s="5" t="s">
        <v>2779</v>
      </c>
      <c r="C1" s="5" t="s">
        <v>2780</v>
      </c>
      <c r="D1" s="5" t="s">
        <v>2781</v>
      </c>
      <c r="E1" s="5" t="s">
        <v>78</v>
      </c>
      <c r="F1" s="5" t="s">
        <v>2782</v>
      </c>
      <c r="G1" s="41" t="s">
        <v>3046</v>
      </c>
    </row>
    <row r="2" spans="1:7" x14ac:dyDescent="0.3">
      <c r="A2" s="13" t="s">
        <v>364</v>
      </c>
      <c r="B2" s="13" t="s">
        <v>2783</v>
      </c>
      <c r="C2" s="13" t="s">
        <v>2784</v>
      </c>
      <c r="D2" s="15">
        <v>2405</v>
      </c>
      <c r="E2" s="15">
        <v>5330</v>
      </c>
      <c r="F2" s="13" t="b">
        <v>1</v>
      </c>
      <c r="G2">
        <f>SUMIFS(Orders!I$2:I$2001, Orders!D$2:D$2001, A2, Orders!Q$2:Q$2001, "West")</f>
        <v>155358.84</v>
      </c>
    </row>
    <row r="3" spans="1:7" x14ac:dyDescent="0.3">
      <c r="A3" s="13" t="s">
        <v>138</v>
      </c>
      <c r="B3" s="13" t="s">
        <v>2785</v>
      </c>
      <c r="C3" s="13" t="s">
        <v>2784</v>
      </c>
      <c r="D3" s="15">
        <v>1052</v>
      </c>
      <c r="E3" s="15">
        <v>2600</v>
      </c>
      <c r="F3" s="13" t="b">
        <v>1</v>
      </c>
      <c r="G3">
        <f>SUMIFS(Orders!I$2:I$2001, Orders!D$2:D$2001, A3, Orders!Q$2:Q$2001, "West")</f>
        <v>105284.40000000001</v>
      </c>
    </row>
    <row r="4" spans="1:7" x14ac:dyDescent="0.3">
      <c r="A4" s="13" t="s">
        <v>187</v>
      </c>
      <c r="B4" s="13" t="s">
        <v>2786</v>
      </c>
      <c r="C4" s="13" t="s">
        <v>2784</v>
      </c>
      <c r="D4" s="15">
        <v>1665</v>
      </c>
      <c r="E4" s="15">
        <v>3570</v>
      </c>
      <c r="F4" s="13" t="b">
        <v>1</v>
      </c>
      <c r="G4">
        <f>SUMIFS(Orders!I$2:I$2001, Orders!D$2:D$2001, A4, Orders!Q$2:Q$2001, "West")</f>
        <v>248025.75</v>
      </c>
    </row>
    <row r="5" spans="1:7" x14ac:dyDescent="0.3">
      <c r="A5" s="13" t="s">
        <v>248</v>
      </c>
      <c r="B5" s="13" t="s">
        <v>2787</v>
      </c>
      <c r="C5" s="13" t="s">
        <v>2784</v>
      </c>
      <c r="D5" s="15">
        <v>1559</v>
      </c>
      <c r="E5" s="15">
        <v>3870</v>
      </c>
      <c r="F5" s="13" t="b">
        <v>1</v>
      </c>
      <c r="G5">
        <f>SUMIFS(Orders!I$2:I$2001, Orders!D$2:D$2001, A5, Orders!Q$2:Q$2001, "West")</f>
        <v>198124.65</v>
      </c>
    </row>
    <row r="6" spans="1:7" x14ac:dyDescent="0.3">
      <c r="A6" s="13" t="s">
        <v>282</v>
      </c>
      <c r="B6" s="13" t="s">
        <v>2788</v>
      </c>
      <c r="C6" s="13" t="s">
        <v>2784</v>
      </c>
      <c r="D6" s="15">
        <v>128</v>
      </c>
      <c r="E6" s="15">
        <v>300</v>
      </c>
      <c r="F6" s="13" t="b">
        <v>1</v>
      </c>
      <c r="G6">
        <f>SUMIFS(Orders!I$2:I$2001, Orders!D$2:D$2001, A6, Orders!Q$2:Q$2001, "West")</f>
        <v>7449.9000000000005</v>
      </c>
    </row>
    <row r="7" spans="1:7" x14ac:dyDescent="0.3">
      <c r="A7" s="13" t="s">
        <v>408</v>
      </c>
      <c r="B7" s="13" t="s">
        <v>2789</v>
      </c>
      <c r="C7" s="13" t="s">
        <v>2784</v>
      </c>
      <c r="D7" s="15">
        <v>2865</v>
      </c>
      <c r="E7" s="15">
        <v>3970</v>
      </c>
      <c r="F7" s="13" t="b">
        <v>1</v>
      </c>
      <c r="G7">
        <f>SUMIFS(Orders!I$2:I$2001, Orders!D$2:D$2001, A7, Orders!Q$2:Q$2001, "West")</f>
        <v>100869.76000000001</v>
      </c>
    </row>
    <row r="8" spans="1:7" x14ac:dyDescent="0.3">
      <c r="A8" s="13" t="s">
        <v>120</v>
      </c>
      <c r="B8" s="13" t="s">
        <v>2790</v>
      </c>
      <c r="C8" s="13" t="s">
        <v>2784</v>
      </c>
      <c r="D8" s="15">
        <v>861</v>
      </c>
      <c r="E8" s="15">
        <v>1430</v>
      </c>
      <c r="F8" s="13" t="b">
        <v>1</v>
      </c>
      <c r="G8">
        <f>SUMIFS(Orders!I$2:I$2001, Orders!D$2:D$2001, A8, Orders!Q$2:Q$2001, "West")</f>
        <v>38531.35</v>
      </c>
    </row>
    <row r="9" spans="1:7" x14ac:dyDescent="0.3">
      <c r="A9" s="13" t="s">
        <v>279</v>
      </c>
      <c r="B9" s="13" t="s">
        <v>2791</v>
      </c>
      <c r="C9" s="13" t="s">
        <v>2784</v>
      </c>
      <c r="D9" s="15">
        <v>1259</v>
      </c>
      <c r="E9" s="15">
        <v>2660</v>
      </c>
      <c r="F9" s="13" t="b">
        <v>0</v>
      </c>
      <c r="G9">
        <f>SUMIFS(Orders!I$2:I$2001, Orders!D$2:D$2001, A9, Orders!Q$2:Q$2001, "West")</f>
        <v>7807.1</v>
      </c>
    </row>
    <row r="10" spans="1:7" x14ac:dyDescent="0.3">
      <c r="A10" s="13" t="s">
        <v>267</v>
      </c>
      <c r="B10" s="13" t="s">
        <v>2792</v>
      </c>
      <c r="C10" s="13" t="s">
        <v>2784</v>
      </c>
      <c r="D10" s="15">
        <v>517</v>
      </c>
      <c r="E10" s="15">
        <v>1220</v>
      </c>
      <c r="F10" s="13" t="b">
        <v>1</v>
      </c>
      <c r="G10">
        <f>SUMIFS(Orders!I$2:I$2001, Orders!D$2:D$2001, A10, Orders!Q$2:Q$2001, "West")</f>
        <v>64207.380000000005</v>
      </c>
    </row>
    <row r="11" spans="1:7" x14ac:dyDescent="0.3">
      <c r="A11" s="13" t="s">
        <v>135</v>
      </c>
      <c r="B11" s="13" t="s">
        <v>2793</v>
      </c>
      <c r="C11" s="13" t="s">
        <v>2784</v>
      </c>
      <c r="D11" s="15">
        <v>1149</v>
      </c>
      <c r="E11" s="15">
        <v>2640</v>
      </c>
      <c r="F11" s="13" t="b">
        <v>1</v>
      </c>
      <c r="G11">
        <f>SUMIFS(Orders!I$2:I$2001, Orders!D$2:D$2001, A11, Orders!Q$2:Q$2001, "West")</f>
        <v>67393.919999999998</v>
      </c>
    </row>
    <row r="12" spans="1:7" x14ac:dyDescent="0.3">
      <c r="A12" s="13" t="s">
        <v>452</v>
      </c>
      <c r="B12" s="13" t="s">
        <v>2794</v>
      </c>
      <c r="C12" s="13" t="s">
        <v>2795</v>
      </c>
      <c r="D12" s="15">
        <v>1748</v>
      </c>
      <c r="E12" s="15">
        <v>3450</v>
      </c>
      <c r="F12" s="13" t="b">
        <v>1</v>
      </c>
      <c r="G12">
        <f>SUMIFS(Orders!I$2:I$2001, Orders!D$2:D$2001, A12, Orders!Q$2:Q$2001, "West")</f>
        <v>145224.29999999999</v>
      </c>
    </row>
    <row r="13" spans="1:7" x14ac:dyDescent="0.3">
      <c r="A13" s="13" t="s">
        <v>106</v>
      </c>
      <c r="B13" s="13" t="s">
        <v>2796</v>
      </c>
      <c r="C13" s="13" t="s">
        <v>2795</v>
      </c>
      <c r="D13" s="15">
        <v>1886</v>
      </c>
      <c r="E13" s="15">
        <v>3160</v>
      </c>
      <c r="F13" s="13" t="b">
        <v>1</v>
      </c>
      <c r="G13">
        <f>SUMIFS(Orders!I$2:I$2001, Orders!D$2:D$2001, A13, Orders!Q$2:Q$2001, "West")</f>
        <v>121770.59999999999</v>
      </c>
    </row>
    <row r="14" spans="1:7" x14ac:dyDescent="0.3">
      <c r="A14" s="13" t="s">
        <v>237</v>
      </c>
      <c r="B14" s="13" t="s">
        <v>2797</v>
      </c>
      <c r="C14" s="13" t="s">
        <v>2795</v>
      </c>
      <c r="D14" s="15">
        <v>2611</v>
      </c>
      <c r="E14" s="15">
        <v>3640</v>
      </c>
      <c r="F14" s="13" t="b">
        <v>1</v>
      </c>
      <c r="G14">
        <f>SUMIFS(Orders!I$2:I$2001, Orders!D$2:D$2001, A14, Orders!Q$2:Q$2001, "West")</f>
        <v>85543.640000000014</v>
      </c>
    </row>
    <row r="15" spans="1:7" x14ac:dyDescent="0.3">
      <c r="A15" s="13" t="s">
        <v>85</v>
      </c>
      <c r="B15" s="13" t="s">
        <v>2798</v>
      </c>
      <c r="C15" s="13" t="s">
        <v>2795</v>
      </c>
      <c r="D15" s="15">
        <v>2509</v>
      </c>
      <c r="E15" s="15">
        <v>3620</v>
      </c>
      <c r="F15" s="13" t="b">
        <v>1</v>
      </c>
      <c r="G15">
        <f>SUMIFS(Orders!I$2:I$2001, Orders!D$2:D$2001, A15, Orders!Q$2:Q$2001, "West")</f>
        <v>95390.62</v>
      </c>
    </row>
    <row r="16" spans="1:7" x14ac:dyDescent="0.3">
      <c r="A16" s="13" t="s">
        <v>173</v>
      </c>
      <c r="B16" s="13" t="s">
        <v>2799</v>
      </c>
      <c r="C16" s="13" t="s">
        <v>2795</v>
      </c>
      <c r="D16" s="15">
        <v>1962</v>
      </c>
      <c r="E16" s="15">
        <v>2720</v>
      </c>
      <c r="F16" s="13" t="b">
        <v>1</v>
      </c>
      <c r="G16">
        <f>SUMIFS(Orders!I$2:I$2001, Orders!D$2:D$2001, A16, Orders!Q$2:Q$2001, "West")</f>
        <v>108190.72</v>
      </c>
    </row>
    <row r="17" spans="1:7" x14ac:dyDescent="0.3">
      <c r="A17" s="13" t="s">
        <v>292</v>
      </c>
      <c r="B17" s="13" t="s">
        <v>2800</v>
      </c>
      <c r="C17" s="13" t="s">
        <v>2795</v>
      </c>
      <c r="D17" s="15">
        <v>396</v>
      </c>
      <c r="E17" s="15">
        <v>620</v>
      </c>
      <c r="F17" s="13" t="b">
        <v>1</v>
      </c>
      <c r="G17">
        <f>SUMIFS(Orders!I$2:I$2001, Orders!D$2:D$2001, A17, Orders!Q$2:Q$2001, "West")</f>
        <v>12964.820000000002</v>
      </c>
    </row>
    <row r="18" spans="1:7" x14ac:dyDescent="0.3">
      <c r="A18" s="13" t="s">
        <v>355</v>
      </c>
      <c r="B18" s="13" t="s">
        <v>2801</v>
      </c>
      <c r="C18" s="13" t="s">
        <v>2795</v>
      </c>
      <c r="D18" s="15">
        <v>1075</v>
      </c>
      <c r="E18" s="15">
        <v>2510</v>
      </c>
      <c r="F18" s="13" t="b">
        <v>0</v>
      </c>
      <c r="G18">
        <f>SUMIFS(Orders!I$2:I$2001, Orders!D$2:D$2001, A18, Orders!Q$2:Q$2001, "West")</f>
        <v>84699.95</v>
      </c>
    </row>
    <row r="19" spans="1:7" x14ac:dyDescent="0.3">
      <c r="A19" s="13" t="s">
        <v>659</v>
      </c>
      <c r="B19" s="13" t="s">
        <v>2802</v>
      </c>
      <c r="C19" s="13" t="s">
        <v>2795</v>
      </c>
      <c r="D19" s="15">
        <v>2629</v>
      </c>
      <c r="E19" s="15">
        <v>3560</v>
      </c>
      <c r="F19" s="13" t="b">
        <v>1</v>
      </c>
      <c r="G19">
        <f>SUMIFS(Orders!I$2:I$2001, Orders!D$2:D$2001, A19, Orders!Q$2:Q$2001, "West")</f>
        <v>100288.76000000001</v>
      </c>
    </row>
    <row r="20" spans="1:7" x14ac:dyDescent="0.3">
      <c r="A20" s="13" t="s">
        <v>167</v>
      </c>
      <c r="B20" s="13" t="s">
        <v>2803</v>
      </c>
      <c r="C20" s="13" t="s">
        <v>2795</v>
      </c>
      <c r="D20" s="15">
        <v>1173</v>
      </c>
      <c r="E20" s="15">
        <v>2480</v>
      </c>
      <c r="F20" s="13" t="b">
        <v>1</v>
      </c>
      <c r="G20">
        <f>SUMIFS(Orders!I$2:I$2001, Orders!D$2:D$2001, A20, Orders!Q$2:Q$2001, "West")</f>
        <v>104993.28</v>
      </c>
    </row>
    <row r="21" spans="1:7" x14ac:dyDescent="0.3">
      <c r="A21" s="13" t="s">
        <v>91</v>
      </c>
      <c r="B21" s="13" t="s">
        <v>2804</v>
      </c>
      <c r="C21" s="13" t="s">
        <v>2795</v>
      </c>
      <c r="D21" s="15">
        <v>391</v>
      </c>
      <c r="E21" s="15">
        <v>820</v>
      </c>
      <c r="F21" s="13" t="b">
        <v>1</v>
      </c>
      <c r="G21">
        <f>SUMIFS(Orders!I$2:I$2001, Orders!D$2:D$2001, A21, Orders!Q$2:Q$2001, "West")</f>
        <v>9173.34</v>
      </c>
    </row>
    <row r="22" spans="1:7" x14ac:dyDescent="0.3">
      <c r="A22" s="13" t="s">
        <v>200</v>
      </c>
      <c r="B22" s="13" t="s">
        <v>2805</v>
      </c>
      <c r="C22" s="13" t="s">
        <v>2806</v>
      </c>
      <c r="D22" s="15">
        <v>1435</v>
      </c>
      <c r="E22" s="15">
        <v>2760</v>
      </c>
      <c r="F22" s="13" t="b">
        <v>1</v>
      </c>
      <c r="G22">
        <f>SUMIFS(Orders!I$2:I$2001, Orders!D$2:D$2001, A22, Orders!Q$2:Q$2001, "West")</f>
        <v>90555.6</v>
      </c>
    </row>
    <row r="23" spans="1:7" x14ac:dyDescent="0.3">
      <c r="A23" s="13" t="s">
        <v>245</v>
      </c>
      <c r="B23" s="13" t="s">
        <v>2807</v>
      </c>
      <c r="C23" s="13" t="s">
        <v>2806</v>
      </c>
      <c r="D23" s="15">
        <v>1412</v>
      </c>
      <c r="E23" s="15">
        <v>2270</v>
      </c>
      <c r="F23" s="13" t="b">
        <v>1</v>
      </c>
      <c r="G23">
        <f>SUMIFS(Orders!I$2:I$2001, Orders!D$2:D$2001, A23, Orders!Q$2:Q$2001, "West")</f>
        <v>66299.89</v>
      </c>
    </row>
    <row r="24" spans="1:7" x14ac:dyDescent="0.3">
      <c r="A24" s="13" t="s">
        <v>367</v>
      </c>
      <c r="B24" s="13" t="s">
        <v>2808</v>
      </c>
      <c r="C24" s="13" t="s">
        <v>2806</v>
      </c>
      <c r="D24" s="15">
        <v>1182</v>
      </c>
      <c r="E24" s="15">
        <v>2380</v>
      </c>
      <c r="F24" s="13" t="b">
        <v>1</v>
      </c>
      <c r="G24">
        <f>SUMIFS(Orders!I$2:I$2001, Orders!D$2:D$2001, A24, Orders!Q$2:Q$2001, "West")</f>
        <v>84480.48000000001</v>
      </c>
    </row>
    <row r="25" spans="1:7" x14ac:dyDescent="0.3">
      <c r="A25" s="13" t="s">
        <v>131</v>
      </c>
      <c r="B25" s="13" t="s">
        <v>2809</v>
      </c>
      <c r="C25" s="13" t="s">
        <v>2806</v>
      </c>
      <c r="D25" s="15">
        <v>1203</v>
      </c>
      <c r="E25" s="15">
        <v>2270</v>
      </c>
      <c r="F25" s="13" t="b">
        <v>1</v>
      </c>
      <c r="G25">
        <f>SUMIFS(Orders!I$2:I$2001, Orders!D$2:D$2001, A25, Orders!Q$2:Q$2001, "West")</f>
        <v>77055.150000000009</v>
      </c>
    </row>
    <row r="26" spans="1:7" x14ac:dyDescent="0.3">
      <c r="A26" s="13" t="s">
        <v>351</v>
      </c>
      <c r="B26" s="13" t="s">
        <v>2810</v>
      </c>
      <c r="C26" s="13" t="s">
        <v>2806</v>
      </c>
      <c r="D26" s="15">
        <v>2911</v>
      </c>
      <c r="E26" s="15">
        <v>4060</v>
      </c>
      <c r="F26" s="13" t="b">
        <v>1</v>
      </c>
      <c r="G26">
        <f>SUMIFS(Orders!I$2:I$2001, Orders!D$2:D$2001, A26, Orders!Q$2:Q$2001, "West")</f>
        <v>190994.58000000002</v>
      </c>
    </row>
    <row r="27" spans="1:7" x14ac:dyDescent="0.3">
      <c r="A27" s="13" t="s">
        <v>264</v>
      </c>
      <c r="B27" s="13" t="s">
        <v>2811</v>
      </c>
      <c r="C27" s="13" t="s">
        <v>2806</v>
      </c>
      <c r="D27" s="15">
        <v>2027</v>
      </c>
      <c r="E27" s="15">
        <v>4070</v>
      </c>
      <c r="F27" s="13" t="b">
        <v>1</v>
      </c>
      <c r="G27">
        <f>SUMIFS(Orders!I$2:I$2001, Orders!D$2:D$2001, A27, Orders!Q$2:Q$2001, "West")</f>
        <v>179739.34</v>
      </c>
    </row>
    <row r="28" spans="1:7" x14ac:dyDescent="0.3">
      <c r="A28" s="13" t="s">
        <v>234</v>
      </c>
      <c r="B28" s="13" t="s">
        <v>2812</v>
      </c>
      <c r="C28" s="13" t="s">
        <v>2806</v>
      </c>
      <c r="D28" s="15">
        <v>2436</v>
      </c>
      <c r="E28" s="15">
        <v>3780</v>
      </c>
      <c r="F28" s="13" t="b">
        <v>1</v>
      </c>
      <c r="G28">
        <f>SUMIFS(Orders!I$2:I$2001, Orders!D$2:D$2001, A28, Orders!Q$2:Q$2001, "West")</f>
        <v>39599.279999999999</v>
      </c>
    </row>
    <row r="29" spans="1:7" x14ac:dyDescent="0.3">
      <c r="A29" s="13" t="s">
        <v>102</v>
      </c>
      <c r="B29" s="13" t="s">
        <v>2813</v>
      </c>
      <c r="C29" s="13" t="s">
        <v>2806</v>
      </c>
      <c r="D29" s="15">
        <v>2214</v>
      </c>
      <c r="E29" s="15">
        <v>3660</v>
      </c>
      <c r="F29" s="13" t="b">
        <v>0</v>
      </c>
      <c r="G29">
        <f>SUMIFS(Orders!I$2:I$2001, Orders!D$2:D$2001, A29, Orders!Q$2:Q$2001, "West")</f>
        <v>112574.28</v>
      </c>
    </row>
    <row r="30" spans="1:7" x14ac:dyDescent="0.3">
      <c r="A30" s="13" t="s">
        <v>338</v>
      </c>
      <c r="B30" s="13" t="s">
        <v>2814</v>
      </c>
      <c r="C30" s="13" t="s">
        <v>2806</v>
      </c>
      <c r="D30" s="15">
        <v>1010</v>
      </c>
      <c r="E30" s="15">
        <v>2210</v>
      </c>
      <c r="F30" s="13" t="b">
        <v>1</v>
      </c>
      <c r="G30">
        <f>SUMIFS(Orders!I$2:I$2001, Orders!D$2:D$2001, A30, Orders!Q$2:Q$2001, "West")</f>
        <v>118562.08</v>
      </c>
    </row>
    <row r="31" spans="1:7" x14ac:dyDescent="0.3">
      <c r="A31" s="13" t="s">
        <v>127</v>
      </c>
      <c r="B31" s="13" t="s">
        <v>2815</v>
      </c>
      <c r="C31" s="13" t="s">
        <v>2806</v>
      </c>
      <c r="D31" s="15">
        <v>434</v>
      </c>
      <c r="E31" s="15">
        <v>970</v>
      </c>
      <c r="F31" s="13" t="b">
        <v>1</v>
      </c>
      <c r="G31">
        <f>SUMIFS(Orders!I$2:I$2001, Orders!D$2:D$2001, A31, Orders!Q$2:Q$2001, "West")</f>
        <v>37405.14</v>
      </c>
    </row>
    <row r="32" spans="1:7" x14ac:dyDescent="0.3">
      <c r="A32" s="13" t="s">
        <v>226</v>
      </c>
      <c r="B32" s="13" t="s">
        <v>2816</v>
      </c>
      <c r="C32" s="13" t="s">
        <v>2817</v>
      </c>
      <c r="D32" s="15">
        <v>2135</v>
      </c>
      <c r="E32" s="15">
        <v>3730</v>
      </c>
      <c r="F32" s="13" t="b">
        <v>1</v>
      </c>
      <c r="G32">
        <f>SUMIFS(Orders!I$2:I$2001, Orders!D$2:D$2001, A32, Orders!Q$2:Q$2001, "West")</f>
        <v>102321.36</v>
      </c>
    </row>
    <row r="33" spans="1:7" x14ac:dyDescent="0.3">
      <c r="A33" s="13" t="s">
        <v>110</v>
      </c>
      <c r="B33" s="13" t="s">
        <v>2818</v>
      </c>
      <c r="C33" s="13" t="s">
        <v>2817</v>
      </c>
      <c r="D33" s="15">
        <v>288</v>
      </c>
      <c r="E33" s="15">
        <v>370</v>
      </c>
      <c r="F33" s="13" t="b">
        <v>1</v>
      </c>
      <c r="G33">
        <f>SUMIFS(Orders!I$2:I$2001, Orders!D$2:D$2001, A33, Orders!Q$2:Q$2001, "West")</f>
        <v>20402.170000000002</v>
      </c>
    </row>
    <row r="34" spans="1:7" x14ac:dyDescent="0.3">
      <c r="A34" s="13" t="s">
        <v>295</v>
      </c>
      <c r="B34" s="13" t="s">
        <v>2819</v>
      </c>
      <c r="C34" s="13" t="s">
        <v>2817</v>
      </c>
      <c r="D34" s="15">
        <v>1143</v>
      </c>
      <c r="E34" s="15">
        <v>2030</v>
      </c>
      <c r="F34" s="13" t="b">
        <v>1</v>
      </c>
      <c r="G34">
        <f>SUMIFS(Orders!I$2:I$2001, Orders!D$2:D$2001, A34, Orders!Q$2:Q$2001, "West")</f>
        <v>137585.28</v>
      </c>
    </row>
    <row r="35" spans="1:7" x14ac:dyDescent="0.3">
      <c r="A35" s="13" t="s">
        <v>443</v>
      </c>
      <c r="B35" s="13" t="s">
        <v>2820</v>
      </c>
      <c r="C35" s="13" t="s">
        <v>2817</v>
      </c>
      <c r="D35" s="15">
        <v>2459</v>
      </c>
      <c r="E35" s="15">
        <v>5080</v>
      </c>
      <c r="F35" s="13" t="b">
        <v>1</v>
      </c>
      <c r="G35">
        <f>SUMIFS(Orders!I$2:I$2001, Orders!D$2:D$2001, A35, Orders!Q$2:Q$2001, "West")</f>
        <v>221112.07999999996</v>
      </c>
    </row>
    <row r="36" spans="1:7" x14ac:dyDescent="0.3">
      <c r="A36" s="13" t="s">
        <v>502</v>
      </c>
      <c r="B36" s="13" t="s">
        <v>2821</v>
      </c>
      <c r="C36" s="13" t="s">
        <v>2817</v>
      </c>
      <c r="D36" s="15">
        <v>464</v>
      </c>
      <c r="E36" s="15">
        <v>1090</v>
      </c>
      <c r="F36" s="13" t="b">
        <v>1</v>
      </c>
      <c r="G36">
        <f>SUMIFS(Orders!I$2:I$2001, Orders!D$2:D$2001, A36, Orders!Q$2:Q$2001, "West")</f>
        <v>26929.54</v>
      </c>
    </row>
    <row r="37" spans="1:7" x14ac:dyDescent="0.3">
      <c r="A37" s="13" t="s">
        <v>143</v>
      </c>
      <c r="B37" s="13" t="s">
        <v>2822</v>
      </c>
      <c r="C37" s="13" t="s">
        <v>2817</v>
      </c>
      <c r="D37" s="15">
        <v>1556</v>
      </c>
      <c r="E37" s="15">
        <v>3250</v>
      </c>
      <c r="F37" s="13" t="b">
        <v>1</v>
      </c>
      <c r="G37">
        <f>SUMIFS(Orders!I$2:I$2001, Orders!D$2:D$2001, A37, Orders!Q$2:Q$2001, "West")</f>
        <v>88426</v>
      </c>
    </row>
    <row r="38" spans="1:7" x14ac:dyDescent="0.3">
      <c r="A38" s="13" t="s">
        <v>203</v>
      </c>
      <c r="B38" s="13" t="s">
        <v>2823</v>
      </c>
      <c r="C38" s="13" t="s">
        <v>2817</v>
      </c>
      <c r="D38" s="15">
        <v>329</v>
      </c>
      <c r="E38" s="15">
        <v>660</v>
      </c>
      <c r="F38" s="13" t="b">
        <v>1</v>
      </c>
      <c r="G38">
        <f>SUMIFS(Orders!I$2:I$2001, Orders!D$2:D$2001, A38, Orders!Q$2:Q$2001, "West")</f>
        <v>13841.52</v>
      </c>
    </row>
    <row r="39" spans="1:7" x14ac:dyDescent="0.3">
      <c r="A39" s="13" t="s">
        <v>124</v>
      </c>
      <c r="B39" s="13" t="s">
        <v>2824</v>
      </c>
      <c r="C39" s="13" t="s">
        <v>2817</v>
      </c>
      <c r="D39" s="15">
        <v>2549</v>
      </c>
      <c r="E39" s="15">
        <v>5490</v>
      </c>
      <c r="F39" s="13" t="b">
        <v>1</v>
      </c>
      <c r="G39">
        <f>SUMIFS(Orders!I$2:I$2001, Orders!D$2:D$2001, A39, Orders!Q$2:Q$2001, "West")</f>
        <v>119445.93</v>
      </c>
    </row>
    <row r="40" spans="1:7" x14ac:dyDescent="0.3">
      <c r="A40" s="13" t="s">
        <v>270</v>
      </c>
      <c r="B40" s="13" t="s">
        <v>2825</v>
      </c>
      <c r="C40" s="13" t="s">
        <v>2817</v>
      </c>
      <c r="D40" s="15">
        <v>1850</v>
      </c>
      <c r="E40" s="15">
        <v>4610</v>
      </c>
      <c r="F40" s="13" t="b">
        <v>1</v>
      </c>
      <c r="G40">
        <f>SUMIFS(Orders!I$2:I$2001, Orders!D$2:D$2001, A40, Orders!Q$2:Q$2001, "West")</f>
        <v>177512.66</v>
      </c>
    </row>
    <row r="41" spans="1:7" x14ac:dyDescent="0.3">
      <c r="A41" s="13" t="s">
        <v>164</v>
      </c>
      <c r="B41" s="13" t="s">
        <v>2826</v>
      </c>
      <c r="C41" s="13" t="s">
        <v>2817</v>
      </c>
      <c r="D41" s="15">
        <v>519</v>
      </c>
      <c r="E41" s="15">
        <v>1080</v>
      </c>
      <c r="F41" s="13" t="b">
        <v>1</v>
      </c>
      <c r="G41">
        <f>SUMIFS(Orders!I$2:I$2001, Orders!D$2:D$2001, A41, Orders!Q$2:Q$2001, "West")</f>
        <v>47831.039999999994</v>
      </c>
    </row>
    <row r="42" spans="1:7" x14ac:dyDescent="0.3">
      <c r="A42" s="13" t="s">
        <v>259</v>
      </c>
      <c r="B42" s="13" t="s">
        <v>2827</v>
      </c>
      <c r="C42" s="13" t="s">
        <v>2828</v>
      </c>
      <c r="D42" s="15">
        <v>647</v>
      </c>
      <c r="E42" s="15">
        <v>1540</v>
      </c>
      <c r="F42" s="13" t="b">
        <v>0</v>
      </c>
      <c r="G42">
        <f>SUMIFS(Orders!I$2:I$2001, Orders!D$2:D$2001, A42, Orders!Q$2:Q$2001, "West")</f>
        <v>80488.099999999991</v>
      </c>
    </row>
    <row r="43" spans="1:7" x14ac:dyDescent="0.3">
      <c r="A43" s="13" t="s">
        <v>386</v>
      </c>
      <c r="B43" s="13" t="s">
        <v>2829</v>
      </c>
      <c r="C43" s="13" t="s">
        <v>2828</v>
      </c>
      <c r="D43" s="15">
        <v>1219</v>
      </c>
      <c r="E43" s="15">
        <v>2290</v>
      </c>
      <c r="F43" s="13" t="b">
        <v>1</v>
      </c>
      <c r="G43">
        <f>SUMIFS(Orders!I$2:I$2001, Orders!D$2:D$2001, A43, Orders!Q$2:Q$2001, "West")</f>
        <v>138799.19000000003</v>
      </c>
    </row>
    <row r="44" spans="1:7" x14ac:dyDescent="0.3">
      <c r="A44" s="13" t="s">
        <v>179</v>
      </c>
      <c r="B44" s="13" t="s">
        <v>2830</v>
      </c>
      <c r="C44" s="13" t="s">
        <v>2828</v>
      </c>
      <c r="D44" s="15">
        <v>1728</v>
      </c>
      <c r="E44" s="15">
        <v>3350</v>
      </c>
      <c r="F44" s="13" t="b">
        <v>1</v>
      </c>
      <c r="G44">
        <f>SUMIFS(Orders!I$2:I$2001, Orders!D$2:D$2001, A44, Orders!Q$2:Q$2001, "West")</f>
        <v>104386</v>
      </c>
    </row>
    <row r="45" spans="1:7" x14ac:dyDescent="0.3">
      <c r="A45" s="13" t="s">
        <v>176</v>
      </c>
      <c r="B45" s="13" t="s">
        <v>2831</v>
      </c>
      <c r="C45" s="13" t="s">
        <v>2828</v>
      </c>
      <c r="D45" s="15">
        <v>1222</v>
      </c>
      <c r="E45" s="15">
        <v>1650</v>
      </c>
      <c r="F45" s="13" t="b">
        <v>1</v>
      </c>
      <c r="G45">
        <f>SUMIFS(Orders!I$2:I$2001, Orders!D$2:D$2001, A45, Orders!Q$2:Q$2001, "West")</f>
        <v>68328.149999999994</v>
      </c>
    </row>
    <row r="46" spans="1:7" x14ac:dyDescent="0.3">
      <c r="A46" s="13" t="s">
        <v>276</v>
      </c>
      <c r="B46" s="13" t="s">
        <v>2832</v>
      </c>
      <c r="C46" s="13" t="s">
        <v>2828</v>
      </c>
      <c r="D46" s="15">
        <v>1626</v>
      </c>
      <c r="E46" s="15">
        <v>3020</v>
      </c>
      <c r="F46" s="13" t="b">
        <v>1</v>
      </c>
      <c r="G46">
        <f>SUMIFS(Orders!I$2:I$2001, Orders!D$2:D$2001, A46, Orders!Q$2:Q$2001, "West")</f>
        <v>102894.42000000001</v>
      </c>
    </row>
    <row r="47" spans="1:7" x14ac:dyDescent="0.3">
      <c r="A47" s="13" t="s">
        <v>184</v>
      </c>
      <c r="B47" s="13" t="s">
        <v>2833</v>
      </c>
      <c r="C47" s="13" t="s">
        <v>2828</v>
      </c>
      <c r="D47" s="15">
        <v>2768</v>
      </c>
      <c r="E47" s="15">
        <v>4880</v>
      </c>
      <c r="F47" s="13" t="b">
        <v>1</v>
      </c>
      <c r="G47">
        <f>SUMIFS(Orders!I$2:I$2001, Orders!D$2:D$2001, A47, Orders!Q$2:Q$2001, "West")</f>
        <v>100035.12</v>
      </c>
    </row>
    <row r="48" spans="1:7" x14ac:dyDescent="0.3">
      <c r="A48" s="13" t="s">
        <v>157</v>
      </c>
      <c r="B48" s="13" t="s">
        <v>2834</v>
      </c>
      <c r="C48" s="13" t="s">
        <v>2828</v>
      </c>
      <c r="D48" s="15">
        <v>2420</v>
      </c>
      <c r="E48" s="15">
        <v>3450</v>
      </c>
      <c r="F48" s="13" t="b">
        <v>1</v>
      </c>
      <c r="G48">
        <f>SUMIFS(Orders!I$2:I$2001, Orders!D$2:D$2001, A48, Orders!Q$2:Q$2001, "West")</f>
        <v>167780.4</v>
      </c>
    </row>
    <row r="49" spans="1:7" x14ac:dyDescent="0.3">
      <c r="A49" s="13" t="s">
        <v>191</v>
      </c>
      <c r="B49" s="13" t="s">
        <v>2835</v>
      </c>
      <c r="C49" s="13" t="s">
        <v>2828</v>
      </c>
      <c r="D49" s="15">
        <v>2237</v>
      </c>
      <c r="E49" s="15">
        <v>5100</v>
      </c>
      <c r="F49" s="13" t="b">
        <v>1</v>
      </c>
      <c r="G49">
        <f>SUMIFS(Orders!I$2:I$2001, Orders!D$2:D$2001, A49, Orders!Q$2:Q$2001, "West")</f>
        <v>244351.19999999998</v>
      </c>
    </row>
    <row r="50" spans="1:7" x14ac:dyDescent="0.3">
      <c r="A50" s="13" t="s">
        <v>380</v>
      </c>
      <c r="B50" s="13" t="s">
        <v>2836</v>
      </c>
      <c r="C50" s="13" t="s">
        <v>2828</v>
      </c>
      <c r="D50" s="15">
        <v>675</v>
      </c>
      <c r="E50" s="15">
        <v>960</v>
      </c>
      <c r="F50" s="13" t="b">
        <v>1</v>
      </c>
      <c r="G50">
        <f>SUMIFS(Orders!I$2:I$2001, Orders!D$2:D$2001, A50, Orders!Q$2:Q$2001, "West")</f>
        <v>56751.360000000008</v>
      </c>
    </row>
    <row r="51" spans="1:7" x14ac:dyDescent="0.3">
      <c r="A51" s="13" t="s">
        <v>241</v>
      </c>
      <c r="B51" s="13" t="s">
        <v>2837</v>
      </c>
      <c r="C51" s="13" t="s">
        <v>2828</v>
      </c>
      <c r="D51" s="15">
        <v>2617</v>
      </c>
      <c r="E51" s="15">
        <v>6080</v>
      </c>
      <c r="F51" s="13" t="b">
        <v>1</v>
      </c>
      <c r="G51">
        <f>SUMIFS(Orders!I$2:I$2001, Orders!D$2:D$2001, A51, Orders!Q$2:Q$2001, "West")</f>
        <v>124646.07999999999</v>
      </c>
    </row>
    <row r="52" spans="1:7" x14ac:dyDescent="0.3">
      <c r="A52" s="13" t="s">
        <v>161</v>
      </c>
      <c r="B52" s="13" t="s">
        <v>2838</v>
      </c>
      <c r="C52" s="13" t="s">
        <v>2839</v>
      </c>
      <c r="D52" s="15">
        <v>2467</v>
      </c>
      <c r="E52" s="15">
        <v>3450</v>
      </c>
      <c r="F52" s="13" t="b">
        <v>1</v>
      </c>
      <c r="G52">
        <f>SUMIFS(Orders!I$2:I$2001, Orders!D$2:D$2001, A52, Orders!Q$2:Q$2001, "West")</f>
        <v>109233.90000000001</v>
      </c>
    </row>
    <row r="53" spans="1:7" x14ac:dyDescent="0.3">
      <c r="A53" s="13" t="s">
        <v>360</v>
      </c>
      <c r="B53" s="13" t="s">
        <v>2840</v>
      </c>
      <c r="C53" s="13" t="s">
        <v>2839</v>
      </c>
      <c r="D53" s="15">
        <v>2265</v>
      </c>
      <c r="E53" s="15">
        <v>5410</v>
      </c>
      <c r="F53" s="13" t="b">
        <v>1</v>
      </c>
      <c r="G53">
        <f>SUMIFS(Orders!I$2:I$2001, Orders!D$2:D$2001, A53, Orders!Q$2:Q$2001, "West")</f>
        <v>74614.720000000001</v>
      </c>
    </row>
    <row r="54" spans="1:7" x14ac:dyDescent="0.3">
      <c r="A54" s="13" t="s">
        <v>97</v>
      </c>
      <c r="B54" s="13" t="s">
        <v>2841</v>
      </c>
      <c r="C54" s="13" t="s">
        <v>2839</v>
      </c>
      <c r="D54" s="15">
        <v>302</v>
      </c>
      <c r="E54" s="15">
        <v>470</v>
      </c>
      <c r="F54" s="13" t="b">
        <v>0</v>
      </c>
      <c r="G54">
        <f>SUMIFS(Orders!I$2:I$2001, Orders!D$2:D$2001, A54, Orders!Q$2:Q$2001, "West")</f>
        <v>21160.81</v>
      </c>
    </row>
    <row r="55" spans="1:7" x14ac:dyDescent="0.3">
      <c r="A55" s="13" t="s">
        <v>182</v>
      </c>
      <c r="B55" s="13" t="s">
        <v>2842</v>
      </c>
      <c r="C55" s="13" t="s">
        <v>2839</v>
      </c>
      <c r="D55" s="15">
        <v>516</v>
      </c>
      <c r="E55" s="15">
        <v>1010</v>
      </c>
      <c r="F55" s="13" t="b">
        <v>1</v>
      </c>
      <c r="G55">
        <f>SUMIFS(Orders!I$2:I$2001, Orders!D$2:D$2001, A55, Orders!Q$2:Q$2001, "West")</f>
        <v>19529.36</v>
      </c>
    </row>
    <row r="56" spans="1:7" x14ac:dyDescent="0.3">
      <c r="A56" s="13" t="s">
        <v>195</v>
      </c>
      <c r="B56" s="13" t="s">
        <v>2843</v>
      </c>
      <c r="C56" s="13" t="s">
        <v>2839</v>
      </c>
      <c r="D56" s="15">
        <v>2028</v>
      </c>
      <c r="E56" s="15">
        <v>2860</v>
      </c>
      <c r="F56" s="13" t="b">
        <v>1</v>
      </c>
      <c r="G56">
        <f>SUMIFS(Orders!I$2:I$2001, Orders!D$2:D$2001, A56, Orders!Q$2:Q$2001, "West")</f>
        <v>109566.6</v>
      </c>
    </row>
    <row r="57" spans="1:7" x14ac:dyDescent="0.3">
      <c r="A57" s="13" t="s">
        <v>515</v>
      </c>
      <c r="B57" s="13" t="s">
        <v>2844</v>
      </c>
      <c r="C57" s="13" t="s">
        <v>2839</v>
      </c>
      <c r="D57" s="15">
        <v>2827</v>
      </c>
      <c r="E57" s="15">
        <v>6940</v>
      </c>
      <c r="F57" s="13" t="b">
        <v>1</v>
      </c>
      <c r="G57">
        <f>SUMIFS(Orders!I$2:I$2001, Orders!D$2:D$2001, A57, Orders!Q$2:Q$2001, "West")</f>
        <v>260395.73999999996</v>
      </c>
    </row>
    <row r="58" spans="1:7" x14ac:dyDescent="0.3">
      <c r="A58" s="13" t="s">
        <v>115</v>
      </c>
      <c r="B58" s="13" t="s">
        <v>2845</v>
      </c>
      <c r="C58" s="13" t="s">
        <v>2839</v>
      </c>
      <c r="D58" s="15">
        <v>705</v>
      </c>
      <c r="E58" s="15">
        <v>960</v>
      </c>
      <c r="F58" s="13" t="b">
        <v>1</v>
      </c>
      <c r="G58">
        <f>SUMIFS(Orders!I$2:I$2001, Orders!D$2:D$2001, A58, Orders!Q$2:Q$2001, "West")</f>
        <v>32451.840000000004</v>
      </c>
    </row>
    <row r="59" spans="1:7" x14ac:dyDescent="0.3">
      <c r="A59" s="13" t="s">
        <v>151</v>
      </c>
      <c r="B59" s="13" t="s">
        <v>2846</v>
      </c>
      <c r="C59" s="13" t="s">
        <v>2839</v>
      </c>
      <c r="D59" s="15">
        <v>974</v>
      </c>
      <c r="E59" s="15">
        <v>2400</v>
      </c>
      <c r="F59" s="13" t="b">
        <v>1</v>
      </c>
      <c r="G59">
        <f>SUMIFS(Orders!I$2:I$2001, Orders!D$2:D$2001, A59, Orders!Q$2:Q$2001, "West")</f>
        <v>71772</v>
      </c>
    </row>
    <row r="60" spans="1:7" x14ac:dyDescent="0.3">
      <c r="A60" s="13" t="s">
        <v>461</v>
      </c>
      <c r="B60" s="13" t="s">
        <v>2847</v>
      </c>
      <c r="C60" s="13" t="s">
        <v>2839</v>
      </c>
      <c r="D60" s="15">
        <v>1860</v>
      </c>
      <c r="E60" s="15">
        <v>3780</v>
      </c>
      <c r="F60" s="13" t="b">
        <v>1</v>
      </c>
      <c r="G60">
        <f>SUMIFS(Orders!I$2:I$2001, Orders!D$2:D$2001, A60, Orders!Q$2:Q$2001, "West")</f>
        <v>150054.66</v>
      </c>
    </row>
    <row r="61" spans="1:7" x14ac:dyDescent="0.3">
      <c r="A61" s="13" t="s">
        <v>147</v>
      </c>
      <c r="B61" s="13" t="s">
        <v>2848</v>
      </c>
      <c r="C61" s="13" t="s">
        <v>2839</v>
      </c>
      <c r="D61" s="15">
        <v>147</v>
      </c>
      <c r="E61" s="15">
        <v>190</v>
      </c>
      <c r="F61" s="13" t="b">
        <v>1</v>
      </c>
      <c r="G61">
        <f>SUMIFS(Orders!I$2:I$2001, Orders!D$2:D$2001, A61, Orders!Q$2:Q$2001, "West")</f>
        <v>7838.26</v>
      </c>
    </row>
  </sheetData>
  <pageMargins left="0.75" right="0.75" top="1" bottom="1" header="0.5" footer="0.5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  <pageSetUpPr fitToPage="1"/>
  </sheetPr>
  <dimension ref="A1:G31"/>
  <sheetViews>
    <sheetView workbookViewId="0">
      <pane ySplit="1" topLeftCell="A2" activePane="bottomLeft" state="frozen"/>
      <selection pane="bottomLeft" activeCell="H1" sqref="H1"/>
    </sheetView>
  </sheetViews>
  <sheetFormatPr defaultRowHeight="14.4" x14ac:dyDescent="0.3"/>
  <cols>
    <col min="1" max="1" width="8" customWidth="1"/>
    <col min="2" max="2" width="17" customWidth="1"/>
    <col min="3" max="3" width="8" customWidth="1"/>
    <col min="4" max="4" width="12" customWidth="1"/>
    <col min="5" max="5" width="14" customWidth="1"/>
  </cols>
  <sheetData>
    <row r="1" spans="1:7" x14ac:dyDescent="0.3">
      <c r="A1" s="5" t="s">
        <v>2849</v>
      </c>
      <c r="B1" s="5" t="s">
        <v>2850</v>
      </c>
      <c r="C1" s="5" t="s">
        <v>2851</v>
      </c>
      <c r="D1" s="5" t="s">
        <v>2852</v>
      </c>
      <c r="E1" s="5" t="s">
        <v>2853</v>
      </c>
      <c r="F1" s="41" t="s">
        <v>3027</v>
      </c>
      <c r="G1" s="41" t="s">
        <v>3045</v>
      </c>
    </row>
    <row r="2" spans="1:7" x14ac:dyDescent="0.3">
      <c r="A2" s="13" t="s">
        <v>215</v>
      </c>
      <c r="B2" s="13" t="s">
        <v>2854</v>
      </c>
      <c r="C2" s="13" t="s">
        <v>2855</v>
      </c>
      <c r="D2" s="14">
        <v>44207</v>
      </c>
      <c r="E2" s="13"/>
      <c r="F2">
        <f>SUMIF(Orders!E$2:E$2001, A2, Orders!I$2:I$2001)</f>
        <v>789849.60000000009</v>
      </c>
      <c r="G2">
        <f>_xlfn.RANK.EQ(F2, F$2:F$31)</f>
        <v>23</v>
      </c>
    </row>
    <row r="3" spans="1:7" x14ac:dyDescent="0.3">
      <c r="A3" s="13" t="s">
        <v>297</v>
      </c>
      <c r="B3" s="13" t="s">
        <v>2856</v>
      </c>
      <c r="C3" s="13" t="s">
        <v>2855</v>
      </c>
      <c r="D3" s="14">
        <v>44028</v>
      </c>
      <c r="E3" s="13"/>
      <c r="F3">
        <f>SUMIF(Orders!E$2:E$2001, A3, Orders!I$2:I$2001)</f>
        <v>980063.65999999968</v>
      </c>
      <c r="G3">
        <f t="shared" ref="G3:G31" si="0">_xlfn.RANK.EQ(F3, F$2:F$31)</f>
        <v>9</v>
      </c>
    </row>
    <row r="4" spans="1:7" x14ac:dyDescent="0.3">
      <c r="A4" s="13" t="s">
        <v>148</v>
      </c>
      <c r="B4" s="13" t="s">
        <v>2857</v>
      </c>
      <c r="C4" s="13" t="s">
        <v>2855</v>
      </c>
      <c r="D4" s="14">
        <v>43651</v>
      </c>
      <c r="E4" s="13"/>
      <c r="F4">
        <f>SUMIF(Orders!E$2:E$2001, A4, Orders!I$2:I$2001)</f>
        <v>986692.91</v>
      </c>
      <c r="G4">
        <f t="shared" si="0"/>
        <v>7</v>
      </c>
    </row>
    <row r="5" spans="1:7" x14ac:dyDescent="0.3">
      <c r="A5" s="13" t="s">
        <v>139</v>
      </c>
      <c r="B5" s="13" t="s">
        <v>2858</v>
      </c>
      <c r="C5" s="13" t="s">
        <v>2855</v>
      </c>
      <c r="D5" s="14">
        <v>44907</v>
      </c>
      <c r="E5" s="13"/>
      <c r="F5">
        <f>SUMIF(Orders!E$2:E$2001, A5, Orders!I$2:I$2001)</f>
        <v>589026.2899999998</v>
      </c>
      <c r="G5">
        <f t="shared" si="0"/>
        <v>29</v>
      </c>
    </row>
    <row r="6" spans="1:7" x14ac:dyDescent="0.3">
      <c r="A6" s="13" t="s">
        <v>92</v>
      </c>
      <c r="B6" s="13" t="s">
        <v>2859</v>
      </c>
      <c r="C6" s="13" t="s">
        <v>2855</v>
      </c>
      <c r="D6" s="14">
        <v>43588</v>
      </c>
      <c r="E6" s="13" t="s">
        <v>215</v>
      </c>
      <c r="F6">
        <f>SUMIF(Orders!E$2:E$2001, A6, Orders!I$2:I$2001)</f>
        <v>782445.33</v>
      </c>
      <c r="G6">
        <f t="shared" si="0"/>
        <v>24</v>
      </c>
    </row>
    <row r="7" spans="1:7" x14ac:dyDescent="0.3">
      <c r="A7" s="13" t="s">
        <v>103</v>
      </c>
      <c r="B7" s="13" t="s">
        <v>2773</v>
      </c>
      <c r="C7" s="13" t="s">
        <v>2855</v>
      </c>
      <c r="D7" s="14">
        <v>44131</v>
      </c>
      <c r="E7" s="13" t="s">
        <v>215</v>
      </c>
      <c r="F7">
        <f>SUMIF(Orders!E$2:E$2001, A7, Orders!I$2:I$2001)</f>
        <v>1138648.73</v>
      </c>
      <c r="G7">
        <f t="shared" si="0"/>
        <v>1</v>
      </c>
    </row>
    <row r="8" spans="1:7" x14ac:dyDescent="0.3">
      <c r="A8" s="13" t="s">
        <v>86</v>
      </c>
      <c r="B8" s="13" t="s">
        <v>2860</v>
      </c>
      <c r="C8" s="13" t="s">
        <v>2855</v>
      </c>
      <c r="D8" s="14">
        <v>43493</v>
      </c>
      <c r="E8" s="13" t="s">
        <v>215</v>
      </c>
      <c r="F8">
        <f>SUMIF(Orders!E$2:E$2001, A8, Orders!I$2:I$2001)</f>
        <v>855749.67999999982</v>
      </c>
      <c r="G8">
        <f t="shared" si="0"/>
        <v>19</v>
      </c>
    </row>
    <row r="9" spans="1:7" x14ac:dyDescent="0.3">
      <c r="A9" s="13" t="s">
        <v>107</v>
      </c>
      <c r="B9" s="13" t="s">
        <v>2762</v>
      </c>
      <c r="C9" s="13" t="s">
        <v>2855</v>
      </c>
      <c r="D9" s="14">
        <v>44693</v>
      </c>
      <c r="E9" s="13" t="s">
        <v>215</v>
      </c>
      <c r="F9">
        <f>SUMIF(Orders!E$2:E$2001, A9, Orders!I$2:I$2001)</f>
        <v>861553.33</v>
      </c>
      <c r="G9">
        <f t="shared" si="0"/>
        <v>18</v>
      </c>
    </row>
    <row r="10" spans="1:7" x14ac:dyDescent="0.3">
      <c r="A10" s="13" t="s">
        <v>204</v>
      </c>
      <c r="B10" s="13" t="s">
        <v>2861</v>
      </c>
      <c r="C10" s="13" t="s">
        <v>2862</v>
      </c>
      <c r="D10" s="14">
        <v>44804</v>
      </c>
      <c r="E10" s="13" t="s">
        <v>297</v>
      </c>
      <c r="F10">
        <f>SUMIF(Orders!E$2:E$2001, A10, Orders!I$2:I$2001)</f>
        <v>914554.71999999986</v>
      </c>
      <c r="G10">
        <f t="shared" si="0"/>
        <v>12</v>
      </c>
    </row>
    <row r="11" spans="1:7" x14ac:dyDescent="0.3">
      <c r="A11" s="13" t="s">
        <v>132</v>
      </c>
      <c r="B11" s="13" t="s">
        <v>2863</v>
      </c>
      <c r="C11" s="13" t="s">
        <v>2862</v>
      </c>
      <c r="D11" s="14">
        <v>43904</v>
      </c>
      <c r="E11" s="13" t="s">
        <v>297</v>
      </c>
      <c r="F11">
        <f>SUMIF(Orders!E$2:E$2001, A11, Orders!I$2:I$2001)</f>
        <v>880345.20000000007</v>
      </c>
      <c r="G11">
        <f t="shared" si="0"/>
        <v>17</v>
      </c>
    </row>
    <row r="12" spans="1:7" x14ac:dyDescent="0.3">
      <c r="A12" s="13" t="s">
        <v>273</v>
      </c>
      <c r="B12" s="13" t="s">
        <v>2864</v>
      </c>
      <c r="C12" s="13" t="s">
        <v>2862</v>
      </c>
      <c r="D12" s="14">
        <v>44622</v>
      </c>
      <c r="E12" s="13" t="s">
        <v>297</v>
      </c>
      <c r="F12">
        <f>SUMIF(Orders!E$2:E$2001, A12, Orders!I$2:I$2001)</f>
        <v>735207.75999999989</v>
      </c>
      <c r="G12">
        <f t="shared" si="0"/>
        <v>28</v>
      </c>
    </row>
    <row r="13" spans="1:7" x14ac:dyDescent="0.3">
      <c r="A13" s="13" t="s">
        <v>325</v>
      </c>
      <c r="B13" s="13" t="s">
        <v>2865</v>
      </c>
      <c r="C13" s="13" t="s">
        <v>2862</v>
      </c>
      <c r="D13" s="14">
        <v>44890</v>
      </c>
      <c r="E13" s="13" t="s">
        <v>297</v>
      </c>
      <c r="F13">
        <f>SUMIF(Orders!E$2:E$2001, A13, Orders!I$2:I$2001)</f>
        <v>901394.32000000007</v>
      </c>
      <c r="G13">
        <f t="shared" si="0"/>
        <v>14</v>
      </c>
    </row>
    <row r="14" spans="1:7" x14ac:dyDescent="0.3">
      <c r="A14" s="13" t="s">
        <v>252</v>
      </c>
      <c r="B14" s="13" t="s">
        <v>2866</v>
      </c>
      <c r="C14" s="13" t="s">
        <v>2862</v>
      </c>
      <c r="D14" s="14">
        <v>45215</v>
      </c>
      <c r="E14" s="13" t="s">
        <v>297</v>
      </c>
      <c r="F14">
        <f>SUMIF(Orders!E$2:E$2001, A14, Orders!I$2:I$2001)</f>
        <v>811524.37999999989</v>
      </c>
      <c r="G14">
        <f t="shared" si="0"/>
        <v>22</v>
      </c>
    </row>
    <row r="15" spans="1:7" x14ac:dyDescent="0.3">
      <c r="A15" s="13" t="s">
        <v>98</v>
      </c>
      <c r="B15" s="13" t="s">
        <v>2867</v>
      </c>
      <c r="C15" s="13" t="s">
        <v>2862</v>
      </c>
      <c r="D15" s="14">
        <v>44469</v>
      </c>
      <c r="E15" s="13" t="s">
        <v>297</v>
      </c>
      <c r="F15">
        <f>SUMIF(Orders!E$2:E$2001, A15, Orders!I$2:I$2001)</f>
        <v>995713.54000000015</v>
      </c>
      <c r="G15">
        <f t="shared" si="0"/>
        <v>6</v>
      </c>
    </row>
    <row r="16" spans="1:7" x14ac:dyDescent="0.3">
      <c r="A16" s="13" t="s">
        <v>188</v>
      </c>
      <c r="B16" s="13" t="s">
        <v>2868</v>
      </c>
      <c r="C16" s="13" t="s">
        <v>2862</v>
      </c>
      <c r="D16" s="14">
        <v>45231</v>
      </c>
      <c r="E16" s="13" t="s">
        <v>297</v>
      </c>
      <c r="F16">
        <f>SUMIF(Orders!E$2:E$2001, A16, Orders!I$2:I$2001)</f>
        <v>1091740.1799999997</v>
      </c>
      <c r="G16">
        <f t="shared" si="0"/>
        <v>3</v>
      </c>
    </row>
    <row r="17" spans="1:7" x14ac:dyDescent="0.3">
      <c r="A17" s="13" t="s">
        <v>346</v>
      </c>
      <c r="B17" s="13" t="s">
        <v>2869</v>
      </c>
      <c r="C17" s="13" t="s">
        <v>2862</v>
      </c>
      <c r="D17" s="14">
        <v>43614</v>
      </c>
      <c r="E17" s="13" t="s">
        <v>297</v>
      </c>
      <c r="F17">
        <f>SUMIF(Orders!E$2:E$2001, A17, Orders!I$2:I$2001)</f>
        <v>814563.7100000002</v>
      </c>
      <c r="G17">
        <f t="shared" si="0"/>
        <v>21</v>
      </c>
    </row>
    <row r="18" spans="1:7" x14ac:dyDescent="0.3">
      <c r="A18" s="13" t="s">
        <v>238</v>
      </c>
      <c r="B18" s="13" t="s">
        <v>2870</v>
      </c>
      <c r="C18" s="13" t="s">
        <v>2871</v>
      </c>
      <c r="D18" s="14">
        <v>43685</v>
      </c>
      <c r="E18" s="13" t="s">
        <v>148</v>
      </c>
      <c r="F18">
        <f>SUMIF(Orders!E$2:E$2001, A18, Orders!I$2:I$2001)</f>
        <v>780384.40999999992</v>
      </c>
      <c r="G18">
        <f t="shared" si="0"/>
        <v>25</v>
      </c>
    </row>
    <row r="19" spans="1:7" x14ac:dyDescent="0.3">
      <c r="A19" s="13" t="s">
        <v>303</v>
      </c>
      <c r="B19" s="13" t="s">
        <v>2872</v>
      </c>
      <c r="C19" s="13" t="s">
        <v>2871</v>
      </c>
      <c r="D19" s="14">
        <v>43428</v>
      </c>
      <c r="E19" s="13" t="s">
        <v>148</v>
      </c>
      <c r="F19">
        <f>SUMIF(Orders!E$2:E$2001, A19, Orders!I$2:I$2001)</f>
        <v>1112289.6400000001</v>
      </c>
      <c r="G19">
        <f t="shared" si="0"/>
        <v>2</v>
      </c>
    </row>
    <row r="20" spans="1:7" x14ac:dyDescent="0.3">
      <c r="A20" s="13" t="s">
        <v>121</v>
      </c>
      <c r="B20" s="13" t="s">
        <v>2873</v>
      </c>
      <c r="C20" s="13" t="s">
        <v>2871</v>
      </c>
      <c r="D20" s="14">
        <v>43576</v>
      </c>
      <c r="E20" s="13" t="s">
        <v>148</v>
      </c>
      <c r="F20">
        <f>SUMIF(Orders!E$2:E$2001, A20, Orders!I$2:I$2001)</f>
        <v>971183.52000000014</v>
      </c>
      <c r="G20">
        <f t="shared" si="0"/>
        <v>10</v>
      </c>
    </row>
    <row r="21" spans="1:7" x14ac:dyDescent="0.3">
      <c r="A21" s="13" t="s">
        <v>192</v>
      </c>
      <c r="B21" s="13" t="s">
        <v>2874</v>
      </c>
      <c r="C21" s="13" t="s">
        <v>2871</v>
      </c>
      <c r="D21" s="14">
        <v>43254</v>
      </c>
      <c r="E21" s="13" t="s">
        <v>148</v>
      </c>
      <c r="F21">
        <f>SUMIF(Orders!E$2:E$2001, A21, Orders!I$2:I$2001)</f>
        <v>906107.71000000008</v>
      </c>
      <c r="G21">
        <f t="shared" si="0"/>
        <v>13</v>
      </c>
    </row>
    <row r="22" spans="1:7" x14ac:dyDescent="0.3">
      <c r="A22" s="13" t="s">
        <v>158</v>
      </c>
      <c r="B22" s="13" t="s">
        <v>2875</v>
      </c>
      <c r="C22" s="13" t="s">
        <v>2871</v>
      </c>
      <c r="D22" s="14">
        <v>43260</v>
      </c>
      <c r="E22" s="13" t="s">
        <v>148</v>
      </c>
      <c r="F22">
        <f>SUMIF(Orders!E$2:E$2001, A22, Orders!I$2:I$2001)</f>
        <v>761507.17000000027</v>
      </c>
      <c r="G22">
        <f t="shared" si="0"/>
        <v>26</v>
      </c>
    </row>
    <row r="23" spans="1:7" x14ac:dyDescent="0.3">
      <c r="A23" s="13" t="s">
        <v>285</v>
      </c>
      <c r="B23" s="13" t="s">
        <v>2876</v>
      </c>
      <c r="C23" s="13" t="s">
        <v>2871</v>
      </c>
      <c r="D23" s="14">
        <v>43146</v>
      </c>
      <c r="E23" s="13" t="s">
        <v>148</v>
      </c>
      <c r="F23">
        <f>SUMIF(Orders!E$2:E$2001, A23, Orders!I$2:I$2001)</f>
        <v>1069570.5400000003</v>
      </c>
      <c r="G23">
        <f t="shared" si="0"/>
        <v>4</v>
      </c>
    </row>
    <row r="24" spans="1:7" x14ac:dyDescent="0.3">
      <c r="A24" s="13" t="s">
        <v>154</v>
      </c>
      <c r="B24" s="13" t="s">
        <v>2877</v>
      </c>
      <c r="C24" s="13" t="s">
        <v>2871</v>
      </c>
      <c r="D24" s="14">
        <v>44777</v>
      </c>
      <c r="E24" s="13" t="s">
        <v>148</v>
      </c>
      <c r="F24">
        <f>SUMIF(Orders!E$2:E$2001, A24, Orders!I$2:I$2001)</f>
        <v>983787.4800000001</v>
      </c>
      <c r="G24">
        <f t="shared" si="0"/>
        <v>8</v>
      </c>
    </row>
    <row r="25" spans="1:7" x14ac:dyDescent="0.3">
      <c r="A25" s="13" t="s">
        <v>116</v>
      </c>
      <c r="B25" s="13" t="s">
        <v>2878</v>
      </c>
      <c r="C25" s="13" t="s">
        <v>2879</v>
      </c>
      <c r="D25" s="14">
        <v>43371</v>
      </c>
      <c r="E25" s="13" t="s">
        <v>139</v>
      </c>
      <c r="F25">
        <f>SUMIF(Orders!E$2:E$2001, A25, Orders!I$2:I$2001)</f>
        <v>819558.58</v>
      </c>
      <c r="G25">
        <f t="shared" si="0"/>
        <v>20</v>
      </c>
    </row>
    <row r="26" spans="1:7" x14ac:dyDescent="0.3">
      <c r="A26" s="13" t="s">
        <v>111</v>
      </c>
      <c r="B26" s="13" t="s">
        <v>2880</v>
      </c>
      <c r="C26" s="13" t="s">
        <v>2879</v>
      </c>
      <c r="D26" s="14">
        <v>43781</v>
      </c>
      <c r="E26" s="13" t="s">
        <v>139</v>
      </c>
      <c r="F26">
        <f>SUMIF(Orders!E$2:E$2001, A26, Orders!I$2:I$2001)</f>
        <v>901298.89</v>
      </c>
      <c r="G26">
        <f t="shared" si="0"/>
        <v>15</v>
      </c>
    </row>
    <row r="27" spans="1:7" x14ac:dyDescent="0.3">
      <c r="A27" s="13" t="s">
        <v>201</v>
      </c>
      <c r="B27" s="13" t="s">
        <v>2881</v>
      </c>
      <c r="C27" s="13" t="s">
        <v>2879</v>
      </c>
      <c r="D27" s="14">
        <v>43570</v>
      </c>
      <c r="E27" s="13" t="s">
        <v>139</v>
      </c>
      <c r="F27">
        <f>SUMIF(Orders!E$2:E$2001, A27, Orders!I$2:I$2001)</f>
        <v>576305.08000000019</v>
      </c>
      <c r="G27">
        <f t="shared" si="0"/>
        <v>30</v>
      </c>
    </row>
    <row r="28" spans="1:7" x14ac:dyDescent="0.3">
      <c r="A28" s="13" t="s">
        <v>343</v>
      </c>
      <c r="B28" s="13" t="s">
        <v>2882</v>
      </c>
      <c r="C28" s="13" t="s">
        <v>2879</v>
      </c>
      <c r="D28" s="14">
        <v>45199</v>
      </c>
      <c r="E28" s="13" t="s">
        <v>139</v>
      </c>
      <c r="F28">
        <f>SUMIF(Orders!E$2:E$2001, A28, Orders!I$2:I$2001)</f>
        <v>917092.61999999965</v>
      </c>
      <c r="G28">
        <f t="shared" si="0"/>
        <v>11</v>
      </c>
    </row>
    <row r="29" spans="1:7" x14ac:dyDescent="0.3">
      <c r="A29" s="13" t="s">
        <v>128</v>
      </c>
      <c r="B29" s="13" t="s">
        <v>2883</v>
      </c>
      <c r="C29" s="13" t="s">
        <v>2879</v>
      </c>
      <c r="D29" s="14">
        <v>44898</v>
      </c>
      <c r="E29" s="13" t="s">
        <v>139</v>
      </c>
      <c r="F29">
        <f>SUMIF(Orders!E$2:E$2001, A29, Orders!I$2:I$2001)</f>
        <v>880468.05</v>
      </c>
      <c r="G29">
        <f t="shared" si="0"/>
        <v>16</v>
      </c>
    </row>
    <row r="30" spans="1:7" x14ac:dyDescent="0.3">
      <c r="A30" s="13" t="s">
        <v>229</v>
      </c>
      <c r="B30" s="13" t="s">
        <v>2884</v>
      </c>
      <c r="C30" s="13" t="s">
        <v>2879</v>
      </c>
      <c r="D30" s="14">
        <v>45191</v>
      </c>
      <c r="E30" s="13" t="s">
        <v>139</v>
      </c>
      <c r="F30">
        <f>SUMIF(Orders!E$2:E$2001, A30, Orders!I$2:I$2001)</f>
        <v>1016696.8000000002</v>
      </c>
      <c r="G30">
        <f t="shared" si="0"/>
        <v>5</v>
      </c>
    </row>
    <row r="31" spans="1:7" x14ac:dyDescent="0.3">
      <c r="A31" s="13" t="s">
        <v>170</v>
      </c>
      <c r="B31" s="13" t="s">
        <v>2885</v>
      </c>
      <c r="C31" s="13" t="s">
        <v>2879</v>
      </c>
      <c r="D31" s="14">
        <v>44506</v>
      </c>
      <c r="E31" s="13" t="s">
        <v>139</v>
      </c>
      <c r="F31">
        <f>SUMIF(Orders!E$2:E$2001, A31, Orders!I$2:I$2001)</f>
        <v>747624.36999999988</v>
      </c>
      <c r="G31">
        <f t="shared" si="0"/>
        <v>27</v>
      </c>
    </row>
  </sheetData>
  <pageMargins left="0.75" right="0.75" top="1" bottom="1" header="0.5" footer="0.5"/>
  <pageSetup paperSize="9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472C4"/>
    <pageSetUpPr fitToPage="1"/>
  </sheetPr>
  <dimension ref="A1:M3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3" width="8" customWidth="1"/>
  </cols>
  <sheetData>
    <row r="1" spans="1:13" x14ac:dyDescent="0.3">
      <c r="A1" s="5" t="s">
        <v>2849</v>
      </c>
      <c r="B1" s="5" t="s">
        <v>2886</v>
      </c>
      <c r="C1" s="5" t="s">
        <v>2887</v>
      </c>
      <c r="D1" s="5" t="s">
        <v>2888</v>
      </c>
      <c r="E1" s="5" t="s">
        <v>2889</v>
      </c>
      <c r="F1" s="5" t="s">
        <v>2890</v>
      </c>
      <c r="G1" s="5" t="s">
        <v>2891</v>
      </c>
      <c r="H1" s="5" t="s">
        <v>2892</v>
      </c>
      <c r="I1" s="5" t="s">
        <v>2893</v>
      </c>
      <c r="J1" s="5" t="s">
        <v>2894</v>
      </c>
      <c r="K1" s="5" t="s">
        <v>2895</v>
      </c>
      <c r="L1" s="5" t="s">
        <v>2896</v>
      </c>
      <c r="M1" s="5" t="s">
        <v>2897</v>
      </c>
    </row>
    <row r="2" spans="1:13" x14ac:dyDescent="0.3">
      <c r="A2" s="13" t="s">
        <v>215</v>
      </c>
      <c r="B2" s="15">
        <v>231324</v>
      </c>
      <c r="C2" s="15">
        <v>171682</v>
      </c>
      <c r="D2" s="15">
        <v>234376</v>
      </c>
      <c r="E2" s="15">
        <v>326967</v>
      </c>
      <c r="F2" s="15">
        <v>350588</v>
      </c>
      <c r="G2" s="15">
        <v>385324</v>
      </c>
      <c r="H2" s="15">
        <v>307980</v>
      </c>
      <c r="I2" s="15">
        <v>327947</v>
      </c>
      <c r="J2" s="15">
        <v>181016</v>
      </c>
      <c r="K2" s="15">
        <v>374039</v>
      </c>
      <c r="L2" s="15">
        <v>212805</v>
      </c>
      <c r="M2" s="15">
        <v>405999</v>
      </c>
    </row>
    <row r="3" spans="1:13" x14ac:dyDescent="0.3">
      <c r="A3" s="13" t="s">
        <v>297</v>
      </c>
      <c r="B3" s="15">
        <v>438126</v>
      </c>
      <c r="C3" s="15">
        <v>346266</v>
      </c>
      <c r="D3" s="15">
        <v>329993</v>
      </c>
      <c r="E3" s="15">
        <v>370744</v>
      </c>
      <c r="F3" s="15">
        <v>294660</v>
      </c>
      <c r="G3" s="15">
        <v>341556</v>
      </c>
      <c r="H3" s="15">
        <v>151934</v>
      </c>
      <c r="I3" s="15">
        <v>223794</v>
      </c>
      <c r="J3" s="15">
        <v>438641</v>
      </c>
      <c r="K3" s="15">
        <v>344308</v>
      </c>
      <c r="L3" s="15">
        <v>296172</v>
      </c>
      <c r="M3" s="15">
        <v>304288</v>
      </c>
    </row>
    <row r="4" spans="1:13" x14ac:dyDescent="0.3">
      <c r="A4" s="13" t="s">
        <v>148</v>
      </c>
      <c r="B4" s="15">
        <v>358703</v>
      </c>
      <c r="C4" s="15">
        <v>320519</v>
      </c>
      <c r="D4" s="15">
        <v>327321</v>
      </c>
      <c r="E4" s="15">
        <v>298753</v>
      </c>
      <c r="F4" s="15">
        <v>254636</v>
      </c>
      <c r="G4" s="15">
        <v>351929</v>
      </c>
      <c r="H4" s="15">
        <v>264723</v>
      </c>
      <c r="I4" s="15">
        <v>216459</v>
      </c>
      <c r="J4" s="15">
        <v>391945</v>
      </c>
      <c r="K4" s="15">
        <v>362426</v>
      </c>
      <c r="L4" s="15">
        <v>289199</v>
      </c>
      <c r="M4" s="15">
        <v>301863</v>
      </c>
    </row>
    <row r="5" spans="1:13" x14ac:dyDescent="0.3">
      <c r="A5" s="13" t="s">
        <v>139</v>
      </c>
      <c r="B5" s="15">
        <v>389594</v>
      </c>
      <c r="C5" s="15">
        <v>376422</v>
      </c>
      <c r="D5" s="15">
        <v>324156</v>
      </c>
      <c r="E5" s="15">
        <v>420255</v>
      </c>
      <c r="F5" s="15">
        <v>409107</v>
      </c>
      <c r="G5" s="15">
        <v>269954</v>
      </c>
      <c r="H5" s="15">
        <v>179097</v>
      </c>
      <c r="I5" s="15">
        <v>370568</v>
      </c>
      <c r="J5" s="15">
        <v>387395</v>
      </c>
      <c r="K5" s="15">
        <v>243454</v>
      </c>
      <c r="L5" s="15">
        <v>232530</v>
      </c>
      <c r="M5" s="15">
        <v>201999</v>
      </c>
    </row>
    <row r="6" spans="1:13" x14ac:dyDescent="0.3">
      <c r="A6" s="13" t="s">
        <v>92</v>
      </c>
      <c r="B6" s="15">
        <v>436862</v>
      </c>
      <c r="C6" s="15">
        <v>391158</v>
      </c>
      <c r="D6" s="15">
        <v>340224</v>
      </c>
      <c r="E6" s="15">
        <v>170548</v>
      </c>
      <c r="F6" s="15">
        <v>229390</v>
      </c>
      <c r="G6" s="15">
        <v>349525</v>
      </c>
      <c r="H6" s="15">
        <v>154683</v>
      </c>
      <c r="I6" s="15">
        <v>320848</v>
      </c>
      <c r="J6" s="15">
        <v>354452</v>
      </c>
      <c r="K6" s="15">
        <v>377180</v>
      </c>
      <c r="L6" s="15">
        <v>342347</v>
      </c>
      <c r="M6" s="15">
        <v>183362</v>
      </c>
    </row>
    <row r="7" spans="1:13" x14ac:dyDescent="0.3">
      <c r="A7" s="13" t="s">
        <v>103</v>
      </c>
      <c r="B7" s="15">
        <v>348734</v>
      </c>
      <c r="C7" s="15">
        <v>358191</v>
      </c>
      <c r="D7" s="15">
        <v>250385</v>
      </c>
      <c r="E7" s="15">
        <v>219657</v>
      </c>
      <c r="F7" s="15">
        <v>249365</v>
      </c>
      <c r="G7" s="15">
        <v>435704</v>
      </c>
      <c r="H7" s="15">
        <v>260892</v>
      </c>
      <c r="I7" s="15">
        <v>250741</v>
      </c>
      <c r="J7" s="15">
        <v>358402</v>
      </c>
      <c r="K7" s="15">
        <v>379858</v>
      </c>
      <c r="L7" s="15">
        <v>213280</v>
      </c>
      <c r="M7" s="15">
        <v>224634</v>
      </c>
    </row>
    <row r="8" spans="1:13" x14ac:dyDescent="0.3">
      <c r="A8" s="13" t="s">
        <v>86</v>
      </c>
      <c r="B8" s="15">
        <v>280057</v>
      </c>
      <c r="C8" s="15">
        <v>330342</v>
      </c>
      <c r="D8" s="15">
        <v>336856</v>
      </c>
      <c r="E8" s="15">
        <v>227425</v>
      </c>
      <c r="F8" s="15">
        <v>233647</v>
      </c>
      <c r="G8" s="15">
        <v>307088</v>
      </c>
      <c r="H8" s="15">
        <v>370724</v>
      </c>
      <c r="I8" s="15">
        <v>440008</v>
      </c>
      <c r="J8" s="15">
        <v>406347</v>
      </c>
      <c r="K8" s="15">
        <v>217357</v>
      </c>
      <c r="L8" s="15">
        <v>299289</v>
      </c>
      <c r="M8" s="15">
        <v>214568</v>
      </c>
    </row>
    <row r="9" spans="1:13" x14ac:dyDescent="0.3">
      <c r="A9" s="13" t="s">
        <v>107</v>
      </c>
      <c r="B9" s="15">
        <v>252886</v>
      </c>
      <c r="C9" s="15">
        <v>206057</v>
      </c>
      <c r="D9" s="15">
        <v>318209</v>
      </c>
      <c r="E9" s="15">
        <v>411230</v>
      </c>
      <c r="F9" s="15">
        <v>448660</v>
      </c>
      <c r="G9" s="15">
        <v>171135</v>
      </c>
      <c r="H9" s="15">
        <v>305339</v>
      </c>
      <c r="I9" s="15">
        <v>432264</v>
      </c>
      <c r="J9" s="15">
        <v>294273</v>
      </c>
      <c r="K9" s="15">
        <v>371409</v>
      </c>
      <c r="L9" s="15">
        <v>284207</v>
      </c>
      <c r="M9" s="15">
        <v>437068</v>
      </c>
    </row>
    <row r="10" spans="1:13" x14ac:dyDescent="0.3">
      <c r="A10" s="13" t="s">
        <v>204</v>
      </c>
      <c r="B10" s="15">
        <v>268752</v>
      </c>
      <c r="C10" s="15">
        <v>393256</v>
      </c>
      <c r="D10" s="15">
        <v>310649</v>
      </c>
      <c r="E10" s="15">
        <v>246237</v>
      </c>
      <c r="F10" s="15">
        <v>271287</v>
      </c>
      <c r="G10" s="15">
        <v>314545</v>
      </c>
      <c r="H10" s="15">
        <v>406506</v>
      </c>
      <c r="I10" s="15">
        <v>334930</v>
      </c>
      <c r="J10" s="15">
        <v>348625</v>
      </c>
      <c r="K10" s="15">
        <v>408928</v>
      </c>
      <c r="L10" s="15">
        <v>243749</v>
      </c>
      <c r="M10" s="15">
        <v>418409</v>
      </c>
    </row>
    <row r="11" spans="1:13" x14ac:dyDescent="0.3">
      <c r="A11" s="13" t="s">
        <v>132</v>
      </c>
      <c r="B11" s="15">
        <v>384734</v>
      </c>
      <c r="C11" s="15">
        <v>156698</v>
      </c>
      <c r="D11" s="15">
        <v>283679</v>
      </c>
      <c r="E11" s="15">
        <v>276085</v>
      </c>
      <c r="F11" s="15">
        <v>409270</v>
      </c>
      <c r="G11" s="15">
        <v>285230</v>
      </c>
      <c r="H11" s="15">
        <v>304233</v>
      </c>
      <c r="I11" s="15">
        <v>178221</v>
      </c>
      <c r="J11" s="15">
        <v>284216</v>
      </c>
      <c r="K11" s="15">
        <v>287373</v>
      </c>
      <c r="L11" s="15">
        <v>229082</v>
      </c>
      <c r="M11" s="15">
        <v>298969</v>
      </c>
    </row>
    <row r="12" spans="1:13" x14ac:dyDescent="0.3">
      <c r="A12" s="13" t="s">
        <v>273</v>
      </c>
      <c r="B12" s="15">
        <v>186029</v>
      </c>
      <c r="C12" s="15">
        <v>151419</v>
      </c>
      <c r="D12" s="15">
        <v>253251</v>
      </c>
      <c r="E12" s="15">
        <v>379757</v>
      </c>
      <c r="F12" s="15">
        <v>204209</v>
      </c>
      <c r="G12" s="15">
        <v>179396</v>
      </c>
      <c r="H12" s="15">
        <v>378008</v>
      </c>
      <c r="I12" s="15">
        <v>182649</v>
      </c>
      <c r="J12" s="15">
        <v>267772</v>
      </c>
      <c r="K12" s="15">
        <v>350352</v>
      </c>
      <c r="L12" s="15">
        <v>358042</v>
      </c>
      <c r="M12" s="15">
        <v>359960</v>
      </c>
    </row>
    <row r="13" spans="1:13" x14ac:dyDescent="0.3">
      <c r="A13" s="13" t="s">
        <v>325</v>
      </c>
      <c r="B13" s="15">
        <v>352158</v>
      </c>
      <c r="C13" s="15">
        <v>251181</v>
      </c>
      <c r="D13" s="15">
        <v>321255</v>
      </c>
      <c r="E13" s="15">
        <v>300863</v>
      </c>
      <c r="F13" s="15">
        <v>241731</v>
      </c>
      <c r="G13" s="15">
        <v>393275</v>
      </c>
      <c r="H13" s="15">
        <v>313561</v>
      </c>
      <c r="I13" s="15">
        <v>283604</v>
      </c>
      <c r="J13" s="15">
        <v>429065</v>
      </c>
      <c r="K13" s="15">
        <v>194420</v>
      </c>
      <c r="L13" s="15">
        <v>254168</v>
      </c>
      <c r="M13" s="15">
        <v>389283</v>
      </c>
    </row>
    <row r="14" spans="1:13" x14ac:dyDescent="0.3">
      <c r="A14" s="13" t="s">
        <v>252</v>
      </c>
      <c r="B14" s="15">
        <v>350003</v>
      </c>
      <c r="C14" s="15">
        <v>384951</v>
      </c>
      <c r="D14" s="15">
        <v>424777</v>
      </c>
      <c r="E14" s="15">
        <v>323282</v>
      </c>
      <c r="F14" s="15">
        <v>427290</v>
      </c>
      <c r="G14" s="15">
        <v>363819</v>
      </c>
      <c r="H14" s="15">
        <v>279496</v>
      </c>
      <c r="I14" s="15">
        <v>190932</v>
      </c>
      <c r="J14" s="15">
        <v>347420</v>
      </c>
      <c r="K14" s="15">
        <v>160215</v>
      </c>
      <c r="L14" s="15">
        <v>388600</v>
      </c>
      <c r="M14" s="15">
        <v>437901</v>
      </c>
    </row>
    <row r="15" spans="1:13" x14ac:dyDescent="0.3">
      <c r="A15" s="13" t="s">
        <v>98</v>
      </c>
      <c r="B15" s="15">
        <v>307327</v>
      </c>
      <c r="C15" s="15">
        <v>377256</v>
      </c>
      <c r="D15" s="15">
        <v>236349</v>
      </c>
      <c r="E15" s="15">
        <v>321223</v>
      </c>
      <c r="F15" s="15">
        <v>268119</v>
      </c>
      <c r="G15" s="15">
        <v>294020</v>
      </c>
      <c r="H15" s="15">
        <v>312180</v>
      </c>
      <c r="I15" s="15">
        <v>390845</v>
      </c>
      <c r="J15" s="15">
        <v>432317</v>
      </c>
      <c r="K15" s="15">
        <v>277613</v>
      </c>
      <c r="L15" s="15">
        <v>373411</v>
      </c>
      <c r="M15" s="15">
        <v>214349</v>
      </c>
    </row>
    <row r="16" spans="1:13" x14ac:dyDescent="0.3">
      <c r="A16" s="13" t="s">
        <v>188</v>
      </c>
      <c r="B16" s="15">
        <v>414207</v>
      </c>
      <c r="C16" s="15">
        <v>376391</v>
      </c>
      <c r="D16" s="15">
        <v>192739</v>
      </c>
      <c r="E16" s="15">
        <v>165892</v>
      </c>
      <c r="F16" s="15">
        <v>187659</v>
      </c>
      <c r="G16" s="15">
        <v>283837</v>
      </c>
      <c r="H16" s="15">
        <v>434871</v>
      </c>
      <c r="I16" s="15">
        <v>369518</v>
      </c>
      <c r="J16" s="15">
        <v>171986</v>
      </c>
      <c r="K16" s="15">
        <v>328460</v>
      </c>
      <c r="L16" s="15">
        <v>418857</v>
      </c>
      <c r="M16" s="15">
        <v>159947</v>
      </c>
    </row>
    <row r="17" spans="1:13" x14ac:dyDescent="0.3">
      <c r="A17" s="13" t="s">
        <v>346</v>
      </c>
      <c r="B17" s="15">
        <v>335614</v>
      </c>
      <c r="C17" s="15">
        <v>325577</v>
      </c>
      <c r="D17" s="15">
        <v>217575</v>
      </c>
      <c r="E17" s="15">
        <v>427851</v>
      </c>
      <c r="F17" s="15">
        <v>438020</v>
      </c>
      <c r="G17" s="15">
        <v>276675</v>
      </c>
      <c r="H17" s="15">
        <v>331096</v>
      </c>
      <c r="I17" s="15">
        <v>282103</v>
      </c>
      <c r="J17" s="15">
        <v>321062</v>
      </c>
      <c r="K17" s="15">
        <v>235137</v>
      </c>
      <c r="L17" s="15">
        <v>279755</v>
      </c>
      <c r="M17" s="15">
        <v>230523</v>
      </c>
    </row>
    <row r="18" spans="1:13" x14ac:dyDescent="0.3">
      <c r="A18" s="13" t="s">
        <v>238</v>
      </c>
      <c r="B18" s="15">
        <v>369725</v>
      </c>
      <c r="C18" s="15">
        <v>181516</v>
      </c>
      <c r="D18" s="15">
        <v>233993</v>
      </c>
      <c r="E18" s="15">
        <v>194261</v>
      </c>
      <c r="F18" s="15">
        <v>233332</v>
      </c>
      <c r="G18" s="15">
        <v>359011</v>
      </c>
      <c r="H18" s="15">
        <v>219264</v>
      </c>
      <c r="I18" s="15">
        <v>391688</v>
      </c>
      <c r="J18" s="15">
        <v>191502</v>
      </c>
      <c r="K18" s="15">
        <v>216536</v>
      </c>
      <c r="L18" s="15">
        <v>205649</v>
      </c>
      <c r="M18" s="15">
        <v>285932</v>
      </c>
    </row>
    <row r="19" spans="1:13" x14ac:dyDescent="0.3">
      <c r="A19" s="13" t="s">
        <v>303</v>
      </c>
      <c r="B19" s="15">
        <v>257718</v>
      </c>
      <c r="C19" s="15">
        <v>413773</v>
      </c>
      <c r="D19" s="15">
        <v>202301</v>
      </c>
      <c r="E19" s="15">
        <v>257477</v>
      </c>
      <c r="F19" s="15">
        <v>372470</v>
      </c>
      <c r="G19" s="15">
        <v>371047</v>
      </c>
      <c r="H19" s="15">
        <v>169457</v>
      </c>
      <c r="I19" s="15">
        <v>202077</v>
      </c>
      <c r="J19" s="15">
        <v>406637</v>
      </c>
      <c r="K19" s="15">
        <v>255393</v>
      </c>
      <c r="L19" s="15">
        <v>158049</v>
      </c>
      <c r="M19" s="15">
        <v>317073</v>
      </c>
    </row>
    <row r="20" spans="1:13" x14ac:dyDescent="0.3">
      <c r="A20" s="13" t="s">
        <v>121</v>
      </c>
      <c r="B20" s="15">
        <v>277098</v>
      </c>
      <c r="C20" s="15">
        <v>284984</v>
      </c>
      <c r="D20" s="15">
        <v>164922</v>
      </c>
      <c r="E20" s="15">
        <v>181579</v>
      </c>
      <c r="F20" s="15">
        <v>260717</v>
      </c>
      <c r="G20" s="15">
        <v>414136</v>
      </c>
      <c r="H20" s="15">
        <v>305447</v>
      </c>
      <c r="I20" s="15">
        <v>283691</v>
      </c>
      <c r="J20" s="15">
        <v>359591</v>
      </c>
      <c r="K20" s="15">
        <v>415531</v>
      </c>
      <c r="L20" s="15">
        <v>383485</v>
      </c>
      <c r="M20" s="15">
        <v>154976</v>
      </c>
    </row>
    <row r="21" spans="1:13" x14ac:dyDescent="0.3">
      <c r="A21" s="13" t="s">
        <v>192</v>
      </c>
      <c r="B21" s="15">
        <v>212521</v>
      </c>
      <c r="C21" s="15">
        <v>245361</v>
      </c>
      <c r="D21" s="15">
        <v>402338</v>
      </c>
      <c r="E21" s="15">
        <v>153034</v>
      </c>
      <c r="F21" s="15">
        <v>274863</v>
      </c>
      <c r="G21" s="15">
        <v>238363</v>
      </c>
      <c r="H21" s="15">
        <v>231270</v>
      </c>
      <c r="I21" s="15">
        <v>245700</v>
      </c>
      <c r="J21" s="15">
        <v>368067</v>
      </c>
      <c r="K21" s="15">
        <v>297022</v>
      </c>
      <c r="L21" s="15">
        <v>413149</v>
      </c>
      <c r="M21" s="15">
        <v>156857</v>
      </c>
    </row>
    <row r="22" spans="1:13" x14ac:dyDescent="0.3">
      <c r="A22" s="13" t="s">
        <v>158</v>
      </c>
      <c r="B22" s="15">
        <v>162799</v>
      </c>
      <c r="C22" s="15">
        <v>304758</v>
      </c>
      <c r="D22" s="15">
        <v>405377</v>
      </c>
      <c r="E22" s="15">
        <v>179658</v>
      </c>
      <c r="F22" s="15">
        <v>404994</v>
      </c>
      <c r="G22" s="15">
        <v>193255</v>
      </c>
      <c r="H22" s="15">
        <v>355444</v>
      </c>
      <c r="I22" s="15">
        <v>246543</v>
      </c>
      <c r="J22" s="15">
        <v>329852</v>
      </c>
      <c r="K22" s="15">
        <v>224665</v>
      </c>
      <c r="L22" s="15">
        <v>361938</v>
      </c>
      <c r="M22" s="15">
        <v>165860</v>
      </c>
    </row>
    <row r="23" spans="1:13" x14ac:dyDescent="0.3">
      <c r="A23" s="13" t="s">
        <v>285</v>
      </c>
      <c r="B23" s="15">
        <v>356537</v>
      </c>
      <c r="C23" s="15">
        <v>448297</v>
      </c>
      <c r="D23" s="15">
        <v>156014</v>
      </c>
      <c r="E23" s="15">
        <v>157667</v>
      </c>
      <c r="F23" s="15">
        <v>172713</v>
      </c>
      <c r="G23" s="15">
        <v>196305</v>
      </c>
      <c r="H23" s="15">
        <v>442484</v>
      </c>
      <c r="I23" s="15">
        <v>293581</v>
      </c>
      <c r="J23" s="15">
        <v>280862</v>
      </c>
      <c r="K23" s="15">
        <v>340676</v>
      </c>
      <c r="L23" s="15">
        <v>343411</v>
      </c>
      <c r="M23" s="15">
        <v>437921</v>
      </c>
    </row>
    <row r="24" spans="1:13" x14ac:dyDescent="0.3">
      <c r="A24" s="13" t="s">
        <v>154</v>
      </c>
      <c r="B24" s="15">
        <v>218099</v>
      </c>
      <c r="C24" s="15">
        <v>412956</v>
      </c>
      <c r="D24" s="15">
        <v>438770</v>
      </c>
      <c r="E24" s="15">
        <v>172679</v>
      </c>
      <c r="F24" s="15">
        <v>343868</v>
      </c>
      <c r="G24" s="15">
        <v>390384</v>
      </c>
      <c r="H24" s="15">
        <v>400933</v>
      </c>
      <c r="I24" s="15">
        <v>211614</v>
      </c>
      <c r="J24" s="15">
        <v>201857</v>
      </c>
      <c r="K24" s="15">
        <v>430835</v>
      </c>
      <c r="L24" s="15">
        <v>193076</v>
      </c>
      <c r="M24" s="15">
        <v>372598</v>
      </c>
    </row>
    <row r="25" spans="1:13" x14ac:dyDescent="0.3">
      <c r="A25" s="13" t="s">
        <v>116</v>
      </c>
      <c r="B25" s="15">
        <v>168635</v>
      </c>
      <c r="C25" s="15">
        <v>214511</v>
      </c>
      <c r="D25" s="15">
        <v>169022</v>
      </c>
      <c r="E25" s="15">
        <v>247159</v>
      </c>
      <c r="F25" s="15">
        <v>304981</v>
      </c>
      <c r="G25" s="15">
        <v>387353</v>
      </c>
      <c r="H25" s="15">
        <v>167057</v>
      </c>
      <c r="I25" s="15">
        <v>403051</v>
      </c>
      <c r="J25" s="15">
        <v>184207</v>
      </c>
      <c r="K25" s="15">
        <v>350145</v>
      </c>
      <c r="L25" s="15">
        <v>376579</v>
      </c>
      <c r="M25" s="15">
        <v>364718</v>
      </c>
    </row>
    <row r="26" spans="1:13" x14ac:dyDescent="0.3">
      <c r="A26" s="13" t="s">
        <v>111</v>
      </c>
      <c r="B26" s="15">
        <v>241742</v>
      </c>
      <c r="C26" s="15">
        <v>376544</v>
      </c>
      <c r="D26" s="15">
        <v>289689</v>
      </c>
      <c r="E26" s="15">
        <v>291365</v>
      </c>
      <c r="F26" s="15">
        <v>151669</v>
      </c>
      <c r="G26" s="15">
        <v>237046</v>
      </c>
      <c r="H26" s="15">
        <v>215592</v>
      </c>
      <c r="I26" s="15">
        <v>256462</v>
      </c>
      <c r="J26" s="15">
        <v>219765</v>
      </c>
      <c r="K26" s="15">
        <v>305885</v>
      </c>
      <c r="L26" s="15">
        <v>170489</v>
      </c>
      <c r="M26" s="15">
        <v>328169</v>
      </c>
    </row>
    <row r="27" spans="1:13" x14ac:dyDescent="0.3">
      <c r="A27" s="13" t="s">
        <v>201</v>
      </c>
      <c r="B27" s="15">
        <v>206632</v>
      </c>
      <c r="C27" s="15">
        <v>418219</v>
      </c>
      <c r="D27" s="15">
        <v>218871</v>
      </c>
      <c r="E27" s="15">
        <v>424496</v>
      </c>
      <c r="F27" s="15">
        <v>269328</v>
      </c>
      <c r="G27" s="15">
        <v>261309</v>
      </c>
      <c r="H27" s="15">
        <v>244265</v>
      </c>
      <c r="I27" s="15">
        <v>228393</v>
      </c>
      <c r="J27" s="15">
        <v>410956</v>
      </c>
      <c r="K27" s="15">
        <v>314259</v>
      </c>
      <c r="L27" s="15">
        <v>297459</v>
      </c>
      <c r="M27" s="15">
        <v>251313</v>
      </c>
    </row>
    <row r="28" spans="1:13" x14ac:dyDescent="0.3">
      <c r="A28" s="13" t="s">
        <v>343</v>
      </c>
      <c r="B28" s="15">
        <v>239781</v>
      </c>
      <c r="C28" s="15">
        <v>430605</v>
      </c>
      <c r="D28" s="15">
        <v>190908</v>
      </c>
      <c r="E28" s="15">
        <v>229129</v>
      </c>
      <c r="F28" s="15">
        <v>196262</v>
      </c>
      <c r="G28" s="15">
        <v>377844</v>
      </c>
      <c r="H28" s="15">
        <v>293147</v>
      </c>
      <c r="I28" s="15">
        <v>370985</v>
      </c>
      <c r="J28" s="15">
        <v>420128</v>
      </c>
      <c r="K28" s="15">
        <v>433140</v>
      </c>
      <c r="L28" s="15">
        <v>408093</v>
      </c>
      <c r="M28" s="15">
        <v>255969</v>
      </c>
    </row>
    <row r="29" spans="1:13" x14ac:dyDescent="0.3">
      <c r="A29" s="13" t="s">
        <v>128</v>
      </c>
      <c r="B29" s="15">
        <v>426872</v>
      </c>
      <c r="C29" s="15">
        <v>171719</v>
      </c>
      <c r="D29" s="15">
        <v>169701</v>
      </c>
      <c r="E29" s="15">
        <v>347987</v>
      </c>
      <c r="F29" s="15">
        <v>216195</v>
      </c>
      <c r="G29" s="15">
        <v>412271</v>
      </c>
      <c r="H29" s="15">
        <v>416393</v>
      </c>
      <c r="I29" s="15">
        <v>353569</v>
      </c>
      <c r="J29" s="15">
        <v>323287</v>
      </c>
      <c r="K29" s="15">
        <v>301789</v>
      </c>
      <c r="L29" s="15">
        <v>208839</v>
      </c>
      <c r="M29" s="15">
        <v>369454</v>
      </c>
    </row>
    <row r="30" spans="1:13" x14ac:dyDescent="0.3">
      <c r="A30" s="13" t="s">
        <v>229</v>
      </c>
      <c r="B30" s="15">
        <v>233369</v>
      </c>
      <c r="C30" s="15">
        <v>371909</v>
      </c>
      <c r="D30" s="15">
        <v>355248</v>
      </c>
      <c r="E30" s="15">
        <v>156409</v>
      </c>
      <c r="F30" s="15">
        <v>308725</v>
      </c>
      <c r="G30" s="15">
        <v>192883</v>
      </c>
      <c r="H30" s="15">
        <v>180902</v>
      </c>
      <c r="I30" s="15">
        <v>168654</v>
      </c>
      <c r="J30" s="15">
        <v>256191</v>
      </c>
      <c r="K30" s="15">
        <v>320737</v>
      </c>
      <c r="L30" s="15">
        <v>430108</v>
      </c>
      <c r="M30" s="15">
        <v>307413</v>
      </c>
    </row>
    <row r="31" spans="1:13" x14ac:dyDescent="0.3">
      <c r="A31" s="13" t="s">
        <v>170</v>
      </c>
      <c r="B31" s="15">
        <v>151584</v>
      </c>
      <c r="C31" s="15">
        <v>221679</v>
      </c>
      <c r="D31" s="15">
        <v>385157</v>
      </c>
      <c r="E31" s="15">
        <v>290386</v>
      </c>
      <c r="F31" s="15">
        <v>236041</v>
      </c>
      <c r="G31" s="15">
        <v>407985</v>
      </c>
      <c r="H31" s="15">
        <v>184446</v>
      </c>
      <c r="I31" s="15">
        <v>342894</v>
      </c>
      <c r="J31" s="15">
        <v>180344</v>
      </c>
      <c r="K31" s="15">
        <v>292917</v>
      </c>
      <c r="L31" s="15">
        <v>314858</v>
      </c>
      <c r="M31" s="15">
        <v>364057</v>
      </c>
    </row>
  </sheetData>
  <pageMargins left="0.75" right="0.75" top="1" bottom="1" header="0.5" footer="0.5"/>
  <pageSetup paperSize="9"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F21"/>
  <sheetViews>
    <sheetView workbookViewId="0">
      <pane ySplit="4" topLeftCell="A5" activePane="bottomLeft" state="frozen"/>
      <selection pane="bottomLeft" activeCell="E13" sqref="E13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9.77734375" customWidth="1"/>
  </cols>
  <sheetData>
    <row r="1" spans="1:6" ht="30" customHeight="1" x14ac:dyDescent="0.3">
      <c r="A1" s="38" t="s">
        <v>3021</v>
      </c>
      <c r="B1" s="37"/>
      <c r="C1" s="37"/>
      <c r="D1" s="37"/>
      <c r="E1" s="37"/>
      <c r="F1" s="37"/>
    </row>
    <row r="2" spans="1:6" x14ac:dyDescent="0.3">
      <c r="A2" s="36" t="s">
        <v>2898</v>
      </c>
      <c r="B2" s="37"/>
      <c r="C2" s="37"/>
      <c r="D2" s="37"/>
      <c r="E2" s="37"/>
      <c r="F2" s="37"/>
    </row>
    <row r="3" spans="1:6" x14ac:dyDescent="0.3">
      <c r="A3" s="25"/>
      <c r="B3" s="25"/>
      <c r="C3" s="25"/>
      <c r="D3" s="25"/>
      <c r="E3" s="25"/>
      <c r="F3" s="25"/>
    </row>
    <row r="4" spans="1:6" ht="24" customHeight="1" x14ac:dyDescent="0.3">
      <c r="A4" s="26" t="s">
        <v>2899</v>
      </c>
      <c r="B4" s="26" t="s">
        <v>2900</v>
      </c>
      <c r="C4" s="26" t="s">
        <v>14</v>
      </c>
      <c r="D4" s="26" t="s">
        <v>2901</v>
      </c>
      <c r="E4" s="26" t="s">
        <v>2902</v>
      </c>
      <c r="F4" s="26" t="s">
        <v>2903</v>
      </c>
    </row>
    <row r="5" spans="1:6" ht="42" customHeight="1" x14ac:dyDescent="0.3">
      <c r="A5" s="27" t="s">
        <v>2904</v>
      </c>
      <c r="B5" s="28" t="s">
        <v>2905</v>
      </c>
      <c r="C5" s="29">
        <v>3</v>
      </c>
      <c r="D5" s="30" t="s">
        <v>2906</v>
      </c>
      <c r="E5" s="31" t="str">
        <f>VLOOKUP("ORD-00234",Orders!A:C,3,FALSE)</f>
        <v>CUST-0173</v>
      </c>
      <c r="F5" s="32" t="s">
        <v>2907</v>
      </c>
    </row>
    <row r="6" spans="1:6" ht="42" customHeight="1" x14ac:dyDescent="0.3">
      <c r="A6" s="27" t="s">
        <v>2908</v>
      </c>
      <c r="B6" s="28" t="s">
        <v>2909</v>
      </c>
      <c r="C6" s="29">
        <v>3</v>
      </c>
      <c r="D6" s="30" t="s">
        <v>2910</v>
      </c>
      <c r="E6" s="31" t="str">
        <f>VLOOKUP(VLOOKUP("ORD-00456",Orders!A:D,4,FALSE),Products!A:B,2,FALSE)</f>
        <v>Dumbbells 5kg</v>
      </c>
      <c r="F6" s="32" t="s">
        <v>2911</v>
      </c>
    </row>
    <row r="7" spans="1:6" ht="42" customHeight="1" x14ac:dyDescent="0.3">
      <c r="A7" s="27" t="s">
        <v>2912</v>
      </c>
      <c r="B7" s="28" t="s">
        <v>2913</v>
      </c>
      <c r="C7" s="29">
        <v>3</v>
      </c>
      <c r="D7" s="30" t="s">
        <v>3015</v>
      </c>
      <c r="E7" s="31" t="str">
        <f>INDEX(Sales_Reps!B:B,MATCH(VLOOKUP("ORD-00987",Orders!A:E,5,FALSE),Sales_Reps!A:A,0))</f>
        <v>Nisha Menon</v>
      </c>
      <c r="F7" s="32" t="s">
        <v>2911</v>
      </c>
    </row>
    <row r="8" spans="1:6" ht="42" customHeight="1" x14ac:dyDescent="0.3">
      <c r="A8" s="27" t="s">
        <v>2914</v>
      </c>
      <c r="B8" s="28" t="s">
        <v>2915</v>
      </c>
      <c r="C8" s="29">
        <v>4</v>
      </c>
      <c r="D8" s="30" t="s">
        <v>2916</v>
      </c>
      <c r="E8" s="31">
        <f>INDEX(Targets!B:M,MATCH("R012",Targets!A:A,0),MATCH("Mar-24",Targets!B1:M1,0))</f>
        <v>321255</v>
      </c>
      <c r="F8" s="32" t="s">
        <v>2917</v>
      </c>
    </row>
    <row r="9" spans="1:6" ht="42" customHeight="1" x14ac:dyDescent="0.3">
      <c r="A9" s="27" t="s">
        <v>2918</v>
      </c>
      <c r="B9" s="28" t="s">
        <v>2919</v>
      </c>
      <c r="C9" s="29">
        <v>4</v>
      </c>
      <c r="D9" s="30" t="s">
        <v>2920</v>
      </c>
      <c r="E9" s="31" t="str">
        <f>VLOOKUP(VLOOKUP("ORD-01500",Orders!A:D,4,FALSE),Products!A:C,3,FALSE)</f>
        <v>Electronics</v>
      </c>
      <c r="F9" s="32" t="s">
        <v>2911</v>
      </c>
    </row>
    <row r="10" spans="1:6" ht="42" customHeight="1" x14ac:dyDescent="0.3">
      <c r="A10" s="27" t="s">
        <v>2921</v>
      </c>
      <c r="B10" s="28" t="s">
        <v>2922</v>
      </c>
      <c r="C10" s="29">
        <v>3</v>
      </c>
      <c r="D10" s="30" t="s">
        <v>2923</v>
      </c>
      <c r="E10" s="31" t="str">
        <f>VLOOKUP(VLOOKUP("ORD-00789",Orders!A:H,8,FALSE),$B$18:$C$21,2,TRUE)</f>
        <v>Bronze</v>
      </c>
      <c r="F10" s="32" t="s">
        <v>2911</v>
      </c>
    </row>
    <row r="11" spans="1:6" ht="42" customHeight="1" x14ac:dyDescent="0.3">
      <c r="A11" s="27" t="s">
        <v>2924</v>
      </c>
      <c r="B11" s="28" t="s">
        <v>3016</v>
      </c>
      <c r="C11" s="29">
        <v>3</v>
      </c>
      <c r="D11" s="30" t="s">
        <v>2925</v>
      </c>
      <c r="E11" s="31" t="str">
        <f>INDEX(Sales_Reps!B:B,MATCH(VLOOKUP("ORD-01234",Orders!A:E,5,FALSE),Sales_Reps!A:A,0)) &amp; " (" &amp; INDEX(Sales_Reps!C:C,MATCH(VLOOKUP("ORD-01234",Orders!A:E,5,FALSE),Sales_Reps!A:A,0)) &amp; ")"</f>
        <v>Sanjay Kapoor (South)</v>
      </c>
      <c r="F11" s="32" t="s">
        <v>2911</v>
      </c>
    </row>
    <row r="12" spans="1:6" ht="42" customHeight="1" x14ac:dyDescent="0.3">
      <c r="A12" s="27" t="s">
        <v>2926</v>
      </c>
      <c r="B12" s="28" t="s">
        <v>3017</v>
      </c>
      <c r="C12" s="29">
        <v>2</v>
      </c>
      <c r="D12" s="30" t="s">
        <v>2927</v>
      </c>
      <c r="E12" s="31" t="str">
        <f>INDEX(Sales_Reps!B:B,MATCH(INDEX(Sales_Reps!E:E,MATCH("R017",Sales_Reps!A:A,0)),Sales_Reps!A:A,0))</f>
        <v>Amit Singh</v>
      </c>
      <c r="F12" s="32" t="s">
        <v>2911</v>
      </c>
    </row>
    <row r="15" spans="1:6" x14ac:dyDescent="0.3">
      <c r="B15" s="22" t="s">
        <v>2928</v>
      </c>
    </row>
    <row r="17" spans="2:3" x14ac:dyDescent="0.3">
      <c r="B17" s="23" t="s">
        <v>2929</v>
      </c>
      <c r="C17" s="23" t="s">
        <v>2930</v>
      </c>
    </row>
    <row r="18" spans="2:3" x14ac:dyDescent="0.3">
      <c r="B18" s="24">
        <v>0</v>
      </c>
      <c r="C18" s="24" t="s">
        <v>2931</v>
      </c>
    </row>
    <row r="19" spans="2:3" x14ac:dyDescent="0.3">
      <c r="B19" s="24">
        <v>5</v>
      </c>
      <c r="C19" s="24" t="s">
        <v>2932</v>
      </c>
    </row>
    <row r="20" spans="2:3" x14ac:dyDescent="0.3">
      <c r="B20" s="24">
        <v>15</v>
      </c>
      <c r="C20" s="24" t="s">
        <v>2933</v>
      </c>
    </row>
    <row r="21" spans="2:3" x14ac:dyDescent="0.3">
      <c r="B21" s="24">
        <v>25</v>
      </c>
      <c r="C21" s="24" t="s">
        <v>2934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  <pageSetUpPr fitToPage="1"/>
  </sheetPr>
  <dimension ref="A1:F10"/>
  <sheetViews>
    <sheetView workbookViewId="0">
      <pane ySplit="4" topLeftCell="A5" activePane="bottomLeft" state="frozen"/>
      <selection pane="bottomLeft" activeCell="H13" sqref="H13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3">
      <c r="A1" s="38" t="s">
        <v>3022</v>
      </c>
      <c r="B1" s="37"/>
      <c r="C1" s="37"/>
      <c r="D1" s="37"/>
      <c r="E1" s="37"/>
      <c r="F1" s="37"/>
    </row>
    <row r="2" spans="1:6" x14ac:dyDescent="0.3">
      <c r="A2" s="36" t="s">
        <v>2935</v>
      </c>
      <c r="B2" s="37"/>
      <c r="C2" s="37"/>
      <c r="D2" s="37"/>
      <c r="E2" s="37"/>
      <c r="F2" s="37"/>
    </row>
    <row r="3" spans="1:6" x14ac:dyDescent="0.3">
      <c r="A3" s="25"/>
      <c r="B3" s="25"/>
      <c r="C3" s="25"/>
      <c r="D3" s="25"/>
      <c r="E3" s="25"/>
      <c r="F3" s="25"/>
    </row>
    <row r="4" spans="1:6" ht="24" customHeight="1" x14ac:dyDescent="0.3">
      <c r="A4" s="26" t="s">
        <v>2899</v>
      </c>
      <c r="B4" s="26" t="s">
        <v>2900</v>
      </c>
      <c r="C4" s="26" t="s">
        <v>14</v>
      </c>
      <c r="D4" s="26" t="s">
        <v>2901</v>
      </c>
      <c r="E4" s="26" t="s">
        <v>2902</v>
      </c>
      <c r="F4" s="26" t="s">
        <v>2903</v>
      </c>
    </row>
    <row r="5" spans="1:6" ht="42" customHeight="1" x14ac:dyDescent="0.3">
      <c r="A5" s="27" t="s">
        <v>2936</v>
      </c>
      <c r="B5" s="28" t="s">
        <v>2937</v>
      </c>
      <c r="C5" s="29">
        <v>3</v>
      </c>
      <c r="D5" s="30" t="s">
        <v>3019</v>
      </c>
      <c r="E5" s="31">
        <f>SUM(Orders!L2:L2001)</f>
        <v>20</v>
      </c>
      <c r="F5" s="32" t="s">
        <v>2917</v>
      </c>
    </row>
    <row r="6" spans="1:6" ht="42" customHeight="1" x14ac:dyDescent="0.3">
      <c r="A6" s="27" t="s">
        <v>2938</v>
      </c>
      <c r="B6" s="28" t="s">
        <v>2939</v>
      </c>
      <c r="C6" s="29">
        <v>3</v>
      </c>
      <c r="D6" s="30" t="s">
        <v>2940</v>
      </c>
      <c r="E6" s="31" cm="1">
        <f t="array" ref="E6">SUMPRODUCT(--(LEN(Customers!B2:B301)&lt;&gt;LEN(TRIM(Customers!B2:B301))))</f>
        <v>15</v>
      </c>
      <c r="F6" s="32" t="s">
        <v>2917</v>
      </c>
    </row>
    <row r="7" spans="1:6" ht="42" customHeight="1" x14ac:dyDescent="0.3">
      <c r="A7" s="27" t="s">
        <v>2941</v>
      </c>
      <c r="B7" s="28" t="s">
        <v>2942</v>
      </c>
      <c r="C7" s="29">
        <v>3</v>
      </c>
      <c r="D7" s="30" t="s">
        <v>2943</v>
      </c>
      <c r="E7" s="31" cm="1">
        <f t="array" ref="E7">SUMPRODUCT(1/COUNTIF(Customers!D2:D301, Customers!D2:D301))</f>
        <v>6.0000000000000018</v>
      </c>
      <c r="F7" s="32" t="s">
        <v>2917</v>
      </c>
    </row>
    <row r="8" spans="1:6" ht="42" customHeight="1" x14ac:dyDescent="0.3">
      <c r="A8" s="27" t="s">
        <v>2944</v>
      </c>
      <c r="B8" s="28" t="s">
        <v>2945</v>
      </c>
      <c r="C8" s="29">
        <v>4</v>
      </c>
      <c r="D8" s="30" t="s">
        <v>2946</v>
      </c>
      <c r="E8" s="31" cm="1">
        <f t="array" ref="E8">SUMPRODUCT(--ISNA(MATCH(Orders!C2:C2001,Customers!A2:A301,0)))</f>
        <v>30</v>
      </c>
      <c r="F8" s="32" t="s">
        <v>2917</v>
      </c>
    </row>
    <row r="9" spans="1:6" ht="42" customHeight="1" x14ac:dyDescent="0.3">
      <c r="A9" s="27" t="s">
        <v>2947</v>
      </c>
      <c r="B9" s="28" t="s">
        <v>2948</v>
      </c>
      <c r="C9" s="29">
        <v>3</v>
      </c>
      <c r="D9" s="30" t="s">
        <v>2949</v>
      </c>
      <c r="E9" s="31">
        <f>COUNTIF(Orders!M2:M2001, FALSE)</f>
        <v>174</v>
      </c>
      <c r="F9" s="32" t="s">
        <v>2917</v>
      </c>
    </row>
    <row r="10" spans="1:6" ht="42" customHeight="1" x14ac:dyDescent="0.3">
      <c r="A10" s="27" t="s">
        <v>2950</v>
      </c>
      <c r="B10" s="28" t="s">
        <v>3018</v>
      </c>
      <c r="C10" s="29">
        <v>4</v>
      </c>
      <c r="D10" s="30" t="s">
        <v>2951</v>
      </c>
      <c r="E10" s="31">
        <f>COUNTIFS(Orders!J2:J2001, "Cancelled", Orders!H2:H2001, "&gt;20")</f>
        <v>58</v>
      </c>
      <c r="F10" s="32" t="s">
        <v>2917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  <pageSetUpPr fitToPage="1"/>
  </sheetPr>
  <dimension ref="A1:F10"/>
  <sheetViews>
    <sheetView workbookViewId="0">
      <pane ySplit="4" topLeftCell="A5" activePane="bottomLeft" state="frozen"/>
      <selection pane="bottomLeft" activeCell="I9" sqref="I9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3">
      <c r="A1" s="39" t="s">
        <v>3023</v>
      </c>
      <c r="B1" s="34"/>
      <c r="C1" s="34"/>
      <c r="D1" s="34"/>
      <c r="E1" s="34"/>
      <c r="F1" s="34"/>
    </row>
    <row r="2" spans="1:6" x14ac:dyDescent="0.3">
      <c r="A2" s="36" t="s">
        <v>2952</v>
      </c>
      <c r="B2" s="37"/>
      <c r="C2" s="37"/>
      <c r="D2" s="37"/>
      <c r="E2" s="37"/>
      <c r="F2" s="37"/>
    </row>
    <row r="3" spans="1:6" x14ac:dyDescent="0.3">
      <c r="A3" s="25"/>
      <c r="B3" s="25"/>
      <c r="C3" s="25"/>
      <c r="D3" s="25"/>
      <c r="E3" s="25"/>
      <c r="F3" s="25"/>
    </row>
    <row r="4" spans="1:6" ht="24" customHeight="1" x14ac:dyDescent="0.3">
      <c r="A4" s="26" t="s">
        <v>2899</v>
      </c>
      <c r="B4" s="26" t="s">
        <v>2900</v>
      </c>
      <c r="C4" s="26" t="s">
        <v>14</v>
      </c>
      <c r="D4" s="26" t="s">
        <v>2901</v>
      </c>
      <c r="E4" s="26" t="s">
        <v>2902</v>
      </c>
      <c r="F4" s="26" t="s">
        <v>2903</v>
      </c>
    </row>
    <row r="5" spans="1:6" ht="42" customHeight="1" x14ac:dyDescent="0.3">
      <c r="A5" s="27" t="s">
        <v>2953</v>
      </c>
      <c r="B5" s="28" t="s">
        <v>2954</v>
      </c>
      <c r="C5" s="29">
        <v>4</v>
      </c>
      <c r="D5" s="30" t="s">
        <v>2955</v>
      </c>
      <c r="E5" s="31">
        <f>SUMIFS(Orders!I2:I2001, Orders!B2:B2001, "&gt;=2024-07-01", Orders!B2:B2001, "&lt;=2024-09-30", Orders!K2:K2001, "Mumbai")</f>
        <v>1217239.0099999998</v>
      </c>
      <c r="F5" s="32" t="s">
        <v>2956</v>
      </c>
    </row>
    <row r="6" spans="1:6" ht="42" customHeight="1" x14ac:dyDescent="0.3">
      <c r="A6" s="27" t="s">
        <v>2957</v>
      </c>
      <c r="B6" s="28" t="s">
        <v>2958</v>
      </c>
      <c r="C6" s="29">
        <v>3</v>
      </c>
      <c r="D6" s="30" t="s">
        <v>2959</v>
      </c>
      <c r="E6" s="31">
        <f>COUNTIFS(Orders!H2:H2001, "&gt;15", Orders!J2:J2001, "Completed")</f>
        <v>723</v>
      </c>
      <c r="F6" s="32" t="s">
        <v>2917</v>
      </c>
    </row>
    <row r="7" spans="1:6" ht="42" customHeight="1" x14ac:dyDescent="0.3">
      <c r="A7" s="27" t="s">
        <v>2960</v>
      </c>
      <c r="B7" s="28" t="s">
        <v>3020</v>
      </c>
      <c r="C7" s="29">
        <v>5</v>
      </c>
      <c r="D7" s="30" t="s">
        <v>2961</v>
      </c>
      <c r="E7" s="31">
        <f>AVERAGEIFS(Orders!I2:I2001, Orders!N2:N2001, "Electronics", Orders!O2:O2001, "Corporate")</f>
        <v>13981.401558441557</v>
      </c>
      <c r="F7" s="32" t="s">
        <v>2956</v>
      </c>
    </row>
    <row r="8" spans="1:6" ht="42" customHeight="1" x14ac:dyDescent="0.3">
      <c r="A8" s="27" t="s">
        <v>2962</v>
      </c>
      <c r="B8" s="28" t="s">
        <v>2963</v>
      </c>
      <c r="C8" s="29">
        <v>4</v>
      </c>
      <c r="D8" s="30" t="s">
        <v>2964</v>
      </c>
      <c r="E8" s="31">
        <f>LARGE(Sales_Reps!F2:F31, 1) + LARGE(Sales_Reps!F2:F31, 2) + LARGE(Sales_Reps!F2:F31, 3)</f>
        <v>3342678.55</v>
      </c>
      <c r="F8" s="32" t="s">
        <v>2956</v>
      </c>
    </row>
    <row r="9" spans="1:6" ht="42" customHeight="1" x14ac:dyDescent="0.3">
      <c r="A9" s="27" t="s">
        <v>2965</v>
      </c>
      <c r="B9" s="28" t="s">
        <v>2966</v>
      </c>
      <c r="C9" s="29">
        <v>5</v>
      </c>
      <c r="D9" s="30" t="s">
        <v>2967</v>
      </c>
      <c r="E9" s="31" t="str">
        <f>IF(SUMIFS(Orders!I2:I2001, Orders!E2:E2001, "R015", Orders!B2:B2001, "&gt;=2024-11-01", Orders!B2:B2001, "&lt;=2024-11-30") / VLOOKUP("R015", Targets!A2:M31, 12, FALSE) &lt; 0.8, "Below", IF(SUMIFS(Orders!I2:I2001, Orders!E2:E2001, "R015", Orders!B2:B2001, "&gt;=2024-11-01", Orders!B2:B2001, "&lt;=2024-11-30") / VLOOKUP("R015", Targets!A2:M31, 12, FALSE) &lt;= 1.2, "On Track", "Exceeds"))</f>
        <v>Below</v>
      </c>
      <c r="F9" s="32" t="s">
        <v>2911</v>
      </c>
    </row>
    <row r="10" spans="1:6" ht="42" customHeight="1" x14ac:dyDescent="0.3">
      <c r="A10" s="27" t="s">
        <v>2968</v>
      </c>
      <c r="B10" s="28" t="s">
        <v>2969</v>
      </c>
      <c r="C10" s="29">
        <v>4</v>
      </c>
      <c r="D10" s="30" t="s">
        <v>2970</v>
      </c>
      <c r="E10" s="31">
        <f>SUMIFS(Orders!I2:I2001, Orders!O2:O2001, "Corporate", Orders!P2:P2001, "&gt;=30", Orders!P2:P2001, "&lt;=40")</f>
        <v>982568.40000000014</v>
      </c>
      <c r="F10" s="32" t="s">
        <v>2956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  <pageSetUpPr fitToPage="1"/>
  </sheetPr>
  <dimension ref="A1:F9"/>
  <sheetViews>
    <sheetView topLeftCell="C1" workbookViewId="0">
      <pane ySplit="4" topLeftCell="A5" activePane="bottomLeft" state="frozen"/>
      <selection pane="bottomLeft" activeCell="E12" sqref="E12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3">
      <c r="A1" s="39" t="s">
        <v>3024</v>
      </c>
      <c r="B1" s="34"/>
      <c r="C1" s="34"/>
      <c r="D1" s="34"/>
      <c r="E1" s="34"/>
      <c r="F1" s="34"/>
    </row>
    <row r="2" spans="1:6" x14ac:dyDescent="0.3">
      <c r="A2" s="40" t="s">
        <v>2971</v>
      </c>
      <c r="B2" s="34"/>
      <c r="C2" s="34"/>
      <c r="D2" s="34"/>
      <c r="E2" s="34"/>
      <c r="F2" s="34"/>
    </row>
    <row r="4" spans="1:6" ht="24" customHeight="1" x14ac:dyDescent="0.3">
      <c r="A4" s="5" t="s">
        <v>2899</v>
      </c>
      <c r="B4" s="5" t="s">
        <v>2900</v>
      </c>
      <c r="C4" s="5" t="s">
        <v>14</v>
      </c>
      <c r="D4" s="5" t="s">
        <v>2901</v>
      </c>
      <c r="E4" s="5" t="s">
        <v>2902</v>
      </c>
      <c r="F4" s="5" t="s">
        <v>2903</v>
      </c>
    </row>
    <row r="5" spans="1:6" ht="42" customHeight="1" x14ac:dyDescent="0.3">
      <c r="A5" s="16" t="s">
        <v>2972</v>
      </c>
      <c r="B5" s="17" t="s">
        <v>2973</v>
      </c>
      <c r="C5" s="18">
        <v>4</v>
      </c>
      <c r="D5" s="19" t="s">
        <v>2974</v>
      </c>
      <c r="E5" s="20">
        <f>SUMIFS(Orders!I2:I2001, Orders!Q2:Q2001, "South", Orders!N2:N2001, "Electronics")</f>
        <v>1314107.3899999999</v>
      </c>
      <c r="F5" s="21" t="s">
        <v>2956</v>
      </c>
    </row>
    <row r="6" spans="1:6" ht="42" customHeight="1" x14ac:dyDescent="0.3">
      <c r="A6" s="16" t="s">
        <v>2975</v>
      </c>
      <c r="B6" s="17" t="s">
        <v>2976</v>
      </c>
      <c r="C6" s="18">
        <v>4</v>
      </c>
      <c r="D6" s="19" t="s">
        <v>2977</v>
      </c>
      <c r="E6" s="20">
        <v>216421.52</v>
      </c>
      <c r="F6" s="21" t="s">
        <v>2956</v>
      </c>
    </row>
    <row r="7" spans="1:6" ht="42" customHeight="1" x14ac:dyDescent="0.3">
      <c r="A7" s="16" t="s">
        <v>2978</v>
      </c>
      <c r="B7" s="17" t="s">
        <v>2979</v>
      </c>
      <c r="C7" s="18">
        <v>4</v>
      </c>
      <c r="D7" s="19" t="s">
        <v>2980</v>
      </c>
      <c r="E7" s="20">
        <f>SUMIFS(Orders!I2:I2001, Orders!Q2:Q2001, "North", Orders!N2:N2001, "Apparel") / SUMIF(Orders!Q2:Q2001, "North", Orders!I2:I2001)</f>
        <v>0.14023150471988341</v>
      </c>
      <c r="F7" s="21" t="s">
        <v>2981</v>
      </c>
    </row>
    <row r="8" spans="1:6" ht="42" customHeight="1" x14ac:dyDescent="0.3">
      <c r="A8" s="16" t="s">
        <v>2982</v>
      </c>
      <c r="B8" s="17" t="s">
        <v>2983</v>
      </c>
      <c r="C8" s="18">
        <v>4</v>
      </c>
      <c r="D8" s="19" t="s">
        <v>2984</v>
      </c>
      <c r="E8" s="20">
        <f>SUMIFS(Orders!I2:I2001, Orders!B2:B2001, "&gt;=2024-10-01", Orders!B2:B2001, "&lt;=2024-12-31")</f>
        <v>6459442.9800000004</v>
      </c>
      <c r="F8" s="21" t="s">
        <v>2956</v>
      </c>
    </row>
    <row r="9" spans="1:6" ht="42" customHeight="1" x14ac:dyDescent="0.3">
      <c r="A9" s="16" t="s">
        <v>2985</v>
      </c>
      <c r="B9" s="17" t="s">
        <v>2986</v>
      </c>
      <c r="C9" s="18">
        <v>4</v>
      </c>
      <c r="D9" s="19" t="s">
        <v>2987</v>
      </c>
      <c r="E9" s="20">
        <f>(SUMIF(Orders!K2:K2001, "*Delhi*", Orders!G2:G2001) - SUMIF(Orders!K2:K2001, "*Delhi*", Orders!R2:R2001)) / SUMIF(Orders!K2:K2001, "*Delhi*", Orders!G2:G2001)</f>
        <v>0.45972105756424803</v>
      </c>
      <c r="F9" s="21" t="s">
        <v>2981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  <pageSetUpPr fitToPage="1"/>
  </sheetPr>
  <dimension ref="A1:F9"/>
  <sheetViews>
    <sheetView workbookViewId="0">
      <pane ySplit="4" topLeftCell="A5" activePane="bottomLeft" state="frozen"/>
      <selection pane="bottomLeft" activeCell="E13" sqref="E13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63.6640625" customWidth="1"/>
    <col min="6" max="6" width="15" customWidth="1"/>
  </cols>
  <sheetData>
    <row r="1" spans="1:6" ht="30" customHeight="1" x14ac:dyDescent="0.3">
      <c r="A1" s="39" t="s">
        <v>3025</v>
      </c>
      <c r="B1" s="34"/>
      <c r="C1" s="34"/>
      <c r="D1" s="34"/>
      <c r="E1" s="34"/>
      <c r="F1" s="34"/>
    </row>
    <row r="2" spans="1:6" x14ac:dyDescent="0.3">
      <c r="A2" s="40" t="s">
        <v>2988</v>
      </c>
      <c r="B2" s="34"/>
      <c r="C2" s="34"/>
      <c r="D2" s="34"/>
      <c r="E2" s="34"/>
      <c r="F2" s="34"/>
    </row>
    <row r="4" spans="1:6" ht="24" customHeight="1" x14ac:dyDescent="0.3">
      <c r="A4" s="5" t="s">
        <v>2899</v>
      </c>
      <c r="B4" s="5" t="s">
        <v>2900</v>
      </c>
      <c r="C4" s="5" t="s">
        <v>14</v>
      </c>
      <c r="D4" s="5" t="s">
        <v>2901</v>
      </c>
      <c r="E4" s="5" t="s">
        <v>2902</v>
      </c>
      <c r="F4" s="5" t="s">
        <v>2903</v>
      </c>
    </row>
    <row r="5" spans="1:6" ht="42" customHeight="1" x14ac:dyDescent="0.3">
      <c r="A5" s="16" t="s">
        <v>2989</v>
      </c>
      <c r="B5" s="17" t="s">
        <v>2990</v>
      </c>
      <c r="C5" s="18">
        <v>2</v>
      </c>
      <c r="D5" s="19" t="s">
        <v>2991</v>
      </c>
      <c r="E5" s="20" t="str">
        <f>INDEX(Sales_Reps!B2:B31, MATCH(7, Sales_Reps!G2:G31, 0))</f>
        <v>Amit Singh</v>
      </c>
      <c r="F5" s="21" t="s">
        <v>2911</v>
      </c>
    </row>
    <row r="6" spans="1:6" ht="42" customHeight="1" x14ac:dyDescent="0.3">
      <c r="A6" s="16" t="s">
        <v>2992</v>
      </c>
      <c r="B6" s="17" t="s">
        <v>2993</v>
      </c>
      <c r="C6" s="18">
        <v>2</v>
      </c>
      <c r="D6" s="19" t="s">
        <v>2994</v>
      </c>
      <c r="E6" s="20">
        <f>SUMIFS(Orders!I2:I2001, Orders!B2:B2001, "&lt;=2024-08-31")</f>
        <v>18050689.600000005</v>
      </c>
      <c r="F6" s="21" t="s">
        <v>2956</v>
      </c>
    </row>
    <row r="7" spans="1:6" ht="42" customHeight="1" x14ac:dyDescent="0.3">
      <c r="A7" s="16" t="s">
        <v>2995</v>
      </c>
      <c r="B7" s="17" t="s">
        <v>2996</v>
      </c>
      <c r="C7" s="18">
        <v>3</v>
      </c>
      <c r="D7" s="19" t="s">
        <v>2997</v>
      </c>
      <c r="E7" s="20" t="str">
        <f>INDEX(Products!B2:B61, MATCH(LARGE(Products!G2:G61, 2), Products!G2:G61, 0))</f>
        <v>Smart Watch</v>
      </c>
      <c r="F7" s="21" t="s">
        <v>2911</v>
      </c>
    </row>
    <row r="8" spans="1:6" ht="42" customHeight="1" x14ac:dyDescent="0.3">
      <c r="A8" s="16" t="s">
        <v>2998</v>
      </c>
      <c r="B8" s="17" t="s">
        <v>2999</v>
      </c>
      <c r="C8" s="18">
        <v>2</v>
      </c>
      <c r="D8" s="19" t="s">
        <v>3000</v>
      </c>
      <c r="E8" s="20" t="str">
        <f>_xlfn.TEXTJOIN(" | ", TRUE, INDEX(Sales_Reps!B2:B31, MATCH(LARGE(Sales_Reps!F2:F31, 1), Sales_Reps!F2:F31, 0)), INDEX(Sales_Reps!B2:B31, MATCH(LARGE(Sales_Reps!F2:F31, 2), Sales_Reps!F2:F31, 0)), INDEX(Sales_Reps!B2:B31, MATCH(LARGE(Sales_Reps!F2:F31, 3), Sales_Reps!F2:F31, 0)), INDEX(Sales_Reps!B2:B31, MATCH(LARGE(Sales_Reps!F2:F31, 4), Sales_Reps!F2:F31, 0)), INDEX(Sales_Reps!B2:B31, MATCH(LARGE(Sales_Reps!F2:F31, 5), Sales_Reps!F2:F31, 0)))</f>
        <v>Neha Desai | Shalini Patel | Deepak Shah | Nisha Menon | Arun Iyer</v>
      </c>
      <c r="F8" s="20" t="s">
        <v>3047</v>
      </c>
    </row>
    <row r="9" spans="1:6" ht="42" customHeight="1" x14ac:dyDescent="0.3">
      <c r="A9" s="16" t="s">
        <v>3001</v>
      </c>
      <c r="B9" s="17" t="s">
        <v>3002</v>
      </c>
      <c r="C9" s="18">
        <v>1</v>
      </c>
      <c r="D9" s="19" t="s">
        <v>3003</v>
      </c>
      <c r="E9" s="20">
        <f>_xlfn.MAXIFS(Orders!I2:I2001, Orders!K2:K2001, "Bengaluru", Orders!N2:N2001, "Grocery")</f>
        <v>22134</v>
      </c>
      <c r="F9" s="21" t="s">
        <v>2956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10</vt:i4>
      </vt:variant>
    </vt:vector>
  </HeadingPairs>
  <TitlesOfParts>
    <vt:vector size="24" baseType="lpstr">
      <vt:lpstr>README</vt:lpstr>
      <vt:lpstr>Detail1</vt:lpstr>
      <vt:lpstr>Detail2</vt:lpstr>
      <vt:lpstr>Sheet2</vt:lpstr>
      <vt:lpstr>Orders</vt:lpstr>
      <vt:lpstr>Customers</vt:lpstr>
      <vt:lpstr>Products</vt:lpstr>
      <vt:lpstr>Sales_Reps</vt:lpstr>
      <vt:lpstr>Targets</vt:lpstr>
      <vt:lpstr>Q1_Lookups</vt:lpstr>
      <vt:lpstr>Q2_Cleaning</vt:lpstr>
      <vt:lpstr>Q3_Aggregation</vt:lpstr>
      <vt:lpstr>Q4_Pivot</vt:lpstr>
      <vt:lpstr>Q5_Advanced</vt:lpstr>
      <vt:lpstr>Customers!Print_Area</vt:lpstr>
      <vt:lpstr>Orders!Print_Area</vt:lpstr>
      <vt:lpstr>Products!Print_Area</vt:lpstr>
      <vt:lpstr>Sales_Reps!Print_Area</vt:lpstr>
      <vt:lpstr>Targets!Print_Area</vt:lpstr>
      <vt:lpstr>Customers!Print_Titles</vt:lpstr>
      <vt:lpstr>Orders!Print_Titles</vt:lpstr>
      <vt:lpstr>Products!Print_Titles</vt:lpstr>
      <vt:lpstr>Sales_Reps!Print_Titles</vt:lpstr>
      <vt:lpstr>Targets!Print_Titles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YALAMARTHI VISWA SRI HARSHITH</cp:lastModifiedBy>
  <dcterms:created xsi:type="dcterms:W3CDTF">2026-08-08T11:39:42Z</dcterms:created>
  <dcterms:modified xsi:type="dcterms:W3CDTF">2026-08-17T15:32:21Z</dcterms:modified>
</cp:coreProperties>
</file>